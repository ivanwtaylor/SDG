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chartsheets/sheet1.xml" ContentType="application/vnd.openxmlformats-officedocument.spreadsheetml.chart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drawings/drawing11.xml" ContentType="application/vnd.openxmlformats-officedocument.drawing+xml"/>
  <Override PartName="/xl/charts/chart9.xml" ContentType="application/vnd.openxmlformats-officedocument.drawingml.chart+xml"/>
  <Override PartName="/xl/drawings/drawing12.xml" ContentType="application/vnd.openxmlformats-officedocument.drawing+xml"/>
  <Override PartName="/xl/charts/chart10.xml" ContentType="application/vnd.openxmlformats-officedocument.drawingml.chart+xml"/>
  <Override PartName="/xl/drawings/drawing13.xml" ContentType="application/vnd.openxmlformats-officedocument.drawing+xml"/>
  <Override PartName="/xl/charts/chart11.xml" ContentType="application/vnd.openxmlformats-officedocument.drawingml.chart+xml"/>
  <Override PartName="/xl/drawings/drawing14.xml" ContentType="application/vnd.openxmlformats-officedocument.drawing+xml"/>
  <Override PartName="/xl/charts/chart12.xml" ContentType="application/vnd.openxmlformats-officedocument.drawingml.chart+xml"/>
  <Override PartName="/xl/drawings/drawing15.xml" ContentType="application/vnd.openxmlformats-officedocument.drawing+xml"/>
  <Override PartName="/xl/charts/chart13.xml" ContentType="application/vnd.openxmlformats-officedocument.drawingml.chart+xml"/>
  <Override PartName="/xl/drawings/drawing16.xml" ContentType="application/vnd.openxmlformats-officedocument.drawing+xml"/>
  <Override PartName="/xl/charts/chart14.xml" ContentType="application/vnd.openxmlformats-officedocument.drawingml.chart+xml"/>
  <Override PartName="/xl/drawings/drawing17.xml" ContentType="application/vnd.openxmlformats-officedocument.drawing+xml"/>
  <Override PartName="/xl/charts/chart15.xml" ContentType="application/vnd.openxmlformats-officedocument.drawingml.chart+xml"/>
  <Override PartName="/xl/drawings/drawing18.xml" ContentType="application/vnd.openxmlformats-officedocument.drawing+xml"/>
  <Override PartName="/xl/charts/chart16.xml" ContentType="application/vnd.openxmlformats-officedocument.drawingml.chart+xml"/>
  <Override PartName="/xl/drawings/drawing19.xml" ContentType="application/vnd.openxmlformats-officedocument.drawing+xml"/>
  <Override PartName="/xl/charts/chart17.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18.xml" ContentType="application/vnd.openxmlformats-officedocument.drawingml.chart+xml"/>
  <Override PartName="/xl/drawings/drawing22.xml" ContentType="application/vnd.openxmlformats-officedocument.drawing+xml"/>
  <Override PartName="/xl/charts/chart19.xml" ContentType="application/vnd.openxmlformats-officedocument.drawingml.chart+xml"/>
  <Override PartName="/xl/drawings/drawing23.xml" ContentType="application/vnd.openxmlformats-officedocument.drawing+xml"/>
  <Override PartName="/xl/charts/chart20.xml" ContentType="application/vnd.openxmlformats-officedocument.drawingml.chart+xml"/>
  <Override PartName="/xl/drawings/drawing24.xml" ContentType="application/vnd.openxmlformats-officedocument.drawing+xml"/>
  <Override PartName="/xl/charts/chart2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Users\Ivan\Documents\AAA Ivans Work\AAA System_Dynamics\SDG Paper\"/>
    </mc:Choice>
  </mc:AlternateContent>
  <xr:revisionPtr revIDLastSave="0" documentId="13_ncr:1_{BDBEBF38-3E43-4D23-9703-BD45CD570E0E}" xr6:coauthVersionLast="47" xr6:coauthVersionMax="47" xr10:uidLastSave="{00000000-0000-0000-0000-000000000000}"/>
  <bookViews>
    <workbookView xWindow="-120" yWindow="-120" windowWidth="24240" windowHeight="13140" tabRatio="498" firstSheet="26" activeTab="30" xr2:uid="{00000000-000D-0000-FFFF-FFFF00000000}"/>
  </bookViews>
  <sheets>
    <sheet name="2023 Data" sheetId="1" r:id="rId1"/>
    <sheet name="2022 Data" sheetId="2" r:id="rId2"/>
    <sheet name="2021 Data" sheetId="3" r:id="rId3"/>
    <sheet name="2020 Data" sheetId="4" r:id="rId4"/>
    <sheet name="2019 Data" sheetId="5" r:id="rId5"/>
    <sheet name="2018 Data" sheetId="6" r:id="rId6"/>
    <sheet name="2017 Data" sheetId="7" r:id="rId7"/>
    <sheet name="SDG1" sheetId="8" r:id="rId8"/>
    <sheet name="SDG2" sheetId="9" r:id="rId9"/>
    <sheet name="SDG3" sheetId="10" r:id="rId10"/>
    <sheet name="SDG4" sheetId="11" r:id="rId11"/>
    <sheet name="SDG5" sheetId="12" r:id="rId12"/>
    <sheet name="SDG6" sheetId="13" r:id="rId13"/>
    <sheet name="SDG7" sheetId="14" r:id="rId14"/>
    <sheet name="SDG8" sheetId="15" r:id="rId15"/>
    <sheet name="SDG9" sheetId="16" r:id="rId16"/>
    <sheet name="SDG10" sheetId="17" r:id="rId17"/>
    <sheet name="SDG11" sheetId="18" r:id="rId18"/>
    <sheet name="SDG12" sheetId="19" r:id="rId19"/>
    <sheet name="SDG13" sheetId="20" r:id="rId20"/>
    <sheet name="SDG14" sheetId="21" r:id="rId21"/>
    <sheet name="SDG15" sheetId="22" r:id="rId22"/>
    <sheet name="SDG16" sheetId="23" r:id="rId23"/>
    <sheet name="SDG17" sheetId="24" r:id="rId24"/>
    <sheet name="Model Structure" sheetId="25" r:id="rId25"/>
    <sheet name="Minimums" sheetId="26" r:id="rId26"/>
    <sheet name="Scenarios" sheetId="27" r:id="rId27"/>
    <sheet name="SDGs 1-9" sheetId="28" r:id="rId28"/>
    <sheet name="SDGs 10-17" sheetId="29" r:id="rId29"/>
    <sheet name="Chart1" sheetId="33" r:id="rId30"/>
    <sheet name="Model" sheetId="30" r:id="rId31"/>
    <sheet name="Policies" sheetId="32" r:id="rId32"/>
    <sheet name="Time Series" sheetId="31" r:id="rId33"/>
  </sheets>
  <definedNames>
    <definedName name="solver_adj" localSheetId="30" hidden="1">Model!$I$139:$I$155</definedName>
    <definedName name="solver_cvg" localSheetId="30" hidden="1">0.0001</definedName>
    <definedName name="solver_drv" localSheetId="30" hidden="1">1</definedName>
    <definedName name="solver_eng" localSheetId="30" hidden="1">1</definedName>
    <definedName name="solver_est" localSheetId="30" hidden="1">1</definedName>
    <definedName name="solver_itr" localSheetId="30" hidden="1">10000</definedName>
    <definedName name="solver_lhs1" localSheetId="30" hidden="1">Model!$H$139:$H$155</definedName>
    <definedName name="solver_lhs10" localSheetId="30" hidden="1">Model!$F$122:$F$138</definedName>
    <definedName name="solver_lhs11" localSheetId="30" hidden="1">Model!$F$139:$F$172</definedName>
    <definedName name="solver_lhs12" localSheetId="30" hidden="1">Model!$F$139:$F$172</definedName>
    <definedName name="solver_lhs2" localSheetId="30" hidden="1">Model!$H$139:$H$155</definedName>
    <definedName name="solver_lhs3" localSheetId="30" hidden="1">Model!$K$139</definedName>
    <definedName name="solver_lhs4" localSheetId="30" hidden="1">Model!$F$139:$F$172</definedName>
    <definedName name="solver_lhs5" localSheetId="30" hidden="1">Model!$F$139:$F$172</definedName>
    <definedName name="solver_lhs6" localSheetId="30" hidden="1">Model!$F$139:$F$172</definedName>
    <definedName name="solver_lhs7" localSheetId="30" hidden="1">Model!$F$139:$F$172</definedName>
    <definedName name="solver_lhs8" localSheetId="30" hidden="1">Model!$F$139:$F$172</definedName>
    <definedName name="solver_lhs9" localSheetId="30" hidden="1">Model!$F$122:$F$138</definedName>
    <definedName name="solver_lin" localSheetId="30" hidden="1">2</definedName>
    <definedName name="solver_mip" localSheetId="30" hidden="1">2147483647</definedName>
    <definedName name="solver_mni" localSheetId="30" hidden="1">30</definedName>
    <definedName name="solver_mrt" localSheetId="30" hidden="1">0.075</definedName>
    <definedName name="solver_msl" localSheetId="30" hidden="1">2</definedName>
    <definedName name="solver_neg" localSheetId="30" hidden="1">1</definedName>
    <definedName name="solver_nod" localSheetId="30" hidden="1">2147483647</definedName>
    <definedName name="solver_num" localSheetId="30" hidden="1">3</definedName>
    <definedName name="solver_nwt" localSheetId="30" hidden="1">1</definedName>
    <definedName name="solver_opt" localSheetId="30" hidden="1">Model!$J$139</definedName>
    <definedName name="solver_pre" localSheetId="30" hidden="1">0.000001</definedName>
    <definedName name="solver_rbv" localSheetId="30" hidden="1">1</definedName>
    <definedName name="solver_rel1" localSheetId="30" hidden="1">3</definedName>
    <definedName name="solver_rel10" localSheetId="30" hidden="1">1</definedName>
    <definedName name="solver_rel11" localSheetId="30" hidden="1">3</definedName>
    <definedName name="solver_rel12" localSheetId="30" hidden="1">1</definedName>
    <definedName name="solver_rel2" localSheetId="30" hidden="1">1</definedName>
    <definedName name="solver_rel3" localSheetId="30" hidden="1">1</definedName>
    <definedName name="solver_rel4" localSheetId="30" hidden="1">1</definedName>
    <definedName name="solver_rel5" localSheetId="30" hidden="1">3</definedName>
    <definedName name="solver_rel6" localSheetId="30" hidden="1">1</definedName>
    <definedName name="solver_rel7" localSheetId="30" hidden="1">3</definedName>
    <definedName name="solver_rel8" localSheetId="30" hidden="1">1</definedName>
    <definedName name="solver_rel9" localSheetId="30" hidden="1">3</definedName>
    <definedName name="solver_rhs1" localSheetId="30" hidden="1">0.1</definedName>
    <definedName name="solver_rhs10" localSheetId="30" hidden="1">10</definedName>
    <definedName name="solver_rhs11" localSheetId="30" hidden="1">0.1</definedName>
    <definedName name="solver_rhs12" localSheetId="30" hidden="1">2</definedName>
    <definedName name="solver_rhs2" localSheetId="30" hidden="1">2</definedName>
    <definedName name="solver_rhs3" localSheetId="30" hidden="1">Model!L139</definedName>
    <definedName name="solver_rhs4" localSheetId="30" hidden="1">2</definedName>
    <definedName name="solver_rhs5" localSheetId="30" hidden="1">0.1</definedName>
    <definedName name="solver_rhs6" localSheetId="30" hidden="1">2</definedName>
    <definedName name="solver_rhs7" localSheetId="30" hidden="1">0.1</definedName>
    <definedName name="solver_rhs8" localSheetId="30" hidden="1">2</definedName>
    <definedName name="solver_rhs9" localSheetId="30" hidden="1">1</definedName>
    <definedName name="solver_rlx" localSheetId="30" hidden="1">1</definedName>
    <definedName name="solver_rsd" localSheetId="30" hidden="1">0</definedName>
    <definedName name="solver_scl" localSheetId="30" hidden="1">2</definedName>
    <definedName name="solver_sho" localSheetId="30" hidden="1">2</definedName>
    <definedName name="solver_ssz" localSheetId="30" hidden="1">100</definedName>
    <definedName name="solver_tim" localSheetId="30" hidden="1">10000</definedName>
    <definedName name="solver_tol" localSheetId="30" hidden="1">0.05</definedName>
    <definedName name="solver_typ" localSheetId="30" hidden="1">1</definedName>
    <definedName name="solver_val" localSheetId="30" hidden="1">0</definedName>
    <definedName name="solver_ver" localSheetId="30" hidden="1">3</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72" i="30" l="1"/>
  <c r="N171" i="30"/>
  <c r="N170" i="30"/>
  <c r="N169" i="30"/>
  <c r="N168" i="30"/>
  <c r="N167" i="30"/>
  <c r="N166" i="30"/>
  <c r="N165" i="30"/>
  <c r="N164" i="30"/>
  <c r="N163" i="30"/>
  <c r="N162" i="30"/>
  <c r="N161" i="30"/>
  <c r="N160" i="30"/>
  <c r="N159" i="30"/>
  <c r="N158" i="30"/>
  <c r="N157" i="30"/>
  <c r="N156" i="30"/>
  <c r="M172" i="30"/>
  <c r="M171" i="30"/>
  <c r="M170" i="30"/>
  <c r="M169" i="30"/>
  <c r="M168" i="30"/>
  <c r="M167" i="30"/>
  <c r="M166" i="30"/>
  <c r="M165" i="30"/>
  <c r="M164" i="30"/>
  <c r="M163" i="30"/>
  <c r="M162" i="30"/>
  <c r="M161" i="30"/>
  <c r="M160" i="30"/>
  <c r="M159" i="30"/>
  <c r="M158" i="30"/>
  <c r="M157" i="30"/>
  <c r="M156" i="30"/>
  <c r="AF253" i="30"/>
  <c r="AE253" i="30"/>
  <c r="AD253" i="30"/>
  <c r="AC253" i="30"/>
  <c r="AB253" i="30"/>
  <c r="AA253" i="30"/>
  <c r="Z253" i="30"/>
  <c r="Y253" i="30"/>
  <c r="X253" i="30"/>
  <c r="W253" i="30"/>
  <c r="V253" i="30"/>
  <c r="U253" i="30"/>
  <c r="T253" i="30"/>
  <c r="S253" i="30"/>
  <c r="R253" i="30"/>
  <c r="Q253" i="30"/>
  <c r="P253" i="30"/>
  <c r="O253" i="30"/>
  <c r="N253" i="30"/>
  <c r="M253" i="30"/>
  <c r="L253" i="30"/>
  <c r="K253" i="30"/>
  <c r="J253" i="30"/>
  <c r="I253" i="30"/>
  <c r="H253" i="30"/>
  <c r="G253" i="30"/>
  <c r="F253" i="30"/>
  <c r="E253" i="30"/>
  <c r="D253" i="30"/>
  <c r="C253" i="30"/>
  <c r="B253" i="30"/>
  <c r="AF248" i="30"/>
  <c r="AE248" i="30"/>
  <c r="AD248" i="30"/>
  <c r="AC248" i="30"/>
  <c r="AB248" i="30"/>
  <c r="AA248" i="30"/>
  <c r="Z248" i="30"/>
  <c r="Y248" i="30"/>
  <c r="X248" i="30"/>
  <c r="W248" i="30"/>
  <c r="V248" i="30"/>
  <c r="U248" i="30"/>
  <c r="T248" i="30"/>
  <c r="S248" i="30"/>
  <c r="R248" i="30"/>
  <c r="Q248" i="30"/>
  <c r="P248" i="30"/>
  <c r="O248" i="30"/>
  <c r="N248" i="30"/>
  <c r="M248" i="30"/>
  <c r="L248" i="30"/>
  <c r="K248" i="30"/>
  <c r="J248" i="30"/>
  <c r="I248" i="30"/>
  <c r="H248" i="30"/>
  <c r="G248" i="30"/>
  <c r="F248" i="30"/>
  <c r="E248" i="30"/>
  <c r="D248" i="30"/>
  <c r="C248" i="30"/>
  <c r="B248" i="30"/>
  <c r="AF243" i="30"/>
  <c r="AE243" i="30"/>
  <c r="AD243" i="30"/>
  <c r="AC243" i="30"/>
  <c r="AB243" i="30"/>
  <c r="AA243" i="30"/>
  <c r="Z243" i="30"/>
  <c r="Y243" i="30"/>
  <c r="X243" i="30"/>
  <c r="W243" i="30"/>
  <c r="V243" i="30"/>
  <c r="U243" i="30"/>
  <c r="T243" i="30"/>
  <c r="S243" i="30"/>
  <c r="R243" i="30"/>
  <c r="Q243" i="30"/>
  <c r="P243" i="30"/>
  <c r="O243" i="30"/>
  <c r="N243" i="30"/>
  <c r="M243" i="30"/>
  <c r="L243" i="30"/>
  <c r="K243" i="30"/>
  <c r="J243" i="30"/>
  <c r="I243" i="30"/>
  <c r="H243" i="30"/>
  <c r="G243" i="30"/>
  <c r="F243" i="30"/>
  <c r="E243" i="30"/>
  <c r="D243" i="30"/>
  <c r="C243" i="30"/>
  <c r="B243" i="30"/>
  <c r="AF238" i="30"/>
  <c r="AE238" i="30"/>
  <c r="AD238" i="30"/>
  <c r="AC238" i="30"/>
  <c r="AB238" i="30"/>
  <c r="AA238" i="30"/>
  <c r="Z238" i="30"/>
  <c r="Y238" i="30"/>
  <c r="X238" i="30"/>
  <c r="W238" i="30"/>
  <c r="V238" i="30"/>
  <c r="U238" i="30"/>
  <c r="T238" i="30"/>
  <c r="S238" i="30"/>
  <c r="R238" i="30"/>
  <c r="Q238" i="30"/>
  <c r="P238" i="30"/>
  <c r="O238" i="30"/>
  <c r="N238" i="30"/>
  <c r="M238" i="30"/>
  <c r="L238" i="30"/>
  <c r="K238" i="30"/>
  <c r="J238" i="30"/>
  <c r="I238" i="30"/>
  <c r="H238" i="30"/>
  <c r="G238" i="30"/>
  <c r="F238" i="30"/>
  <c r="E238" i="30"/>
  <c r="D238" i="30"/>
  <c r="C238" i="30"/>
  <c r="B238" i="30"/>
  <c r="AF233" i="30"/>
  <c r="AE233" i="30"/>
  <c r="AD233" i="30"/>
  <c r="AC233" i="30"/>
  <c r="AB233" i="30"/>
  <c r="AA233" i="30"/>
  <c r="Z233" i="30"/>
  <c r="Y233" i="30"/>
  <c r="X233" i="30"/>
  <c r="W233" i="30"/>
  <c r="V233" i="30"/>
  <c r="U233" i="30"/>
  <c r="T233" i="30"/>
  <c r="S233" i="30"/>
  <c r="R233" i="30"/>
  <c r="Q233" i="30"/>
  <c r="P233" i="30"/>
  <c r="O233" i="30"/>
  <c r="N233" i="30"/>
  <c r="M233" i="30"/>
  <c r="L233" i="30"/>
  <c r="K233" i="30"/>
  <c r="J233" i="30"/>
  <c r="I233" i="30"/>
  <c r="H233" i="30"/>
  <c r="G233" i="30"/>
  <c r="F233" i="30"/>
  <c r="E233" i="30"/>
  <c r="D233" i="30"/>
  <c r="C233" i="30"/>
  <c r="B233" i="30"/>
  <c r="AF228" i="30"/>
  <c r="AE228" i="30"/>
  <c r="AD228" i="30"/>
  <c r="AC228" i="30"/>
  <c r="AB228" i="30"/>
  <c r="AA228" i="30"/>
  <c r="Z228" i="30"/>
  <c r="Y228" i="30"/>
  <c r="X228" i="30"/>
  <c r="W228" i="30"/>
  <c r="V228" i="30"/>
  <c r="U228" i="30"/>
  <c r="T228" i="30"/>
  <c r="S228" i="30"/>
  <c r="R228" i="30"/>
  <c r="Q228" i="30"/>
  <c r="P228" i="30"/>
  <c r="O228" i="30"/>
  <c r="N228" i="30"/>
  <c r="M228" i="30"/>
  <c r="L228" i="30"/>
  <c r="K228" i="30"/>
  <c r="J228" i="30"/>
  <c r="I228" i="30"/>
  <c r="H228" i="30"/>
  <c r="G228" i="30"/>
  <c r="F228" i="30"/>
  <c r="E228" i="30"/>
  <c r="D228" i="30"/>
  <c r="C228" i="30"/>
  <c r="B228" i="30"/>
  <c r="AF223" i="30"/>
  <c r="AE223" i="30"/>
  <c r="AD223" i="30"/>
  <c r="AC223" i="30"/>
  <c r="AB223" i="30"/>
  <c r="AA223" i="30"/>
  <c r="Z223" i="30"/>
  <c r="Y223" i="30"/>
  <c r="X223" i="30"/>
  <c r="W223" i="30"/>
  <c r="V223" i="30"/>
  <c r="U223" i="30"/>
  <c r="T223" i="30"/>
  <c r="S223" i="30"/>
  <c r="R223" i="30"/>
  <c r="Q223" i="30"/>
  <c r="P223" i="30"/>
  <c r="O223" i="30"/>
  <c r="N223" i="30"/>
  <c r="M223" i="30"/>
  <c r="L223" i="30"/>
  <c r="K223" i="30"/>
  <c r="J223" i="30"/>
  <c r="I223" i="30"/>
  <c r="H223" i="30"/>
  <c r="G223" i="30"/>
  <c r="F223" i="30"/>
  <c r="E223" i="30"/>
  <c r="D223" i="30"/>
  <c r="C223" i="30"/>
  <c r="B223" i="30"/>
  <c r="AF218" i="30"/>
  <c r="AE218" i="30"/>
  <c r="AD218" i="30"/>
  <c r="AC218" i="30"/>
  <c r="AB218" i="30"/>
  <c r="AA218" i="30"/>
  <c r="Z218" i="30"/>
  <c r="Y218" i="30"/>
  <c r="X218" i="30"/>
  <c r="W218" i="30"/>
  <c r="V218" i="30"/>
  <c r="U218" i="30"/>
  <c r="T218" i="30"/>
  <c r="S218" i="30"/>
  <c r="R218" i="30"/>
  <c r="Q218" i="30"/>
  <c r="P218" i="30"/>
  <c r="O218" i="30"/>
  <c r="N218" i="30"/>
  <c r="M218" i="30"/>
  <c r="L218" i="30"/>
  <c r="K218" i="30"/>
  <c r="J218" i="30"/>
  <c r="I218" i="30"/>
  <c r="H218" i="30"/>
  <c r="G218" i="30"/>
  <c r="F218" i="30"/>
  <c r="E218" i="30"/>
  <c r="D218" i="30"/>
  <c r="C218" i="30"/>
  <c r="B218" i="30"/>
  <c r="AF213" i="30"/>
  <c r="AE213" i="30"/>
  <c r="AD213" i="30"/>
  <c r="AC213" i="30"/>
  <c r="AB213" i="30"/>
  <c r="AA213" i="30"/>
  <c r="Z213" i="30"/>
  <c r="Y213" i="30"/>
  <c r="X213" i="30"/>
  <c r="W213" i="30"/>
  <c r="V213" i="30"/>
  <c r="U213" i="30"/>
  <c r="T213" i="30"/>
  <c r="S213" i="30"/>
  <c r="R213" i="30"/>
  <c r="Q213" i="30"/>
  <c r="P213" i="30"/>
  <c r="O213" i="30"/>
  <c r="N213" i="30"/>
  <c r="M213" i="30"/>
  <c r="L213" i="30"/>
  <c r="K213" i="30"/>
  <c r="J213" i="30"/>
  <c r="I213" i="30"/>
  <c r="H213" i="30"/>
  <c r="G213" i="30"/>
  <c r="F213" i="30"/>
  <c r="E213" i="30"/>
  <c r="D213" i="30"/>
  <c r="C213" i="30"/>
  <c r="B213" i="30"/>
  <c r="AF208" i="30"/>
  <c r="AE208" i="30"/>
  <c r="AD208" i="30"/>
  <c r="AC208" i="30"/>
  <c r="AB208" i="30"/>
  <c r="AA208" i="30"/>
  <c r="Z208" i="30"/>
  <c r="Y208" i="30"/>
  <c r="X208" i="30"/>
  <c r="W208" i="30"/>
  <c r="V208" i="30"/>
  <c r="U208" i="30"/>
  <c r="T208" i="30"/>
  <c r="S208" i="30"/>
  <c r="R208" i="30"/>
  <c r="Q208" i="30"/>
  <c r="P208" i="30"/>
  <c r="O208" i="30"/>
  <c r="N208" i="30"/>
  <c r="M208" i="30"/>
  <c r="L208" i="30"/>
  <c r="K208" i="30"/>
  <c r="J208" i="30"/>
  <c r="I208" i="30"/>
  <c r="H208" i="30"/>
  <c r="G208" i="30"/>
  <c r="F208" i="30"/>
  <c r="E208" i="30"/>
  <c r="D208" i="30"/>
  <c r="C208" i="30"/>
  <c r="B208" i="30"/>
  <c r="AF203" i="30"/>
  <c r="AE203" i="30"/>
  <c r="AD203" i="30"/>
  <c r="AC203" i="30"/>
  <c r="AB203" i="30"/>
  <c r="AA203" i="30"/>
  <c r="Z203" i="30"/>
  <c r="Y203" i="30"/>
  <c r="X203" i="30"/>
  <c r="W203" i="30"/>
  <c r="V203" i="30"/>
  <c r="U203" i="30"/>
  <c r="T203" i="30"/>
  <c r="S203" i="30"/>
  <c r="R203" i="30"/>
  <c r="Q203" i="30"/>
  <c r="P203" i="30"/>
  <c r="O203" i="30"/>
  <c r="N203" i="30"/>
  <c r="M203" i="30"/>
  <c r="L203" i="30"/>
  <c r="K203" i="30"/>
  <c r="J203" i="30"/>
  <c r="I203" i="30"/>
  <c r="H203" i="30"/>
  <c r="G203" i="30"/>
  <c r="F203" i="30"/>
  <c r="E203" i="30"/>
  <c r="D203" i="30"/>
  <c r="C203" i="30"/>
  <c r="B203" i="30"/>
  <c r="AF198" i="30"/>
  <c r="AE198" i="30"/>
  <c r="AD198" i="30"/>
  <c r="AC198" i="30"/>
  <c r="AB198" i="30"/>
  <c r="AA198" i="30"/>
  <c r="Z198" i="30"/>
  <c r="Y198" i="30"/>
  <c r="X198" i="30"/>
  <c r="W198" i="30"/>
  <c r="V198" i="30"/>
  <c r="U198" i="30"/>
  <c r="T198" i="30"/>
  <c r="S198" i="30"/>
  <c r="R198" i="30"/>
  <c r="Q198" i="30"/>
  <c r="P198" i="30"/>
  <c r="O198" i="30"/>
  <c r="N198" i="30"/>
  <c r="M198" i="30"/>
  <c r="L198" i="30"/>
  <c r="K198" i="30"/>
  <c r="J198" i="30"/>
  <c r="I198" i="30"/>
  <c r="H198" i="30"/>
  <c r="G198" i="30"/>
  <c r="F198" i="30"/>
  <c r="E198" i="30"/>
  <c r="D198" i="30"/>
  <c r="C198" i="30"/>
  <c r="B198" i="30"/>
  <c r="AF193" i="30"/>
  <c r="AE193" i="30"/>
  <c r="AD193" i="30"/>
  <c r="AC193" i="30"/>
  <c r="AB193" i="30"/>
  <c r="AA193" i="30"/>
  <c r="Z193" i="30"/>
  <c r="Y193" i="30"/>
  <c r="X193" i="30"/>
  <c r="W193" i="30"/>
  <c r="V193" i="30"/>
  <c r="U193" i="30"/>
  <c r="T193" i="30"/>
  <c r="S193" i="30"/>
  <c r="R193" i="30"/>
  <c r="Q193" i="30"/>
  <c r="P193" i="30"/>
  <c r="O193" i="30"/>
  <c r="N193" i="30"/>
  <c r="M193" i="30"/>
  <c r="L193" i="30"/>
  <c r="K193" i="30"/>
  <c r="J193" i="30"/>
  <c r="I193" i="30"/>
  <c r="H193" i="30"/>
  <c r="G193" i="30"/>
  <c r="F193" i="30"/>
  <c r="E193" i="30"/>
  <c r="D193" i="30"/>
  <c r="C193" i="30"/>
  <c r="B193" i="30"/>
  <c r="AF188" i="30"/>
  <c r="AE188" i="30"/>
  <c r="AD188" i="30"/>
  <c r="AC188" i="30"/>
  <c r="AB188" i="30"/>
  <c r="AA188" i="30"/>
  <c r="Z188" i="30"/>
  <c r="Y188" i="30"/>
  <c r="X188" i="30"/>
  <c r="W188" i="30"/>
  <c r="V188" i="30"/>
  <c r="U188" i="30"/>
  <c r="T188" i="30"/>
  <c r="S188" i="30"/>
  <c r="R188" i="30"/>
  <c r="Q188" i="30"/>
  <c r="P188" i="30"/>
  <c r="O188" i="30"/>
  <c r="N188" i="30"/>
  <c r="M188" i="30"/>
  <c r="L188" i="30"/>
  <c r="K188" i="30"/>
  <c r="J188" i="30"/>
  <c r="I188" i="30"/>
  <c r="H188" i="30"/>
  <c r="G188" i="30"/>
  <c r="F188" i="30"/>
  <c r="E188" i="30"/>
  <c r="D188" i="30"/>
  <c r="C188" i="30"/>
  <c r="B188" i="30"/>
  <c r="AF183" i="30"/>
  <c r="AE183" i="30"/>
  <c r="AD183" i="30"/>
  <c r="AC183" i="30"/>
  <c r="AB183" i="30"/>
  <c r="AA183" i="30"/>
  <c r="Z183" i="30"/>
  <c r="Y183" i="30"/>
  <c r="X183" i="30"/>
  <c r="W183" i="30"/>
  <c r="V183" i="30"/>
  <c r="U183" i="30"/>
  <c r="T183" i="30"/>
  <c r="S183" i="30"/>
  <c r="R183" i="30"/>
  <c r="Q183" i="30"/>
  <c r="P183" i="30"/>
  <c r="O183" i="30"/>
  <c r="N183" i="30"/>
  <c r="M183" i="30"/>
  <c r="L183" i="30"/>
  <c r="K183" i="30"/>
  <c r="J183" i="30"/>
  <c r="I183" i="30"/>
  <c r="H183" i="30"/>
  <c r="G183" i="30"/>
  <c r="F183" i="30"/>
  <c r="E183" i="30"/>
  <c r="D183" i="30"/>
  <c r="C183" i="30"/>
  <c r="B183" i="30"/>
  <c r="AF178" i="30"/>
  <c r="AE178" i="30"/>
  <c r="AD178" i="30"/>
  <c r="AC178" i="30"/>
  <c r="AB178" i="30"/>
  <c r="AA178" i="30"/>
  <c r="Z178" i="30"/>
  <c r="Y178" i="30"/>
  <c r="X178" i="30"/>
  <c r="W178" i="30"/>
  <c r="V178" i="30"/>
  <c r="U178" i="30"/>
  <c r="T178" i="30"/>
  <c r="S178" i="30"/>
  <c r="R178" i="30"/>
  <c r="Q178" i="30"/>
  <c r="P178" i="30"/>
  <c r="O178" i="30"/>
  <c r="N178" i="30"/>
  <c r="M178" i="30"/>
  <c r="L178" i="30"/>
  <c r="K178" i="30"/>
  <c r="J178" i="30"/>
  <c r="I178" i="30"/>
  <c r="H178" i="30"/>
  <c r="G178" i="30"/>
  <c r="F178" i="30"/>
  <c r="E178" i="30"/>
  <c r="D178" i="30"/>
  <c r="C178" i="30"/>
  <c r="B178" i="30"/>
  <c r="AF173" i="30"/>
  <c r="AE173" i="30"/>
  <c r="AD173" i="30"/>
  <c r="AC173" i="30"/>
  <c r="AB173" i="30"/>
  <c r="AA173" i="30"/>
  <c r="Z173" i="30"/>
  <c r="Y173" i="30"/>
  <c r="X173" i="30"/>
  <c r="W173" i="30"/>
  <c r="V173" i="30"/>
  <c r="U173" i="30"/>
  <c r="T173" i="30"/>
  <c r="S173" i="30"/>
  <c r="R173" i="30"/>
  <c r="Q173" i="30"/>
  <c r="P173" i="30"/>
  <c r="O173" i="30"/>
  <c r="N173" i="30"/>
  <c r="M173" i="30"/>
  <c r="L173" i="30"/>
  <c r="K173" i="30"/>
  <c r="J173" i="30"/>
  <c r="I173" i="30"/>
  <c r="H173" i="30"/>
  <c r="G173" i="30"/>
  <c r="F173" i="30"/>
  <c r="E173" i="30"/>
  <c r="D173" i="30"/>
  <c r="C173" i="30"/>
  <c r="B173" i="30"/>
  <c r="G172" i="30"/>
  <c r="F172" i="30"/>
  <c r="E172" i="30"/>
  <c r="D172" i="30"/>
  <c r="C172" i="30"/>
  <c r="G171" i="30"/>
  <c r="F171" i="30"/>
  <c r="E171" i="30"/>
  <c r="D171" i="30"/>
  <c r="C171" i="30"/>
  <c r="G170" i="30"/>
  <c r="F170" i="30"/>
  <c r="E170" i="30"/>
  <c r="D170" i="30"/>
  <c r="C170" i="30"/>
  <c r="G169" i="30"/>
  <c r="F169" i="30"/>
  <c r="E169" i="30"/>
  <c r="D169" i="30"/>
  <c r="C169" i="30"/>
  <c r="G168" i="30"/>
  <c r="F168" i="30"/>
  <c r="E168" i="30"/>
  <c r="D168" i="30"/>
  <c r="C168" i="30"/>
  <c r="G167" i="30"/>
  <c r="F167" i="30"/>
  <c r="E167" i="30"/>
  <c r="D167" i="30"/>
  <c r="C167" i="30"/>
  <c r="G166" i="30"/>
  <c r="F166" i="30"/>
  <c r="E166" i="30"/>
  <c r="D166" i="30"/>
  <c r="C166" i="30"/>
  <c r="G165" i="30"/>
  <c r="F165" i="30"/>
  <c r="E165" i="30"/>
  <c r="D165" i="30"/>
  <c r="C165" i="30"/>
  <c r="G164" i="30"/>
  <c r="F164" i="30"/>
  <c r="E164" i="30"/>
  <c r="D164" i="30"/>
  <c r="C164" i="30"/>
  <c r="G163" i="30"/>
  <c r="F163" i="30"/>
  <c r="E163" i="30"/>
  <c r="D163" i="30"/>
  <c r="C163" i="30"/>
  <c r="G162" i="30"/>
  <c r="F162" i="30"/>
  <c r="E162" i="30"/>
  <c r="D162" i="30"/>
  <c r="C162" i="30"/>
  <c r="G161" i="30"/>
  <c r="F161" i="30"/>
  <c r="E161" i="30"/>
  <c r="D161" i="30"/>
  <c r="C161" i="30"/>
  <c r="G160" i="30"/>
  <c r="F160" i="30"/>
  <c r="E160" i="30"/>
  <c r="D160" i="30"/>
  <c r="C160" i="30"/>
  <c r="G159" i="30"/>
  <c r="F159" i="30"/>
  <c r="E159" i="30"/>
  <c r="D159" i="30"/>
  <c r="C159" i="30"/>
  <c r="G158" i="30"/>
  <c r="F158" i="30"/>
  <c r="E158" i="30"/>
  <c r="D158" i="30"/>
  <c r="C158" i="30"/>
  <c r="G157" i="30"/>
  <c r="F157" i="30"/>
  <c r="E157" i="30"/>
  <c r="D157" i="30"/>
  <c r="C157" i="30"/>
  <c r="G156" i="30"/>
  <c r="F156" i="30"/>
  <c r="E156" i="30"/>
  <c r="D156" i="30"/>
  <c r="C156" i="30"/>
  <c r="B70" i="30"/>
  <c r="B53" i="30"/>
  <c r="B87" i="30" s="1"/>
  <c r="C70" i="30"/>
  <c r="C53" i="30"/>
  <c r="C87" i="30" s="1"/>
  <c r="D70" i="30"/>
  <c r="D53" i="30"/>
  <c r="D87" i="30" s="1"/>
  <c r="E70" i="30"/>
  <c r="E53" i="30"/>
  <c r="E87" i="30" s="1"/>
  <c r="F70" i="30"/>
  <c r="F53" i="30"/>
  <c r="F87" i="30" s="1"/>
  <c r="G70" i="30"/>
  <c r="G53" i="30"/>
  <c r="G87" i="30" s="1"/>
  <c r="H70" i="30"/>
  <c r="H53" i="30"/>
  <c r="H87" i="30" s="1"/>
  <c r="I70" i="30"/>
  <c r="I53" i="30"/>
  <c r="I87" i="30" s="1"/>
  <c r="J70" i="30"/>
  <c r="J53" i="30"/>
  <c r="J87" i="30" s="1"/>
  <c r="K70" i="30"/>
  <c r="K53" i="30"/>
  <c r="K87" i="30" s="1"/>
  <c r="L70" i="30"/>
  <c r="L53" i="30"/>
  <c r="L87" i="30" s="1"/>
  <c r="M70" i="30"/>
  <c r="M53" i="30"/>
  <c r="M87" i="30" s="1"/>
  <c r="N70" i="30"/>
  <c r="N53" i="30"/>
  <c r="N87" i="30" s="1"/>
  <c r="O70" i="30"/>
  <c r="O53" i="30"/>
  <c r="O87" i="30" s="1"/>
  <c r="P70" i="30"/>
  <c r="P53" i="30"/>
  <c r="P87" i="30" s="1"/>
  <c r="Q70" i="30"/>
  <c r="Q53" i="30"/>
  <c r="Q87" i="30" s="1"/>
  <c r="R70" i="30"/>
  <c r="R53" i="30"/>
  <c r="R87" i="30" s="1"/>
  <c r="S70" i="30"/>
  <c r="S53" i="30"/>
  <c r="S87" i="30" s="1"/>
  <c r="T70" i="30"/>
  <c r="T53" i="30"/>
  <c r="T87" i="30" s="1"/>
  <c r="U70" i="30"/>
  <c r="U53" i="30"/>
  <c r="U87" i="30" s="1"/>
  <c r="V70" i="30"/>
  <c r="V53" i="30"/>
  <c r="V87" i="30" s="1"/>
  <c r="W70" i="30"/>
  <c r="W53" i="30"/>
  <c r="W87" i="30" s="1"/>
  <c r="X70" i="30"/>
  <c r="X53" i="30"/>
  <c r="X87" i="30" s="1"/>
  <c r="Y70" i="30"/>
  <c r="Y53" i="30"/>
  <c r="Y87" i="30" s="1"/>
  <c r="Z70" i="30"/>
  <c r="Z53" i="30"/>
  <c r="Z87" i="30" s="1"/>
  <c r="AA70" i="30"/>
  <c r="AA53" i="30"/>
  <c r="AA87" i="30" s="1"/>
  <c r="AB70" i="30"/>
  <c r="AB53" i="30"/>
  <c r="AB87" i="30" s="1"/>
  <c r="AC70" i="30"/>
  <c r="AC53" i="30"/>
  <c r="AC87" i="30" s="1"/>
  <c r="AD70" i="30"/>
  <c r="AD53" i="30"/>
  <c r="AD87" i="30" s="1"/>
  <c r="AE70" i="30"/>
  <c r="AE53" i="30"/>
  <c r="AE87" i="30" s="1"/>
  <c r="AF70" i="30"/>
  <c r="AF53" i="30"/>
  <c r="AF87" i="30" s="1"/>
  <c r="AG70" i="30"/>
  <c r="AG53" i="30"/>
  <c r="AG87" i="30" s="1"/>
  <c r="AH70" i="30"/>
  <c r="AH53" i="30"/>
  <c r="AH87" i="30" s="1"/>
  <c r="AI70" i="30"/>
  <c r="AI53" i="30"/>
  <c r="AI87" i="30" s="1"/>
  <c r="AJ70" i="30"/>
  <c r="AJ53" i="30"/>
  <c r="AJ87" i="30" s="1"/>
  <c r="AK70" i="30"/>
  <c r="AK53" i="30"/>
  <c r="AK87" i="30" s="1"/>
  <c r="AL70" i="30"/>
  <c r="AL53" i="30"/>
  <c r="AL87" i="30" s="1"/>
  <c r="AM70" i="30"/>
  <c r="AM53" i="30"/>
  <c r="AM87" i="30" s="1"/>
  <c r="AN70" i="30"/>
  <c r="AN53" i="30"/>
  <c r="AN87" i="30" s="1"/>
  <c r="AO70" i="30"/>
  <c r="AO53" i="30"/>
  <c r="AO87" i="30" s="1"/>
  <c r="AP53" i="30"/>
  <c r="AP87" i="30" s="1"/>
  <c r="AP70" i="30"/>
  <c r="AQ53" i="30"/>
  <c r="AQ87" i="30" s="1"/>
  <c r="AQ70" i="30"/>
  <c r="AR53" i="30"/>
  <c r="AR87" i="30" s="1"/>
  <c r="AR70" i="30"/>
  <c r="AS53" i="30"/>
  <c r="AS87" i="30" s="1"/>
  <c r="AS70" i="30"/>
  <c r="AT53" i="30"/>
  <c r="AT87" i="30" s="1"/>
  <c r="AT70" i="30"/>
  <c r="AU53" i="30"/>
  <c r="AU87" i="30" s="1"/>
  <c r="AU70" i="30"/>
  <c r="AV53" i="30"/>
  <c r="AV87" i="30" s="1"/>
  <c r="AV70" i="30"/>
  <c r="AW53" i="30"/>
  <c r="AW87" i="30" s="1"/>
  <c r="AW70" i="30"/>
  <c r="B54" i="30"/>
  <c r="B37" i="30"/>
  <c r="B71" i="30" s="1"/>
  <c r="B55" i="30"/>
  <c r="B38" i="30"/>
  <c r="B72" i="30" s="1"/>
  <c r="B56" i="30"/>
  <c r="B39" i="30"/>
  <c r="B73" i="30" s="1"/>
  <c r="B57" i="30"/>
  <c r="B40" i="30"/>
  <c r="B74" i="30" s="1"/>
  <c r="C41" i="30"/>
  <c r="B59" i="30"/>
  <c r="B42" i="30"/>
  <c r="B76" i="30" s="1"/>
  <c r="B58" i="30"/>
  <c r="B41" i="30"/>
  <c r="B75" i="30" s="1"/>
  <c r="C58" i="30"/>
  <c r="B60" i="30"/>
  <c r="B43" i="30"/>
  <c r="B77" i="30" s="1"/>
  <c r="B61" i="30"/>
  <c r="B44" i="30"/>
  <c r="B78" i="30" s="1"/>
  <c r="B62" i="30"/>
  <c r="B45" i="30"/>
  <c r="B79" i="30" s="1"/>
  <c r="C46" i="30"/>
  <c r="B69" i="30"/>
  <c r="B52" i="30"/>
  <c r="B86" i="30" s="1"/>
  <c r="B63" i="30"/>
  <c r="B46" i="30"/>
  <c r="B80" i="30" s="1"/>
  <c r="C63" i="30"/>
  <c r="C44" i="30"/>
  <c r="C61" i="30"/>
  <c r="C40" i="30"/>
  <c r="B65" i="30"/>
  <c r="B48" i="30"/>
  <c r="B82" i="30" s="1"/>
  <c r="C57" i="30"/>
  <c r="C47" i="30"/>
  <c r="B64" i="30"/>
  <c r="B47" i="30"/>
  <c r="B81" i="30" s="1"/>
  <c r="C64" i="30"/>
  <c r="D52" i="30"/>
  <c r="C52" i="30"/>
  <c r="C69" i="30"/>
  <c r="D69" i="30"/>
  <c r="C39" i="30"/>
  <c r="C56" i="30"/>
  <c r="C48" i="30"/>
  <c r="C65" i="30"/>
  <c r="D40" i="30"/>
  <c r="D57" i="30"/>
  <c r="C54" i="30"/>
  <c r="C37" i="30"/>
  <c r="C55" i="30"/>
  <c r="C38" i="30"/>
  <c r="D41" i="30"/>
  <c r="C59" i="30"/>
  <c r="C42" i="30"/>
  <c r="C76" i="30" s="1"/>
  <c r="D58" i="30"/>
  <c r="C60" i="30"/>
  <c r="C43" i="30"/>
  <c r="C77" i="30" s="1"/>
  <c r="C62" i="30"/>
  <c r="C45" i="30"/>
  <c r="B66" i="30"/>
  <c r="B49" i="30"/>
  <c r="B83" i="30" s="1"/>
  <c r="D46" i="30"/>
  <c r="D63" i="30"/>
  <c r="D44" i="30"/>
  <c r="D61" i="30"/>
  <c r="D47" i="30"/>
  <c r="D64" i="30"/>
  <c r="E52" i="30"/>
  <c r="E69" i="30"/>
  <c r="D39" i="30"/>
  <c r="D56" i="30"/>
  <c r="D48" i="30"/>
  <c r="D65" i="30"/>
  <c r="E40" i="30"/>
  <c r="E57" i="30"/>
  <c r="D37" i="30"/>
  <c r="D54" i="30"/>
  <c r="D38" i="30"/>
  <c r="D55" i="30"/>
  <c r="E41" i="30"/>
  <c r="D59" i="30"/>
  <c r="D42" i="30"/>
  <c r="D76" i="30" s="1"/>
  <c r="E58" i="30"/>
  <c r="D60" i="30"/>
  <c r="D43" i="30"/>
  <c r="D77" i="30" s="1"/>
  <c r="D62" i="30"/>
  <c r="D45" i="30"/>
  <c r="C66" i="30"/>
  <c r="C49" i="30"/>
  <c r="B68" i="30"/>
  <c r="B51" i="30"/>
  <c r="B85" i="30" s="1"/>
  <c r="E46" i="30"/>
  <c r="E63" i="30"/>
  <c r="E44" i="30"/>
  <c r="E61" i="30"/>
  <c r="E47" i="30"/>
  <c r="E64" i="30"/>
  <c r="F52" i="30"/>
  <c r="F69" i="30"/>
  <c r="E48" i="30"/>
  <c r="E65" i="30"/>
  <c r="E39" i="30"/>
  <c r="E56" i="30"/>
  <c r="F40" i="30"/>
  <c r="F57" i="30"/>
  <c r="E37" i="30"/>
  <c r="E54" i="30"/>
  <c r="E38" i="30"/>
  <c r="E55" i="30"/>
  <c r="F41" i="30"/>
  <c r="E59" i="30"/>
  <c r="E42" i="30"/>
  <c r="E76" i="30" s="1"/>
  <c r="F58" i="30"/>
  <c r="E60" i="30"/>
  <c r="E43" i="30"/>
  <c r="E77" i="30" s="1"/>
  <c r="E62" i="30"/>
  <c r="E45" i="30"/>
  <c r="D66" i="30"/>
  <c r="D49" i="30"/>
  <c r="C68" i="30"/>
  <c r="C51" i="30"/>
  <c r="C85" i="30" s="1"/>
  <c r="F46" i="30"/>
  <c r="F63" i="30"/>
  <c r="F44" i="30"/>
  <c r="F61" i="30"/>
  <c r="F47" i="30"/>
  <c r="F64" i="30"/>
  <c r="G52" i="30"/>
  <c r="G69" i="30"/>
  <c r="F39" i="30"/>
  <c r="F56" i="30"/>
  <c r="F48" i="30"/>
  <c r="F65" i="30"/>
  <c r="G40" i="30"/>
  <c r="G57" i="30"/>
  <c r="F37" i="30"/>
  <c r="F54" i="30"/>
  <c r="F38" i="30"/>
  <c r="F55" i="30"/>
  <c r="G41" i="30"/>
  <c r="F59" i="30"/>
  <c r="F42" i="30"/>
  <c r="F76" i="30" s="1"/>
  <c r="G58" i="30"/>
  <c r="G44" i="30"/>
  <c r="F62" i="30"/>
  <c r="F45" i="30"/>
  <c r="E66" i="30"/>
  <c r="E49" i="30"/>
  <c r="D68" i="30"/>
  <c r="D51" i="30"/>
  <c r="D85" i="30" s="1"/>
  <c r="G61" i="30"/>
  <c r="F60" i="30"/>
  <c r="F43" i="30"/>
  <c r="F77" i="30" s="1"/>
  <c r="G46" i="30"/>
  <c r="G63" i="30"/>
  <c r="G47" i="30"/>
  <c r="G64" i="30"/>
  <c r="H52" i="30"/>
  <c r="H69" i="30"/>
  <c r="G39" i="30"/>
  <c r="G56" i="30"/>
  <c r="G48" i="30"/>
  <c r="G65" i="30"/>
  <c r="H40" i="30"/>
  <c r="H57" i="30"/>
  <c r="G37" i="30"/>
  <c r="G54" i="30"/>
  <c r="G38" i="30"/>
  <c r="G55" i="30"/>
  <c r="H41" i="30"/>
  <c r="G59" i="30"/>
  <c r="G42" i="30"/>
  <c r="G76" i="30" s="1"/>
  <c r="H58" i="30"/>
  <c r="H44" i="30"/>
  <c r="G62" i="30"/>
  <c r="G45" i="30"/>
  <c r="F66" i="30"/>
  <c r="F49" i="30"/>
  <c r="E68" i="30"/>
  <c r="E51" i="30"/>
  <c r="E85" i="30" s="1"/>
  <c r="H61" i="30"/>
  <c r="G60" i="30"/>
  <c r="G43" i="30"/>
  <c r="G77" i="30" s="1"/>
  <c r="H46" i="30"/>
  <c r="H63" i="30"/>
  <c r="H47" i="30"/>
  <c r="H64" i="30"/>
  <c r="I52" i="30"/>
  <c r="I69" i="30"/>
  <c r="H39" i="30"/>
  <c r="H56" i="30"/>
  <c r="H48" i="30"/>
  <c r="H65" i="30"/>
  <c r="I40" i="30"/>
  <c r="I57" i="30"/>
  <c r="H37" i="30"/>
  <c r="H54" i="30"/>
  <c r="H38" i="30"/>
  <c r="H55" i="30"/>
  <c r="I41" i="30"/>
  <c r="H59" i="30"/>
  <c r="H42" i="30"/>
  <c r="H76" i="30" s="1"/>
  <c r="I58" i="30"/>
  <c r="I44" i="30"/>
  <c r="H62" i="30"/>
  <c r="H45" i="30"/>
  <c r="G66" i="30"/>
  <c r="G49" i="30"/>
  <c r="F68" i="30"/>
  <c r="F51" i="30"/>
  <c r="F85" i="30" s="1"/>
  <c r="I61" i="30"/>
  <c r="H60" i="30"/>
  <c r="H43" i="30"/>
  <c r="H77" i="30" s="1"/>
  <c r="I46" i="30"/>
  <c r="I63" i="30"/>
  <c r="I47" i="30"/>
  <c r="I64" i="30"/>
  <c r="J52" i="30"/>
  <c r="J69" i="30"/>
  <c r="I39" i="30"/>
  <c r="I56" i="30"/>
  <c r="I48" i="30"/>
  <c r="I65" i="30"/>
  <c r="J40" i="30"/>
  <c r="J57" i="30"/>
  <c r="I37" i="30"/>
  <c r="I54" i="30"/>
  <c r="I38" i="30"/>
  <c r="I55" i="30"/>
  <c r="I59" i="30"/>
  <c r="I42" i="30"/>
  <c r="I76" i="30" s="1"/>
  <c r="J41" i="30"/>
  <c r="J58" i="30"/>
  <c r="I62" i="30"/>
  <c r="I45" i="30"/>
  <c r="H66" i="30"/>
  <c r="H49" i="30"/>
  <c r="G68" i="30"/>
  <c r="G51" i="30"/>
  <c r="G85" i="30" s="1"/>
  <c r="J44" i="30"/>
  <c r="J61" i="30"/>
  <c r="I60" i="30"/>
  <c r="I43" i="30"/>
  <c r="I77" i="30" s="1"/>
  <c r="J46" i="30"/>
  <c r="J63" i="30"/>
  <c r="J47" i="30"/>
  <c r="J64" i="30"/>
  <c r="K52" i="30"/>
  <c r="K69" i="30"/>
  <c r="J39" i="30"/>
  <c r="J56" i="30"/>
  <c r="J48" i="30"/>
  <c r="J65" i="30"/>
  <c r="K40" i="30"/>
  <c r="K57" i="30"/>
  <c r="J37" i="30"/>
  <c r="J54" i="30"/>
  <c r="J38" i="30"/>
  <c r="J55" i="30"/>
  <c r="J59" i="30"/>
  <c r="J42" i="30"/>
  <c r="J76" i="30" s="1"/>
  <c r="K41" i="30"/>
  <c r="K58" i="30"/>
  <c r="I66" i="30"/>
  <c r="I49" i="30"/>
  <c r="H68" i="30"/>
  <c r="H51" i="30"/>
  <c r="H85" i="30" s="1"/>
  <c r="J45" i="30"/>
  <c r="J62" i="30"/>
  <c r="K44" i="30"/>
  <c r="K61" i="30"/>
  <c r="J60" i="30"/>
  <c r="J43" i="30"/>
  <c r="J77" i="30" s="1"/>
  <c r="K46" i="30"/>
  <c r="K63" i="30"/>
  <c r="K47" i="30"/>
  <c r="K64" i="30"/>
  <c r="L52" i="30"/>
  <c r="L69" i="30"/>
  <c r="K39" i="30"/>
  <c r="K56" i="30"/>
  <c r="K48" i="30"/>
  <c r="K65" i="30"/>
  <c r="L40" i="30"/>
  <c r="L57" i="30"/>
  <c r="K37" i="30"/>
  <c r="K54" i="30"/>
  <c r="K38" i="30"/>
  <c r="K55" i="30"/>
  <c r="K59" i="30"/>
  <c r="K42" i="30"/>
  <c r="K76" i="30" s="1"/>
  <c r="L41" i="30"/>
  <c r="L58" i="30"/>
  <c r="I68" i="30"/>
  <c r="I51" i="30"/>
  <c r="I85" i="30" s="1"/>
  <c r="J49" i="30"/>
  <c r="J66" i="30"/>
  <c r="K45" i="30"/>
  <c r="K62" i="30"/>
  <c r="L44" i="30"/>
  <c r="L61" i="30"/>
  <c r="K60" i="30"/>
  <c r="K43" i="30"/>
  <c r="K77" i="30" s="1"/>
  <c r="L46" i="30"/>
  <c r="L63" i="30"/>
  <c r="L47" i="30"/>
  <c r="L64" i="30"/>
  <c r="M52" i="30"/>
  <c r="M69" i="30"/>
  <c r="L39" i="30"/>
  <c r="L56" i="30"/>
  <c r="L48" i="30"/>
  <c r="L65" i="30"/>
  <c r="M40" i="30"/>
  <c r="M57" i="30"/>
  <c r="L37" i="30"/>
  <c r="L54" i="30"/>
  <c r="L38" i="30"/>
  <c r="L55" i="30"/>
  <c r="L59" i="30"/>
  <c r="L42" i="30"/>
  <c r="L76" i="30" s="1"/>
  <c r="M41" i="30"/>
  <c r="M58" i="30"/>
  <c r="J68" i="30"/>
  <c r="J51" i="30"/>
  <c r="J85" i="30" s="1"/>
  <c r="K49" i="30"/>
  <c r="K66" i="30"/>
  <c r="L45" i="30"/>
  <c r="L62" i="30"/>
  <c r="M44" i="30"/>
  <c r="M61" i="30"/>
  <c r="L60" i="30"/>
  <c r="L43" i="30"/>
  <c r="L77" i="30" s="1"/>
  <c r="M46" i="30"/>
  <c r="M63" i="30"/>
  <c r="M47" i="30"/>
  <c r="M64" i="30"/>
  <c r="N52" i="30"/>
  <c r="N69" i="30"/>
  <c r="M39" i="30"/>
  <c r="M56" i="30"/>
  <c r="M48" i="30"/>
  <c r="M65" i="30"/>
  <c r="N40" i="30"/>
  <c r="N57" i="30"/>
  <c r="M37" i="30"/>
  <c r="M54" i="30"/>
  <c r="M38" i="30"/>
  <c r="M55" i="30"/>
  <c r="M59" i="30"/>
  <c r="M42" i="30"/>
  <c r="M76" i="30" s="1"/>
  <c r="N41" i="30"/>
  <c r="N58" i="30"/>
  <c r="K68" i="30"/>
  <c r="K51" i="30"/>
  <c r="K85" i="30" s="1"/>
  <c r="L49" i="30"/>
  <c r="L66" i="30"/>
  <c r="M45" i="30"/>
  <c r="M62" i="30"/>
  <c r="N44" i="30"/>
  <c r="N61" i="30"/>
  <c r="M60" i="30"/>
  <c r="M43" i="30"/>
  <c r="M77" i="30" s="1"/>
  <c r="N46" i="30"/>
  <c r="N63" i="30"/>
  <c r="N47" i="30"/>
  <c r="N64" i="30"/>
  <c r="O52" i="30"/>
  <c r="O69" i="30"/>
  <c r="N39" i="30"/>
  <c r="N56" i="30"/>
  <c r="N48" i="30"/>
  <c r="N65" i="30"/>
  <c r="O40" i="30"/>
  <c r="O57" i="30"/>
  <c r="N37" i="30"/>
  <c r="N54" i="30"/>
  <c r="N38" i="30"/>
  <c r="N55" i="30"/>
  <c r="N59" i="30"/>
  <c r="N42" i="30"/>
  <c r="N76" i="30" s="1"/>
  <c r="O41" i="30"/>
  <c r="O58" i="30"/>
  <c r="L68" i="30"/>
  <c r="L51" i="30"/>
  <c r="L85" i="30" s="1"/>
  <c r="M49" i="30"/>
  <c r="M66" i="30"/>
  <c r="N45" i="30"/>
  <c r="N62" i="30"/>
  <c r="O44" i="30"/>
  <c r="O61" i="30"/>
  <c r="N60" i="30"/>
  <c r="N43" i="30"/>
  <c r="N77" i="30" s="1"/>
  <c r="O46" i="30"/>
  <c r="O63" i="30"/>
  <c r="O47" i="30"/>
  <c r="O64" i="30"/>
  <c r="P52" i="30"/>
  <c r="P69" i="30"/>
  <c r="O39" i="30"/>
  <c r="O56" i="30"/>
  <c r="O48" i="30"/>
  <c r="O65" i="30"/>
  <c r="P40" i="30"/>
  <c r="P57" i="30"/>
  <c r="O37" i="30"/>
  <c r="O54" i="30"/>
  <c r="O38" i="30"/>
  <c r="O55" i="30"/>
  <c r="O59" i="30"/>
  <c r="O42" i="30"/>
  <c r="O76" i="30" s="1"/>
  <c r="P41" i="30"/>
  <c r="P58" i="30"/>
  <c r="M68" i="30"/>
  <c r="M51" i="30"/>
  <c r="M85" i="30" s="1"/>
  <c r="N49" i="30"/>
  <c r="N66" i="30"/>
  <c r="O45" i="30"/>
  <c r="O62" i="30"/>
  <c r="P44" i="30"/>
  <c r="P61" i="30"/>
  <c r="O60" i="30"/>
  <c r="O43" i="30"/>
  <c r="O77" i="30" s="1"/>
  <c r="P46" i="30"/>
  <c r="P63" i="30"/>
  <c r="P47" i="30"/>
  <c r="P64" i="30"/>
  <c r="Q52" i="30"/>
  <c r="Q69" i="30"/>
  <c r="P39" i="30"/>
  <c r="P56" i="30"/>
  <c r="P48" i="30"/>
  <c r="P65" i="30"/>
  <c r="Q40" i="30"/>
  <c r="Q57" i="30"/>
  <c r="P37" i="30"/>
  <c r="P54" i="30"/>
  <c r="P38" i="30"/>
  <c r="P55" i="30"/>
  <c r="P59" i="30"/>
  <c r="P42" i="30"/>
  <c r="P76" i="30" s="1"/>
  <c r="Q41" i="30"/>
  <c r="Q58" i="30"/>
  <c r="N68" i="30"/>
  <c r="N51" i="30"/>
  <c r="N85" i="30" s="1"/>
  <c r="O49" i="30"/>
  <c r="O66" i="30"/>
  <c r="P45" i="30"/>
  <c r="P62" i="30"/>
  <c r="Q44" i="30"/>
  <c r="Q61" i="30"/>
  <c r="P60" i="30"/>
  <c r="P43" i="30"/>
  <c r="P77" i="30" s="1"/>
  <c r="Q46" i="30"/>
  <c r="Q63" i="30"/>
  <c r="Q47" i="30"/>
  <c r="Q64" i="30"/>
  <c r="R52" i="30"/>
  <c r="R69" i="30"/>
  <c r="Q39" i="30"/>
  <c r="Q56" i="30"/>
  <c r="Q48" i="30"/>
  <c r="Q65" i="30"/>
  <c r="R40" i="30"/>
  <c r="R57" i="30"/>
  <c r="Q37" i="30"/>
  <c r="Q54" i="30"/>
  <c r="Q38" i="30"/>
  <c r="Q55" i="30"/>
  <c r="Q59" i="30"/>
  <c r="Q42" i="30"/>
  <c r="Q76" i="30" s="1"/>
  <c r="R41" i="30"/>
  <c r="R58" i="30"/>
  <c r="O68" i="30"/>
  <c r="O51" i="30"/>
  <c r="O85" i="30" s="1"/>
  <c r="P49" i="30"/>
  <c r="P66" i="30"/>
  <c r="Q45" i="30"/>
  <c r="Q62" i="30"/>
  <c r="R44" i="30"/>
  <c r="R61" i="30"/>
  <c r="Q60" i="30"/>
  <c r="Q43" i="30"/>
  <c r="Q77" i="30" s="1"/>
  <c r="R46" i="30"/>
  <c r="R63" i="30"/>
  <c r="R47" i="30"/>
  <c r="R64" i="30"/>
  <c r="S52" i="30"/>
  <c r="S69" i="30"/>
  <c r="R39" i="30"/>
  <c r="R56" i="30"/>
  <c r="R48" i="30"/>
  <c r="R65" i="30"/>
  <c r="S40" i="30"/>
  <c r="S57" i="30"/>
  <c r="R37" i="30"/>
  <c r="R54" i="30"/>
  <c r="R38" i="30"/>
  <c r="R55" i="30"/>
  <c r="R59" i="30"/>
  <c r="R42" i="30"/>
  <c r="R76" i="30" s="1"/>
  <c r="S41" i="30"/>
  <c r="S58" i="30"/>
  <c r="P68" i="30"/>
  <c r="P51" i="30"/>
  <c r="P85" i="30" s="1"/>
  <c r="Q49" i="30"/>
  <c r="Q66" i="30"/>
  <c r="R45" i="30"/>
  <c r="R62" i="30"/>
  <c r="S44" i="30"/>
  <c r="S61" i="30"/>
  <c r="R60" i="30"/>
  <c r="R43" i="30"/>
  <c r="R77" i="30" s="1"/>
  <c r="S46" i="30"/>
  <c r="S63" i="30"/>
  <c r="S47" i="30"/>
  <c r="S64" i="30"/>
  <c r="T52" i="30"/>
  <c r="T69" i="30"/>
  <c r="S39" i="30"/>
  <c r="S56" i="30"/>
  <c r="S48" i="30"/>
  <c r="S65" i="30"/>
  <c r="T40" i="30"/>
  <c r="T57" i="30"/>
  <c r="S37" i="30"/>
  <c r="S54" i="30"/>
  <c r="S38" i="30"/>
  <c r="S55" i="30"/>
  <c r="S59" i="30"/>
  <c r="S42" i="30"/>
  <c r="S76" i="30" s="1"/>
  <c r="T41" i="30"/>
  <c r="T58" i="30"/>
  <c r="Q68" i="30"/>
  <c r="Q51" i="30"/>
  <c r="Q85" i="30" s="1"/>
  <c r="R49" i="30"/>
  <c r="R66" i="30"/>
  <c r="S45" i="30"/>
  <c r="S62" i="30"/>
  <c r="T44" i="30"/>
  <c r="T61" i="30"/>
  <c r="S60" i="30"/>
  <c r="S43" i="30"/>
  <c r="S77" i="30" s="1"/>
  <c r="T46" i="30"/>
  <c r="T63" i="30"/>
  <c r="T47" i="30"/>
  <c r="T64" i="30"/>
  <c r="U52" i="30"/>
  <c r="U69" i="30"/>
  <c r="T39" i="30"/>
  <c r="T56" i="30"/>
  <c r="T48" i="30"/>
  <c r="T65" i="30"/>
  <c r="U40" i="30"/>
  <c r="U57" i="30"/>
  <c r="T37" i="30"/>
  <c r="T54" i="30"/>
  <c r="T38" i="30"/>
  <c r="T55" i="30"/>
  <c r="T59" i="30"/>
  <c r="T42" i="30"/>
  <c r="T76" i="30" s="1"/>
  <c r="U41" i="30"/>
  <c r="U58" i="30"/>
  <c r="R68" i="30"/>
  <c r="R51" i="30"/>
  <c r="R85" i="30" s="1"/>
  <c r="S49" i="30"/>
  <c r="S66" i="30"/>
  <c r="T45" i="30"/>
  <c r="T62" i="30"/>
  <c r="U44" i="30"/>
  <c r="U61" i="30"/>
  <c r="T60" i="30"/>
  <c r="T43" i="30"/>
  <c r="T77" i="30" s="1"/>
  <c r="U46" i="30"/>
  <c r="U63" i="30"/>
  <c r="U47" i="30"/>
  <c r="U64" i="30"/>
  <c r="V52" i="30"/>
  <c r="V69" i="30"/>
  <c r="U39" i="30"/>
  <c r="U56" i="30"/>
  <c r="U48" i="30"/>
  <c r="U65" i="30"/>
  <c r="V40" i="30"/>
  <c r="V57" i="30"/>
  <c r="U37" i="30"/>
  <c r="U54" i="30"/>
  <c r="U38" i="30"/>
  <c r="U55" i="30"/>
  <c r="U59" i="30"/>
  <c r="U42" i="30"/>
  <c r="U76" i="30" s="1"/>
  <c r="V41" i="30"/>
  <c r="V58" i="30"/>
  <c r="S68" i="30"/>
  <c r="S51" i="30"/>
  <c r="S85" i="30" s="1"/>
  <c r="T49" i="30"/>
  <c r="T66" i="30"/>
  <c r="U45" i="30"/>
  <c r="U62" i="30"/>
  <c r="V44" i="30"/>
  <c r="V61" i="30"/>
  <c r="U60" i="30"/>
  <c r="U43" i="30"/>
  <c r="U77" i="30" s="1"/>
  <c r="V46" i="30"/>
  <c r="V63" i="30"/>
  <c r="V47" i="30"/>
  <c r="V64" i="30"/>
  <c r="W52" i="30"/>
  <c r="W69" i="30"/>
  <c r="V39" i="30"/>
  <c r="V56" i="30"/>
  <c r="V48" i="30"/>
  <c r="V65" i="30"/>
  <c r="W40" i="30"/>
  <c r="W57" i="30"/>
  <c r="V37" i="30"/>
  <c r="V54" i="30"/>
  <c r="V38" i="30"/>
  <c r="V55" i="30"/>
  <c r="V59" i="30"/>
  <c r="V42" i="30"/>
  <c r="V76" i="30" s="1"/>
  <c r="W41" i="30"/>
  <c r="W58" i="30"/>
  <c r="T68" i="30"/>
  <c r="T51" i="30"/>
  <c r="T85" i="30" s="1"/>
  <c r="U49" i="30"/>
  <c r="U66" i="30"/>
  <c r="V45" i="30"/>
  <c r="V62" i="30"/>
  <c r="W44" i="30"/>
  <c r="W61" i="30"/>
  <c r="V60" i="30"/>
  <c r="V43" i="30"/>
  <c r="V77" i="30" s="1"/>
  <c r="W46" i="30"/>
  <c r="W63" i="30"/>
  <c r="W47" i="30"/>
  <c r="W64" i="30"/>
  <c r="X52" i="30"/>
  <c r="X69" i="30"/>
  <c r="W39" i="30"/>
  <c r="W56" i="30"/>
  <c r="W48" i="30"/>
  <c r="W65" i="30"/>
  <c r="X40" i="30"/>
  <c r="X57" i="30"/>
  <c r="W37" i="30"/>
  <c r="W54" i="30"/>
  <c r="W38" i="30"/>
  <c r="W55" i="30"/>
  <c r="W59" i="30"/>
  <c r="W42" i="30"/>
  <c r="W76" i="30" s="1"/>
  <c r="X41" i="30"/>
  <c r="X58" i="30"/>
  <c r="U68" i="30"/>
  <c r="U51" i="30"/>
  <c r="U85" i="30" s="1"/>
  <c r="V49" i="30"/>
  <c r="V66" i="30"/>
  <c r="W45" i="30"/>
  <c r="W62" i="30"/>
  <c r="X44" i="30"/>
  <c r="X61" i="30"/>
  <c r="W60" i="30"/>
  <c r="W43" i="30"/>
  <c r="W77" i="30" s="1"/>
  <c r="X46" i="30"/>
  <c r="X63" i="30"/>
  <c r="X47" i="30"/>
  <c r="X64" i="30"/>
  <c r="Y52" i="30"/>
  <c r="Y69" i="30"/>
  <c r="X39" i="30"/>
  <c r="X56" i="30"/>
  <c r="X48" i="30"/>
  <c r="X65" i="30"/>
  <c r="Y40" i="30"/>
  <c r="Y57" i="30"/>
  <c r="X37" i="30"/>
  <c r="X54" i="30"/>
  <c r="X38" i="30"/>
  <c r="X55" i="30"/>
  <c r="X59" i="30"/>
  <c r="X42" i="30"/>
  <c r="X76" i="30" s="1"/>
  <c r="Y41" i="30"/>
  <c r="Y58" i="30"/>
  <c r="V68" i="30"/>
  <c r="V51" i="30"/>
  <c r="V85" i="30" s="1"/>
  <c r="W49" i="30"/>
  <c r="W66" i="30"/>
  <c r="X45" i="30"/>
  <c r="X62" i="30"/>
  <c r="Y44" i="30"/>
  <c r="Y61" i="30"/>
  <c r="X60" i="30"/>
  <c r="X43" i="30"/>
  <c r="X77" i="30" s="1"/>
  <c r="Y46" i="30"/>
  <c r="Y63" i="30"/>
  <c r="Y47" i="30"/>
  <c r="Y64" i="30"/>
  <c r="Z52" i="30"/>
  <c r="Z69" i="30"/>
  <c r="Y39" i="30"/>
  <c r="Y56" i="30"/>
  <c r="Y48" i="30"/>
  <c r="Y65" i="30"/>
  <c r="Z40" i="30"/>
  <c r="Z57" i="30"/>
  <c r="Y37" i="30"/>
  <c r="Y54" i="30"/>
  <c r="Y38" i="30"/>
  <c r="Y55" i="30"/>
  <c r="Y59" i="30"/>
  <c r="Y42" i="30"/>
  <c r="Y76" i="30" s="1"/>
  <c r="Z41" i="30"/>
  <c r="Z58" i="30"/>
  <c r="W68" i="30"/>
  <c r="W51" i="30"/>
  <c r="W85" i="30" s="1"/>
  <c r="X49" i="30"/>
  <c r="X66" i="30"/>
  <c r="Y45" i="30"/>
  <c r="Y62" i="30"/>
  <c r="Z44" i="30"/>
  <c r="Z61" i="30"/>
  <c r="Y60" i="30"/>
  <c r="Y43" i="30"/>
  <c r="Y77" i="30" s="1"/>
  <c r="Z46" i="30"/>
  <c r="Z63" i="30"/>
  <c r="Z47" i="30"/>
  <c r="Z64" i="30"/>
  <c r="AA52" i="30"/>
  <c r="AA69" i="30"/>
  <c r="Z39" i="30"/>
  <c r="Z56" i="30"/>
  <c r="Z48" i="30"/>
  <c r="Z65" i="30"/>
  <c r="AA40" i="30"/>
  <c r="AA57" i="30"/>
  <c r="Z37" i="30"/>
  <c r="Z54" i="30"/>
  <c r="Z38" i="30"/>
  <c r="Z55" i="30"/>
  <c r="Z59" i="30"/>
  <c r="Z42" i="30"/>
  <c r="Z76" i="30" s="1"/>
  <c r="AA41" i="30"/>
  <c r="AA58" i="30"/>
  <c r="X68" i="30"/>
  <c r="X51" i="30"/>
  <c r="X85" i="30" s="1"/>
  <c r="Y49" i="30"/>
  <c r="Y66" i="30"/>
  <c r="Z45" i="30"/>
  <c r="Z62" i="30"/>
  <c r="AA44" i="30"/>
  <c r="AA61" i="30"/>
  <c r="Z60" i="30"/>
  <c r="Z43" i="30"/>
  <c r="Z77" i="30" s="1"/>
  <c r="AA46" i="30"/>
  <c r="AA63" i="30"/>
  <c r="AA47" i="30"/>
  <c r="AA64" i="30"/>
  <c r="AB52" i="30"/>
  <c r="AB69" i="30"/>
  <c r="AA39" i="30"/>
  <c r="AA56" i="30"/>
  <c r="AA48" i="30"/>
  <c r="AA65" i="30"/>
  <c r="AB40" i="30"/>
  <c r="AB57" i="30"/>
  <c r="AA37" i="30"/>
  <c r="AA54" i="30"/>
  <c r="AA38" i="30"/>
  <c r="AA55" i="30"/>
  <c r="AA59" i="30"/>
  <c r="AA42" i="30"/>
  <c r="AA76" i="30" s="1"/>
  <c r="AB41" i="30"/>
  <c r="AB58" i="30"/>
  <c r="Y68" i="30"/>
  <c r="Y51" i="30"/>
  <c r="Y85" i="30" s="1"/>
  <c r="Z49" i="30"/>
  <c r="Z66" i="30"/>
  <c r="AA45" i="30"/>
  <c r="AA62" i="30"/>
  <c r="AB44" i="30"/>
  <c r="AB61" i="30"/>
  <c r="AA60" i="30"/>
  <c r="AA43" i="30"/>
  <c r="AA77" i="30" s="1"/>
  <c r="AB46" i="30"/>
  <c r="AB63" i="30"/>
  <c r="AB47" i="30"/>
  <c r="AB64" i="30"/>
  <c r="AC52" i="30"/>
  <c r="AC69" i="30"/>
  <c r="AB39" i="30"/>
  <c r="AB56" i="30"/>
  <c r="AB48" i="30"/>
  <c r="AB65" i="30"/>
  <c r="AC40" i="30"/>
  <c r="AC57" i="30"/>
  <c r="AB37" i="30"/>
  <c r="AB54" i="30"/>
  <c r="AB38" i="30"/>
  <c r="AB55" i="30"/>
  <c r="AB59" i="30"/>
  <c r="AB42" i="30"/>
  <c r="AB76" i="30" s="1"/>
  <c r="AC41" i="30"/>
  <c r="AC58" i="30"/>
  <c r="Z68" i="30"/>
  <c r="Z51" i="30"/>
  <c r="Z85" i="30" s="1"/>
  <c r="AA49" i="30"/>
  <c r="AA66" i="30"/>
  <c r="AB45" i="30"/>
  <c r="AB62" i="30"/>
  <c r="AC44" i="30"/>
  <c r="AC61" i="30"/>
  <c r="AB60" i="30"/>
  <c r="AB43" i="30"/>
  <c r="AB77" i="30" s="1"/>
  <c r="AC46" i="30"/>
  <c r="AC63" i="30"/>
  <c r="AC47" i="30"/>
  <c r="AC64" i="30"/>
  <c r="AD52" i="30"/>
  <c r="AD69" i="30"/>
  <c r="AC39" i="30"/>
  <c r="AC56" i="30"/>
  <c r="AC48" i="30"/>
  <c r="AC65" i="30"/>
  <c r="AD40" i="30"/>
  <c r="AD57" i="30"/>
  <c r="AC37" i="30"/>
  <c r="AC54" i="30"/>
  <c r="AC38" i="30"/>
  <c r="AC55" i="30"/>
  <c r="AC59" i="30"/>
  <c r="AC42" i="30"/>
  <c r="AC76" i="30" s="1"/>
  <c r="AD41" i="30"/>
  <c r="AD58" i="30"/>
  <c r="AA68" i="30"/>
  <c r="AA51" i="30"/>
  <c r="AA85" i="30" s="1"/>
  <c r="AB49" i="30"/>
  <c r="AB66" i="30"/>
  <c r="AC45" i="30"/>
  <c r="AC62" i="30"/>
  <c r="AD44" i="30"/>
  <c r="AD61" i="30"/>
  <c r="AC60" i="30"/>
  <c r="AC43" i="30"/>
  <c r="AC77" i="30" s="1"/>
  <c r="AD46" i="30"/>
  <c r="AD63" i="30"/>
  <c r="AD47" i="30"/>
  <c r="AD64" i="30"/>
  <c r="AE52" i="30"/>
  <c r="AE69" i="30"/>
  <c r="AD39" i="30"/>
  <c r="AD56" i="30"/>
  <c r="AD48" i="30"/>
  <c r="AD65" i="30"/>
  <c r="AE40" i="30"/>
  <c r="AE57" i="30"/>
  <c r="AD37" i="30"/>
  <c r="AD54" i="30"/>
  <c r="AD38" i="30"/>
  <c r="AD55" i="30"/>
  <c r="AD59" i="30"/>
  <c r="AD42" i="30"/>
  <c r="AD76" i="30" s="1"/>
  <c r="AE41" i="30"/>
  <c r="AE58" i="30"/>
  <c r="AB68" i="30"/>
  <c r="AB51" i="30"/>
  <c r="AB85" i="30" s="1"/>
  <c r="AC49" i="30"/>
  <c r="AC66" i="30"/>
  <c r="AD45" i="30"/>
  <c r="AD62" i="30"/>
  <c r="AE44" i="30"/>
  <c r="AE61" i="30"/>
  <c r="AD60" i="30"/>
  <c r="AD43" i="30"/>
  <c r="AD77" i="30" s="1"/>
  <c r="AE46" i="30"/>
  <c r="AE63" i="30"/>
  <c r="AE47" i="30"/>
  <c r="AE64" i="30"/>
  <c r="AF52" i="30"/>
  <c r="AF69" i="30"/>
  <c r="AE39" i="30"/>
  <c r="AE56" i="30"/>
  <c r="AE48" i="30"/>
  <c r="AE65" i="30"/>
  <c r="AF40" i="30"/>
  <c r="AF57" i="30"/>
  <c r="AE37" i="30"/>
  <c r="AE54" i="30"/>
  <c r="AE38" i="30"/>
  <c r="AE55" i="30"/>
  <c r="AE59" i="30"/>
  <c r="AE42" i="30"/>
  <c r="AE76" i="30" s="1"/>
  <c r="AF41" i="30"/>
  <c r="AF58" i="30"/>
  <c r="AC68" i="30"/>
  <c r="AC51" i="30"/>
  <c r="AC85" i="30" s="1"/>
  <c r="AD49" i="30"/>
  <c r="AD66" i="30"/>
  <c r="AE45" i="30"/>
  <c r="AE62" i="30"/>
  <c r="AF44" i="30"/>
  <c r="AF61" i="30"/>
  <c r="AE60" i="30"/>
  <c r="AE43" i="30"/>
  <c r="AE77" i="30" s="1"/>
  <c r="AF46" i="30"/>
  <c r="AF63" i="30"/>
  <c r="AF47" i="30"/>
  <c r="AF64" i="30"/>
  <c r="AG52" i="30"/>
  <c r="AG69" i="30"/>
  <c r="AF39" i="30"/>
  <c r="AF56" i="30"/>
  <c r="AF48" i="30"/>
  <c r="AF65" i="30"/>
  <c r="AG40" i="30"/>
  <c r="AG57" i="30"/>
  <c r="AF37" i="30"/>
  <c r="AF54" i="30"/>
  <c r="AF38" i="30"/>
  <c r="AF55" i="30"/>
  <c r="AF59" i="30"/>
  <c r="AF42" i="30"/>
  <c r="AF76" i="30" s="1"/>
  <c r="AG41" i="30"/>
  <c r="AG58" i="30"/>
  <c r="AD68" i="30"/>
  <c r="AD51" i="30"/>
  <c r="AD85" i="30" s="1"/>
  <c r="AE49" i="30"/>
  <c r="AE66" i="30"/>
  <c r="AF45" i="30"/>
  <c r="AF62" i="30"/>
  <c r="AG44" i="30"/>
  <c r="AG61" i="30"/>
  <c r="AF60" i="30"/>
  <c r="AF43" i="30"/>
  <c r="AF77" i="30" s="1"/>
  <c r="AG46" i="30"/>
  <c r="AG63" i="30"/>
  <c r="AG47" i="30"/>
  <c r="AG64" i="30"/>
  <c r="AH52" i="30"/>
  <c r="AH69" i="30"/>
  <c r="AG39" i="30"/>
  <c r="AG56" i="30"/>
  <c r="AG48" i="30"/>
  <c r="AG65" i="30"/>
  <c r="AH40" i="30"/>
  <c r="AH57" i="30"/>
  <c r="AG37" i="30"/>
  <c r="AG54" i="30"/>
  <c r="AG38" i="30"/>
  <c r="AG55" i="30"/>
  <c r="AG59" i="30"/>
  <c r="AG42" i="30"/>
  <c r="AG76" i="30" s="1"/>
  <c r="AH41" i="30"/>
  <c r="AH58" i="30"/>
  <c r="AE68" i="30"/>
  <c r="AE51" i="30"/>
  <c r="AE85" i="30" s="1"/>
  <c r="AF49" i="30"/>
  <c r="AF66" i="30"/>
  <c r="AG45" i="30"/>
  <c r="AG62" i="30"/>
  <c r="AH44" i="30"/>
  <c r="AH61" i="30"/>
  <c r="AG60" i="30"/>
  <c r="AG43" i="30"/>
  <c r="AG77" i="30" s="1"/>
  <c r="AH46" i="30"/>
  <c r="AH63" i="30"/>
  <c r="AH47" i="30"/>
  <c r="AH64" i="30"/>
  <c r="AI52" i="30"/>
  <c r="AI69" i="30"/>
  <c r="AH39" i="30"/>
  <c r="AH56" i="30"/>
  <c r="AH48" i="30"/>
  <c r="AH65" i="30"/>
  <c r="AI40" i="30"/>
  <c r="AI57" i="30"/>
  <c r="AH37" i="30"/>
  <c r="AH54" i="30"/>
  <c r="AH38" i="30"/>
  <c r="AH55" i="30"/>
  <c r="AH59" i="30"/>
  <c r="AH42" i="30"/>
  <c r="AH76" i="30" s="1"/>
  <c r="AI41" i="30"/>
  <c r="AI58" i="30"/>
  <c r="AF68" i="30"/>
  <c r="AF51" i="30"/>
  <c r="AF85" i="30" s="1"/>
  <c r="AG49" i="30"/>
  <c r="AG66" i="30"/>
  <c r="AH45" i="30"/>
  <c r="AH62" i="30"/>
  <c r="AI44" i="30"/>
  <c r="AI61" i="30"/>
  <c r="AH60" i="30"/>
  <c r="AH43" i="30"/>
  <c r="AH77" i="30" s="1"/>
  <c r="AI46" i="30"/>
  <c r="AI63" i="30"/>
  <c r="AI47" i="30"/>
  <c r="AI64" i="30"/>
  <c r="AJ52" i="30"/>
  <c r="AJ69" i="30"/>
  <c r="AI39" i="30"/>
  <c r="AI56" i="30"/>
  <c r="AI48" i="30"/>
  <c r="AI65" i="30"/>
  <c r="AJ40" i="30"/>
  <c r="AJ57" i="30"/>
  <c r="AI37" i="30"/>
  <c r="AI54" i="30"/>
  <c r="AI38" i="30"/>
  <c r="AI55" i="30"/>
  <c r="AI59" i="30"/>
  <c r="AI42" i="30"/>
  <c r="AI76" i="30" s="1"/>
  <c r="AJ41" i="30"/>
  <c r="AJ58" i="30"/>
  <c r="AG68" i="30"/>
  <c r="AG51" i="30"/>
  <c r="AG85" i="30" s="1"/>
  <c r="AH49" i="30"/>
  <c r="AH66" i="30"/>
  <c r="AI45" i="30"/>
  <c r="AI62" i="30"/>
  <c r="AJ44" i="30"/>
  <c r="AJ61" i="30"/>
  <c r="AI60" i="30"/>
  <c r="AI43" i="30"/>
  <c r="AI77" i="30" s="1"/>
  <c r="AJ46" i="30"/>
  <c r="AJ63" i="30"/>
  <c r="AJ47" i="30"/>
  <c r="AJ64" i="30"/>
  <c r="AK52" i="30"/>
  <c r="AK69" i="30"/>
  <c r="AJ39" i="30"/>
  <c r="AJ56" i="30"/>
  <c r="AJ48" i="30"/>
  <c r="AJ65" i="30"/>
  <c r="AK40" i="30"/>
  <c r="AK57" i="30"/>
  <c r="AJ37" i="30"/>
  <c r="AJ54" i="30"/>
  <c r="AJ38" i="30"/>
  <c r="AJ55" i="30"/>
  <c r="AJ59" i="30"/>
  <c r="AJ42" i="30"/>
  <c r="AJ76" i="30" s="1"/>
  <c r="AK41" i="30"/>
  <c r="AK58" i="30"/>
  <c r="AH68" i="30"/>
  <c r="AH51" i="30"/>
  <c r="AH85" i="30" s="1"/>
  <c r="AI49" i="30"/>
  <c r="AI66" i="30"/>
  <c r="AJ45" i="30"/>
  <c r="AJ62" i="30"/>
  <c r="AK44" i="30"/>
  <c r="AK61" i="30"/>
  <c r="AJ60" i="30"/>
  <c r="AJ43" i="30"/>
  <c r="AJ77" i="30" s="1"/>
  <c r="AK46" i="30"/>
  <c r="AK63" i="30"/>
  <c r="AK47" i="30"/>
  <c r="AK64" i="30"/>
  <c r="AL52" i="30"/>
  <c r="AL69" i="30"/>
  <c r="AK39" i="30"/>
  <c r="AK56" i="30"/>
  <c r="AK48" i="30"/>
  <c r="AK65" i="30"/>
  <c r="AL40" i="30"/>
  <c r="AL57" i="30"/>
  <c r="AK37" i="30"/>
  <c r="AK54" i="30"/>
  <c r="AK38" i="30"/>
  <c r="AK55" i="30"/>
  <c r="AK59" i="30"/>
  <c r="AK42" i="30"/>
  <c r="AK76" i="30" s="1"/>
  <c r="AL41" i="30"/>
  <c r="AL58" i="30"/>
  <c r="AI68" i="30"/>
  <c r="AI51" i="30"/>
  <c r="AI85" i="30" s="1"/>
  <c r="AJ49" i="30"/>
  <c r="AJ66" i="30"/>
  <c r="AK45" i="30"/>
  <c r="AK62" i="30"/>
  <c r="AL44" i="30"/>
  <c r="AL61" i="30"/>
  <c r="AK60" i="30"/>
  <c r="AK43" i="30"/>
  <c r="AK77" i="30" s="1"/>
  <c r="AL46" i="30"/>
  <c r="AL63" i="30"/>
  <c r="AL47" i="30"/>
  <c r="AL64" i="30"/>
  <c r="AM52" i="30"/>
  <c r="AM69" i="30"/>
  <c r="AL39" i="30"/>
  <c r="AL56" i="30"/>
  <c r="AL48" i="30"/>
  <c r="AL65" i="30"/>
  <c r="AM40" i="30"/>
  <c r="AM57" i="30"/>
  <c r="AL37" i="30"/>
  <c r="AL54" i="30"/>
  <c r="AL38" i="30"/>
  <c r="AL55" i="30"/>
  <c r="AL59" i="30"/>
  <c r="AL42" i="30"/>
  <c r="AL76" i="30" s="1"/>
  <c r="AM41" i="30"/>
  <c r="AM58" i="30"/>
  <c r="AJ68" i="30"/>
  <c r="AJ51" i="30"/>
  <c r="AJ85" i="30" s="1"/>
  <c r="AK49" i="30"/>
  <c r="AK66" i="30"/>
  <c r="AL45" i="30"/>
  <c r="AL62" i="30"/>
  <c r="AM44" i="30"/>
  <c r="AM61" i="30"/>
  <c r="AL60" i="30"/>
  <c r="AL43" i="30"/>
  <c r="AL77" i="30" s="1"/>
  <c r="AM46" i="30"/>
  <c r="AM63" i="30"/>
  <c r="AM47" i="30"/>
  <c r="AM64" i="30"/>
  <c r="AN52" i="30"/>
  <c r="AN69" i="30"/>
  <c r="AM39" i="30"/>
  <c r="AM56" i="30"/>
  <c r="AM48" i="30"/>
  <c r="AM65" i="30"/>
  <c r="AN40" i="30"/>
  <c r="AN57" i="30"/>
  <c r="AM37" i="30"/>
  <c r="AM54" i="30"/>
  <c r="AM38" i="30"/>
  <c r="AM55" i="30"/>
  <c r="AM59" i="30"/>
  <c r="AM42" i="30"/>
  <c r="AM76" i="30" s="1"/>
  <c r="AN41" i="30"/>
  <c r="AN58" i="30"/>
  <c r="AK68" i="30"/>
  <c r="AK51" i="30"/>
  <c r="AK85" i="30" s="1"/>
  <c r="AL49" i="30"/>
  <c r="AL66" i="30"/>
  <c r="AM45" i="30"/>
  <c r="AM62" i="30"/>
  <c r="AN44" i="30"/>
  <c r="AN61" i="30"/>
  <c r="AM60" i="30"/>
  <c r="AM43" i="30"/>
  <c r="AM77" i="30" s="1"/>
  <c r="AN46" i="30"/>
  <c r="AN63" i="30"/>
  <c r="AN47" i="30"/>
  <c r="AN64" i="30"/>
  <c r="AO52" i="30"/>
  <c r="AO69" i="30"/>
  <c r="AN39" i="30"/>
  <c r="AN56" i="30"/>
  <c r="AN48" i="30"/>
  <c r="AN65" i="30"/>
  <c r="AO40" i="30"/>
  <c r="AO57" i="30"/>
  <c r="AN37" i="30"/>
  <c r="AN54" i="30"/>
  <c r="AN38" i="30"/>
  <c r="AN55" i="30"/>
  <c r="AN59" i="30"/>
  <c r="AN42" i="30"/>
  <c r="AN76" i="30" s="1"/>
  <c r="AO41" i="30"/>
  <c r="AO58" i="30"/>
  <c r="AL68" i="30"/>
  <c r="AL51" i="30"/>
  <c r="AL85" i="30" s="1"/>
  <c r="AM49" i="30"/>
  <c r="AM66" i="30"/>
  <c r="AN45" i="30"/>
  <c r="AN62" i="30"/>
  <c r="AO44" i="30"/>
  <c r="AO61" i="30"/>
  <c r="AN60" i="30"/>
  <c r="AN43" i="30"/>
  <c r="AN77" i="30" s="1"/>
  <c r="AO46" i="30"/>
  <c r="AO63" i="30"/>
  <c r="AO47" i="30"/>
  <c r="AO64" i="30"/>
  <c r="AP52" i="30"/>
  <c r="AP69" i="30"/>
  <c r="AO39" i="30"/>
  <c r="AO56" i="30"/>
  <c r="AO48" i="30"/>
  <c r="AO65" i="30"/>
  <c r="AP40" i="30"/>
  <c r="AP57" i="30"/>
  <c r="AO37" i="30"/>
  <c r="AO54" i="30"/>
  <c r="AO38" i="30"/>
  <c r="AO55" i="30"/>
  <c r="AO59" i="30"/>
  <c r="AO42" i="30"/>
  <c r="AO76" i="30" s="1"/>
  <c r="AP41" i="30"/>
  <c r="AP58" i="30"/>
  <c r="AM68" i="30"/>
  <c r="AM51" i="30"/>
  <c r="AM85" i="30" s="1"/>
  <c r="AN49" i="30"/>
  <c r="AN66" i="30"/>
  <c r="AO45" i="30"/>
  <c r="AO62" i="30"/>
  <c r="AP44" i="30"/>
  <c r="AP61" i="30"/>
  <c r="AO60" i="30"/>
  <c r="AO43" i="30"/>
  <c r="AO77" i="30" s="1"/>
  <c r="AP46" i="30"/>
  <c r="AP63" i="30"/>
  <c r="AP47" i="30"/>
  <c r="AP64" i="30"/>
  <c r="AQ52" i="30"/>
  <c r="AQ69" i="30"/>
  <c r="AP39" i="30"/>
  <c r="AP56" i="30"/>
  <c r="AP48" i="30"/>
  <c r="AP65" i="30"/>
  <c r="AQ40" i="30"/>
  <c r="AQ57" i="30"/>
  <c r="AP37" i="30"/>
  <c r="AP54" i="30"/>
  <c r="AP38" i="30"/>
  <c r="AP55" i="30"/>
  <c r="AP42" i="30"/>
  <c r="AP76" i="30" s="1"/>
  <c r="AP59" i="30"/>
  <c r="AQ41" i="30"/>
  <c r="AQ58" i="30"/>
  <c r="AN68" i="30"/>
  <c r="AN51" i="30"/>
  <c r="AN85" i="30" s="1"/>
  <c r="AO49" i="30"/>
  <c r="AO66" i="30"/>
  <c r="AP45" i="30"/>
  <c r="AP62" i="30"/>
  <c r="AQ44" i="30"/>
  <c r="AQ61" i="30"/>
  <c r="AP43" i="30"/>
  <c r="AP77" i="30" s="1"/>
  <c r="AP60" i="30"/>
  <c r="AQ46" i="30"/>
  <c r="AQ63" i="30"/>
  <c r="AQ47" i="30"/>
  <c r="AQ64" i="30"/>
  <c r="AR52" i="30"/>
  <c r="AR69" i="30"/>
  <c r="AQ39" i="30"/>
  <c r="AQ56" i="30"/>
  <c r="AQ48" i="30"/>
  <c r="AQ65" i="30"/>
  <c r="AR40" i="30"/>
  <c r="AR57" i="30"/>
  <c r="AQ37" i="30"/>
  <c r="AQ54" i="30"/>
  <c r="AQ38" i="30"/>
  <c r="AQ55" i="30"/>
  <c r="AQ42" i="30"/>
  <c r="AQ76" i="30" s="1"/>
  <c r="AQ59" i="30"/>
  <c r="AR41" i="30"/>
  <c r="AR58" i="30"/>
  <c r="AO68" i="30"/>
  <c r="AO51" i="30"/>
  <c r="AO85" i="30" s="1"/>
  <c r="AP49" i="30"/>
  <c r="AP66" i="30"/>
  <c r="AQ45" i="30"/>
  <c r="AQ62" i="30"/>
  <c r="AR44" i="30"/>
  <c r="AR61" i="30"/>
  <c r="AQ43" i="30"/>
  <c r="AQ77" i="30" s="1"/>
  <c r="AQ60" i="30"/>
  <c r="AR46" i="30"/>
  <c r="AR63" i="30"/>
  <c r="AR47" i="30"/>
  <c r="AR64" i="30"/>
  <c r="AS52" i="30"/>
  <c r="AS69" i="30"/>
  <c r="AR39" i="30"/>
  <c r="AR56" i="30"/>
  <c r="AR48" i="30"/>
  <c r="AR65" i="30"/>
  <c r="AS40" i="30"/>
  <c r="AS57" i="30"/>
  <c r="AR37" i="30"/>
  <c r="AR54" i="30"/>
  <c r="AR38" i="30"/>
  <c r="AR55" i="30"/>
  <c r="AR42" i="30"/>
  <c r="AR76" i="30" s="1"/>
  <c r="AR59" i="30"/>
  <c r="AS41" i="30"/>
  <c r="AS58" i="30"/>
  <c r="AP51" i="30"/>
  <c r="AP85" i="30" s="1"/>
  <c r="AP68" i="30"/>
  <c r="AQ49" i="30"/>
  <c r="AQ66" i="30"/>
  <c r="AR45" i="30"/>
  <c r="AR62" i="30"/>
  <c r="AS44" i="30"/>
  <c r="AS61" i="30"/>
  <c r="AR43" i="30"/>
  <c r="AR77" i="30" s="1"/>
  <c r="AR60" i="30"/>
  <c r="AS46" i="30"/>
  <c r="AS63" i="30"/>
  <c r="AS47" i="30"/>
  <c r="AS64" i="30"/>
  <c r="AT52" i="30"/>
  <c r="AT69" i="30"/>
  <c r="AS39" i="30"/>
  <c r="AS56" i="30"/>
  <c r="AS48" i="30"/>
  <c r="AS65" i="30"/>
  <c r="AT40" i="30"/>
  <c r="AT57" i="30"/>
  <c r="AS37" i="30"/>
  <c r="AS54" i="30"/>
  <c r="AS38" i="30"/>
  <c r="AS55" i="30"/>
  <c r="AS42" i="30"/>
  <c r="AS76" i="30" s="1"/>
  <c r="AS59" i="30"/>
  <c r="AT41" i="30"/>
  <c r="AT58" i="30"/>
  <c r="AQ51" i="30"/>
  <c r="AQ85" i="30" s="1"/>
  <c r="AQ68" i="30"/>
  <c r="AR49" i="30"/>
  <c r="AR66" i="30"/>
  <c r="AS45" i="30"/>
  <c r="AS62" i="30"/>
  <c r="AT44" i="30"/>
  <c r="AT61" i="30"/>
  <c r="AS43" i="30"/>
  <c r="AS77" i="30" s="1"/>
  <c r="AS60" i="30"/>
  <c r="AT46" i="30"/>
  <c r="AT63" i="30"/>
  <c r="AT47" i="30"/>
  <c r="AT64" i="30"/>
  <c r="AU52" i="30"/>
  <c r="AU69" i="30"/>
  <c r="AT39" i="30"/>
  <c r="AT56" i="30"/>
  <c r="AT48" i="30"/>
  <c r="AT65" i="30"/>
  <c r="AU40" i="30"/>
  <c r="AU57" i="30"/>
  <c r="AT37" i="30"/>
  <c r="AT54" i="30"/>
  <c r="AT38" i="30"/>
  <c r="AT55" i="30"/>
  <c r="AT42" i="30"/>
  <c r="AT76" i="30" s="1"/>
  <c r="AT59" i="30"/>
  <c r="AU41" i="30"/>
  <c r="AU58" i="30"/>
  <c r="AR51" i="30"/>
  <c r="AR85" i="30" s="1"/>
  <c r="AR68" i="30"/>
  <c r="AS49" i="30"/>
  <c r="AS66" i="30"/>
  <c r="AT45" i="30"/>
  <c r="AT62" i="30"/>
  <c r="AU44" i="30"/>
  <c r="AU61" i="30"/>
  <c r="AT43" i="30"/>
  <c r="AT77" i="30" s="1"/>
  <c r="AT60" i="30"/>
  <c r="AU46" i="30"/>
  <c r="AU63" i="30"/>
  <c r="AU47" i="30"/>
  <c r="AU64" i="30"/>
  <c r="AV52" i="30"/>
  <c r="AV69" i="30"/>
  <c r="AU39" i="30"/>
  <c r="AU56" i="30"/>
  <c r="AU48" i="30"/>
  <c r="AU65" i="30"/>
  <c r="AV40" i="30"/>
  <c r="AV57" i="30"/>
  <c r="AU37" i="30"/>
  <c r="AU54" i="30"/>
  <c r="AU38" i="30"/>
  <c r="AU55" i="30"/>
  <c r="AU42" i="30"/>
  <c r="AU76" i="30" s="1"/>
  <c r="AU59" i="30"/>
  <c r="AV41" i="30"/>
  <c r="AV58" i="30"/>
  <c r="AS51" i="30"/>
  <c r="AS85" i="30" s="1"/>
  <c r="AS68" i="30"/>
  <c r="AT49" i="30"/>
  <c r="AT66" i="30"/>
  <c r="AU45" i="30"/>
  <c r="AU62" i="30"/>
  <c r="AV44" i="30"/>
  <c r="AV61" i="30"/>
  <c r="AU43" i="30"/>
  <c r="AU77" i="30" s="1"/>
  <c r="AU60" i="30"/>
  <c r="AV46" i="30"/>
  <c r="AV63" i="30"/>
  <c r="AV47" i="30"/>
  <c r="AV64" i="30"/>
  <c r="AW52" i="30"/>
  <c r="AW69" i="30"/>
  <c r="AT51" i="30"/>
  <c r="AT85" i="30" s="1"/>
  <c r="AT68" i="30"/>
  <c r="AU51" i="30"/>
  <c r="AU85" i="30" s="1"/>
  <c r="AU68" i="30"/>
  <c r="AV51" i="30"/>
  <c r="AV85" i="30" s="1"/>
  <c r="AV68" i="30"/>
  <c r="AW51" i="30"/>
  <c r="AW85" i="30" s="1"/>
  <c r="AW68" i="30"/>
  <c r="B67" i="30"/>
  <c r="B50" i="30"/>
  <c r="B84" i="30" s="1"/>
  <c r="C67" i="30"/>
  <c r="C50" i="30"/>
  <c r="C84" i="30" s="1"/>
  <c r="D67" i="30"/>
  <c r="D50" i="30"/>
  <c r="D84" i="30" s="1"/>
  <c r="E67" i="30"/>
  <c r="E50" i="30"/>
  <c r="E84" i="30" s="1"/>
  <c r="F67" i="30"/>
  <c r="F50" i="30"/>
  <c r="F84" i="30" s="1"/>
  <c r="G67" i="30"/>
  <c r="G50" i="30"/>
  <c r="G84" i="30" s="1"/>
  <c r="H67" i="30"/>
  <c r="H50" i="30"/>
  <c r="H84" i="30" s="1"/>
  <c r="I67" i="30"/>
  <c r="I50" i="30"/>
  <c r="I84" i="30" s="1"/>
  <c r="J67" i="30"/>
  <c r="J50" i="30"/>
  <c r="J84" i="30" s="1"/>
  <c r="K67" i="30"/>
  <c r="K50" i="30"/>
  <c r="K84" i="30" s="1"/>
  <c r="L67" i="30"/>
  <c r="L50" i="30"/>
  <c r="L84" i="30" s="1"/>
  <c r="M67" i="30"/>
  <c r="M50" i="30"/>
  <c r="M84" i="30" s="1"/>
  <c r="N67" i="30"/>
  <c r="N50" i="30"/>
  <c r="N84" i="30" s="1"/>
  <c r="O67" i="30"/>
  <c r="O50" i="30"/>
  <c r="O84" i="30" s="1"/>
  <c r="P67" i="30"/>
  <c r="P50" i="30"/>
  <c r="P84" i="30" s="1"/>
  <c r="Q67" i="30"/>
  <c r="Q50" i="30"/>
  <c r="Q84" i="30" s="1"/>
  <c r="R67" i="30"/>
  <c r="R50" i="30"/>
  <c r="R84" i="30" s="1"/>
  <c r="S67" i="30"/>
  <c r="S50" i="30"/>
  <c r="S84" i="30" s="1"/>
  <c r="T67" i="30"/>
  <c r="T50" i="30"/>
  <c r="T84" i="30" s="1"/>
  <c r="U67" i="30"/>
  <c r="U50" i="30"/>
  <c r="U84" i="30" s="1"/>
  <c r="V67" i="30"/>
  <c r="V50" i="30"/>
  <c r="V84" i="30" s="1"/>
  <c r="W67" i="30"/>
  <c r="W50" i="30"/>
  <c r="W84" i="30" s="1"/>
  <c r="X67" i="30"/>
  <c r="X50" i="30"/>
  <c r="X84" i="30" s="1"/>
  <c r="Y67" i="30"/>
  <c r="Y50" i="30"/>
  <c r="Y84" i="30" s="1"/>
  <c r="Z67" i="30"/>
  <c r="Z50" i="30"/>
  <c r="Z84" i="30" s="1"/>
  <c r="AA67" i="30"/>
  <c r="AA50" i="30"/>
  <c r="AA84" i="30" s="1"/>
  <c r="AB67" i="30"/>
  <c r="AB50" i="30"/>
  <c r="AB84" i="30" s="1"/>
  <c r="AC67" i="30"/>
  <c r="AC50" i="30"/>
  <c r="AC84" i="30" s="1"/>
  <c r="AD67" i="30"/>
  <c r="AD50" i="30"/>
  <c r="AD84" i="30" s="1"/>
  <c r="AE67" i="30"/>
  <c r="AE50" i="30"/>
  <c r="AE84" i="30" s="1"/>
  <c r="AF67" i="30"/>
  <c r="AF50" i="30"/>
  <c r="AF84" i="30" s="1"/>
  <c r="AG67" i="30"/>
  <c r="AG50" i="30"/>
  <c r="AG84" i="30" s="1"/>
  <c r="AH67" i="30"/>
  <c r="AH50" i="30"/>
  <c r="AH84" i="30" s="1"/>
  <c r="AI67" i="30"/>
  <c r="AI50" i="30"/>
  <c r="AI84" i="30" s="1"/>
  <c r="AJ67" i="30"/>
  <c r="AJ50" i="30"/>
  <c r="AJ84" i="30" s="1"/>
  <c r="AK67" i="30"/>
  <c r="AK50" i="30"/>
  <c r="AK84" i="30" s="1"/>
  <c r="AL67" i="30"/>
  <c r="AL50" i="30"/>
  <c r="AL84" i="30" s="1"/>
  <c r="AM67" i="30"/>
  <c r="AM50" i="30"/>
  <c r="AM84" i="30" s="1"/>
  <c r="AN67" i="30"/>
  <c r="AN50" i="30"/>
  <c r="AN84" i="30" s="1"/>
  <c r="AO67" i="30"/>
  <c r="AO50" i="30"/>
  <c r="AO84" i="30" s="1"/>
  <c r="AP50" i="30"/>
  <c r="AP84" i="30" s="1"/>
  <c r="AP67" i="30"/>
  <c r="AQ50" i="30"/>
  <c r="AQ84" i="30" s="1"/>
  <c r="AQ67" i="30"/>
  <c r="AR50" i="30"/>
  <c r="AR84" i="30" s="1"/>
  <c r="AR67" i="30"/>
  <c r="AS50" i="30"/>
  <c r="AS84" i="30" s="1"/>
  <c r="AS67" i="30"/>
  <c r="AT50" i="30"/>
  <c r="AT84" i="30" s="1"/>
  <c r="AT67" i="30"/>
  <c r="AU50" i="30"/>
  <c r="AU84" i="30" s="1"/>
  <c r="AU67" i="30"/>
  <c r="AV50" i="30"/>
  <c r="AV84" i="30" s="1"/>
  <c r="AV67" i="30"/>
  <c r="AW50" i="30"/>
  <c r="AW84" i="30" s="1"/>
  <c r="AW67" i="30"/>
  <c r="B17" i="30"/>
  <c r="B245" i="30" s="1"/>
  <c r="B246" i="30" s="1"/>
  <c r="AU49" i="30"/>
  <c r="AU66" i="30"/>
  <c r="AV49" i="30"/>
  <c r="AV66" i="30"/>
  <c r="AW49" i="30"/>
  <c r="AW66" i="30"/>
  <c r="B15" i="30"/>
  <c r="B235" i="30" s="1"/>
  <c r="B236" i="30" s="1"/>
  <c r="B18" i="30"/>
  <c r="B250" i="30" s="1"/>
  <c r="B251" i="30" s="1"/>
  <c r="AV48" i="30"/>
  <c r="AV65" i="30"/>
  <c r="AV38" i="30"/>
  <c r="AV55" i="30"/>
  <c r="AV45" i="30"/>
  <c r="AV62" i="30"/>
  <c r="AV42" i="30"/>
  <c r="AV76" i="30" s="1"/>
  <c r="AV59" i="30"/>
  <c r="AV43" i="30"/>
  <c r="AV77" i="30" s="1"/>
  <c r="AV60" i="30"/>
  <c r="AW48" i="30"/>
  <c r="AW65" i="30"/>
  <c r="B14" i="30"/>
  <c r="B230" i="30" s="1"/>
  <c r="B231" i="30" s="1"/>
  <c r="AV39" i="30"/>
  <c r="AV56" i="30"/>
  <c r="AW47" i="30"/>
  <c r="AW64" i="30"/>
  <c r="B13" i="30"/>
  <c r="B225" i="30" s="1"/>
  <c r="B226" i="30" s="1"/>
  <c r="AV37" i="30"/>
  <c r="AV54" i="30"/>
  <c r="AW46" i="30"/>
  <c r="AW63" i="30"/>
  <c r="AW45" i="30"/>
  <c r="AW62" i="30"/>
  <c r="B11" i="30"/>
  <c r="B215" i="30" s="1"/>
  <c r="B216" i="30" s="1"/>
  <c r="B12" i="30"/>
  <c r="B220" i="30" s="1"/>
  <c r="B221" i="30" s="1"/>
  <c r="AW44" i="30"/>
  <c r="AW61" i="30"/>
  <c r="AW43" i="30"/>
  <c r="AW77" i="30" s="1"/>
  <c r="AW60" i="30"/>
  <c r="AW42" i="30"/>
  <c r="AW76" i="30" s="1"/>
  <c r="AW59" i="30"/>
  <c r="B8" i="30"/>
  <c r="B200" i="30" s="1"/>
  <c r="B201" i="30" s="1"/>
  <c r="B9" i="30"/>
  <c r="B205" i="30" s="1"/>
  <c r="B206" i="30" s="1"/>
  <c r="B10" i="30"/>
  <c r="B210" i="30" s="1"/>
  <c r="B211" i="30" s="1"/>
  <c r="AW41" i="30"/>
  <c r="AW58" i="30"/>
  <c r="B7" i="30"/>
  <c r="B195" i="30" s="1"/>
  <c r="B196" i="30" s="1"/>
  <c r="AW40" i="30"/>
  <c r="AW57" i="30"/>
  <c r="B6" i="30"/>
  <c r="B190" i="30" s="1"/>
  <c r="B191" i="30" s="1"/>
  <c r="AW39" i="30"/>
  <c r="AW56" i="30"/>
  <c r="B5" i="30"/>
  <c r="B185" i="30" s="1"/>
  <c r="B186" i="30" s="1"/>
  <c r="AW38" i="30"/>
  <c r="AW55" i="30"/>
  <c r="B4" i="30"/>
  <c r="B180" i="30" s="1"/>
  <c r="B181" i="30" s="1"/>
  <c r="AW37" i="30"/>
  <c r="AW54" i="30"/>
  <c r="B19" i="30"/>
  <c r="B255" i="30" s="1"/>
  <c r="B256" i="30" s="1"/>
  <c r="AX70" i="30"/>
  <c r="AY70" i="30"/>
  <c r="AZ70" i="30"/>
  <c r="BA70" i="30"/>
  <c r="BB70" i="30"/>
  <c r="BC70" i="30"/>
  <c r="BD70" i="30"/>
  <c r="BE70" i="30"/>
  <c r="BF70" i="30"/>
  <c r="BG70" i="30"/>
  <c r="BH70" i="30"/>
  <c r="BI70" i="30"/>
  <c r="BJ70" i="30"/>
  <c r="BK70" i="30"/>
  <c r="BL70" i="30"/>
  <c r="BM70" i="30"/>
  <c r="BN70" i="30"/>
  <c r="BO70" i="30"/>
  <c r="BP70" i="30"/>
  <c r="BQ70" i="30"/>
  <c r="BR70" i="30"/>
  <c r="BS70" i="30"/>
  <c r="BT70" i="30"/>
  <c r="BU70" i="30"/>
  <c r="BV70" i="30"/>
  <c r="BW70" i="30"/>
  <c r="BX70" i="30"/>
  <c r="BY70" i="30"/>
  <c r="BZ70" i="30"/>
  <c r="CA70" i="30"/>
  <c r="CB70" i="30"/>
  <c r="CC70" i="30"/>
  <c r="CD70" i="30"/>
  <c r="CE70" i="30"/>
  <c r="CF70" i="30"/>
  <c r="CG70" i="30"/>
  <c r="CH70" i="30"/>
  <c r="CI70" i="30"/>
  <c r="CJ70" i="30"/>
  <c r="CK70" i="30"/>
  <c r="CL70" i="30"/>
  <c r="CM70" i="30"/>
  <c r="CN70" i="30"/>
  <c r="CO70" i="30"/>
  <c r="CP70" i="30"/>
  <c r="CQ70" i="30"/>
  <c r="CR70" i="30"/>
  <c r="CS70" i="30"/>
  <c r="CT70" i="30"/>
  <c r="CU70" i="30"/>
  <c r="CV70" i="30"/>
  <c r="CW70" i="30"/>
  <c r="CX70" i="30"/>
  <c r="CY70" i="30"/>
  <c r="CZ70" i="30"/>
  <c r="DA70" i="30"/>
  <c r="DB70" i="30"/>
  <c r="DC70" i="30"/>
  <c r="DD70" i="30"/>
  <c r="DE70" i="30"/>
  <c r="DF70" i="30"/>
  <c r="DG70" i="30"/>
  <c r="DH70" i="30"/>
  <c r="DI70" i="30"/>
  <c r="DJ70" i="30"/>
  <c r="DK70" i="30"/>
  <c r="DL70" i="30"/>
  <c r="DM70" i="30"/>
  <c r="DN70" i="30"/>
  <c r="DO70" i="30"/>
  <c r="DP70" i="30"/>
  <c r="DQ70" i="30"/>
  <c r="DR70" i="30"/>
  <c r="DS70" i="30"/>
  <c r="DT70" i="30"/>
  <c r="DU70" i="30"/>
  <c r="DV70" i="30"/>
  <c r="DW70" i="30"/>
  <c r="DX70" i="30"/>
  <c r="DY70" i="30"/>
  <c r="DZ70" i="30"/>
  <c r="EA70" i="30"/>
  <c r="EB70" i="30"/>
  <c r="EC70" i="30"/>
  <c r="ED70" i="30"/>
  <c r="EE70" i="30"/>
  <c r="EF70" i="30"/>
  <c r="EG70" i="30"/>
  <c r="EH70" i="30"/>
  <c r="EI70" i="30"/>
  <c r="EJ70" i="30"/>
  <c r="EK70" i="30"/>
  <c r="EL70" i="30"/>
  <c r="EM70" i="30"/>
  <c r="EN70" i="30"/>
  <c r="EO70" i="30"/>
  <c r="EP70" i="30"/>
  <c r="EQ70" i="30"/>
  <c r="ER70" i="30"/>
  <c r="ES70" i="30"/>
  <c r="ET70" i="30"/>
  <c r="EU70" i="30"/>
  <c r="EV70" i="30"/>
  <c r="EW70" i="30"/>
  <c r="EX70" i="30"/>
  <c r="EY70" i="30"/>
  <c r="EZ70" i="30"/>
  <c r="FA70" i="30"/>
  <c r="FB70" i="30"/>
  <c r="FC70" i="30"/>
  <c r="FD70" i="30"/>
  <c r="FE70" i="30"/>
  <c r="FF70" i="30"/>
  <c r="FG70" i="30"/>
  <c r="FH70" i="30"/>
  <c r="FI70" i="30"/>
  <c r="FJ70" i="30"/>
  <c r="FK70" i="30"/>
  <c r="FL70" i="30"/>
  <c r="FM70" i="30"/>
  <c r="FN70" i="30"/>
  <c r="FO70" i="30"/>
  <c r="FP70" i="30"/>
  <c r="FQ70" i="30"/>
  <c r="FR70" i="30"/>
  <c r="FS70" i="30"/>
  <c r="FT70" i="30"/>
  <c r="FU70" i="30"/>
  <c r="FV70" i="30"/>
  <c r="FW70" i="30"/>
  <c r="FX70" i="30"/>
  <c r="FY70" i="30"/>
  <c r="FZ70" i="30"/>
  <c r="GA70" i="30"/>
  <c r="GB70" i="30"/>
  <c r="GC70" i="30"/>
  <c r="GD70" i="30"/>
  <c r="GE70" i="30"/>
  <c r="GF70" i="30"/>
  <c r="GG70" i="30"/>
  <c r="GH70" i="30"/>
  <c r="GI70" i="30"/>
  <c r="GJ70" i="30"/>
  <c r="GK70" i="30"/>
  <c r="GL70" i="30"/>
  <c r="GM70" i="30"/>
  <c r="GN70" i="30"/>
  <c r="GO70" i="30"/>
  <c r="GP70" i="30"/>
  <c r="GQ70" i="30"/>
  <c r="GR70" i="30"/>
  <c r="GS70" i="30"/>
  <c r="GT70" i="30"/>
  <c r="GU70" i="30"/>
  <c r="GV70" i="30"/>
  <c r="GW70" i="30"/>
  <c r="GX70" i="30"/>
  <c r="GY70" i="30"/>
  <c r="GZ70" i="30"/>
  <c r="HA70" i="30"/>
  <c r="HB70" i="30"/>
  <c r="HC70" i="30"/>
  <c r="HD70" i="30"/>
  <c r="HE70" i="30"/>
  <c r="HF70" i="30"/>
  <c r="HG70" i="30"/>
  <c r="HH70" i="30"/>
  <c r="HI70" i="30"/>
  <c r="HJ70" i="30"/>
  <c r="HK70" i="30"/>
  <c r="HL70" i="30"/>
  <c r="HM70" i="30"/>
  <c r="HN70" i="30"/>
  <c r="HO70" i="30"/>
  <c r="HP70" i="30"/>
  <c r="HQ70" i="30"/>
  <c r="HR70" i="30"/>
  <c r="HS70" i="30"/>
  <c r="HT70" i="30"/>
  <c r="HU70" i="30"/>
  <c r="HV70" i="30"/>
  <c r="HW70" i="30"/>
  <c r="HX70" i="30"/>
  <c r="HY70" i="30"/>
  <c r="HZ70" i="30"/>
  <c r="IA70" i="30"/>
  <c r="IB70" i="30"/>
  <c r="IC70" i="30"/>
  <c r="ID70" i="30"/>
  <c r="IE70" i="30"/>
  <c r="IF70" i="30"/>
  <c r="IG70" i="30"/>
  <c r="B3" i="30"/>
  <c r="B175" i="30" s="1"/>
  <c r="B176" i="30" s="1"/>
  <c r="AX69" i="30"/>
  <c r="AX57" i="30"/>
  <c r="AX58" i="30"/>
  <c r="AX61" i="30"/>
  <c r="AX63" i="30"/>
  <c r="AX64" i="30"/>
  <c r="AY69" i="30"/>
  <c r="AX56" i="30"/>
  <c r="AX65" i="30"/>
  <c r="AY57" i="30"/>
  <c r="AX54" i="30"/>
  <c r="AX55" i="30"/>
  <c r="AX59" i="30"/>
  <c r="AY58" i="30"/>
  <c r="AX62" i="30"/>
  <c r="AY61" i="30"/>
  <c r="AX60" i="30"/>
  <c r="AY63" i="30"/>
  <c r="AY64" i="30"/>
  <c r="AZ69" i="30"/>
  <c r="AY56" i="30"/>
  <c r="AY65" i="30"/>
  <c r="AZ57" i="30"/>
  <c r="AY54" i="30"/>
  <c r="AY55" i="30"/>
  <c r="AY59" i="30"/>
  <c r="AZ58" i="30"/>
  <c r="AX66" i="30"/>
  <c r="AY62" i="30"/>
  <c r="AZ61" i="30"/>
  <c r="AY60" i="30"/>
  <c r="AZ63" i="30"/>
  <c r="AZ64" i="30"/>
  <c r="BA69" i="30"/>
  <c r="AZ56" i="30"/>
  <c r="AZ65" i="30"/>
  <c r="BA57" i="30"/>
  <c r="AZ54" i="30"/>
  <c r="AZ55" i="30"/>
  <c r="AZ59" i="30"/>
  <c r="BA58" i="30"/>
  <c r="AX68" i="30"/>
  <c r="AY66" i="30"/>
  <c r="AZ62" i="30"/>
  <c r="BA61" i="30"/>
  <c r="AZ60" i="30"/>
  <c r="BA63" i="30"/>
  <c r="BA64" i="30"/>
  <c r="BB69" i="30"/>
  <c r="BA56" i="30"/>
  <c r="BA65" i="30"/>
  <c r="BB57" i="30"/>
  <c r="BA54" i="30"/>
  <c r="BA55" i="30"/>
  <c r="BA59" i="30"/>
  <c r="BB58" i="30"/>
  <c r="AY68" i="30"/>
  <c r="AZ66" i="30"/>
  <c r="BA62" i="30"/>
  <c r="BB61" i="30"/>
  <c r="BA60" i="30"/>
  <c r="BB63" i="30"/>
  <c r="BB64" i="30"/>
  <c r="BC69" i="30"/>
  <c r="BB56" i="30"/>
  <c r="BB65" i="30"/>
  <c r="BC57" i="30"/>
  <c r="BB54" i="30"/>
  <c r="BB55" i="30"/>
  <c r="BB59" i="30"/>
  <c r="BC58" i="30"/>
  <c r="AZ68" i="30"/>
  <c r="BA66" i="30"/>
  <c r="BB62" i="30"/>
  <c r="BC61" i="30"/>
  <c r="BB60" i="30"/>
  <c r="BC63" i="30"/>
  <c r="BC64" i="30"/>
  <c r="BD69" i="30"/>
  <c r="BC56" i="30"/>
  <c r="BC65" i="30"/>
  <c r="BD57" i="30"/>
  <c r="BC54" i="30"/>
  <c r="BC55" i="30"/>
  <c r="BC59" i="30"/>
  <c r="BD58" i="30"/>
  <c r="BA68" i="30"/>
  <c r="BB66" i="30"/>
  <c r="BC62" i="30"/>
  <c r="BD61" i="30"/>
  <c r="BC60" i="30"/>
  <c r="BD63" i="30"/>
  <c r="BD64" i="30"/>
  <c r="BE69" i="30"/>
  <c r="BD56" i="30"/>
  <c r="BD65" i="30"/>
  <c r="BE57" i="30"/>
  <c r="BD54" i="30"/>
  <c r="BD55" i="30"/>
  <c r="BD59" i="30"/>
  <c r="BE58" i="30"/>
  <c r="BB68" i="30"/>
  <c r="BC66" i="30"/>
  <c r="BD62" i="30"/>
  <c r="BE61" i="30"/>
  <c r="BD60" i="30"/>
  <c r="BE63" i="30"/>
  <c r="BE64" i="30"/>
  <c r="BF69" i="30"/>
  <c r="BE56" i="30"/>
  <c r="BE65" i="30"/>
  <c r="BF57" i="30"/>
  <c r="BE54" i="30"/>
  <c r="BE55" i="30"/>
  <c r="BE59" i="30"/>
  <c r="BF58" i="30"/>
  <c r="BC68" i="30"/>
  <c r="BD66" i="30"/>
  <c r="BE62" i="30"/>
  <c r="BF61" i="30"/>
  <c r="BE60" i="30"/>
  <c r="BF63" i="30"/>
  <c r="BF64" i="30"/>
  <c r="BG69" i="30"/>
  <c r="BF56" i="30"/>
  <c r="BF65" i="30"/>
  <c r="BG57" i="30"/>
  <c r="BF54" i="30"/>
  <c r="BF55" i="30"/>
  <c r="BF59" i="30"/>
  <c r="BG58" i="30"/>
  <c r="BD68" i="30"/>
  <c r="BE66" i="30"/>
  <c r="BF62" i="30"/>
  <c r="BG61" i="30"/>
  <c r="BF60" i="30"/>
  <c r="BG63" i="30"/>
  <c r="BG64" i="30"/>
  <c r="BH69" i="30"/>
  <c r="BG56" i="30"/>
  <c r="BG65" i="30"/>
  <c r="BH57" i="30"/>
  <c r="BG54" i="30"/>
  <c r="BG55" i="30"/>
  <c r="BG59" i="30"/>
  <c r="BH58" i="30"/>
  <c r="BE68" i="30"/>
  <c r="BF66" i="30"/>
  <c r="BG62" i="30"/>
  <c r="BH61" i="30"/>
  <c r="BG60" i="30"/>
  <c r="BH63" i="30"/>
  <c r="BH64" i="30"/>
  <c r="BI69" i="30"/>
  <c r="BH56" i="30"/>
  <c r="BH65" i="30"/>
  <c r="BI57" i="30"/>
  <c r="BH54" i="30"/>
  <c r="BH55" i="30"/>
  <c r="BH59" i="30"/>
  <c r="BI58" i="30"/>
  <c r="BF68" i="30"/>
  <c r="BG66" i="30"/>
  <c r="BH62" i="30"/>
  <c r="BI61" i="30"/>
  <c r="BH60" i="30"/>
  <c r="BI63" i="30"/>
  <c r="BI64" i="30"/>
  <c r="BJ69" i="30"/>
  <c r="BI56" i="30"/>
  <c r="BI65" i="30"/>
  <c r="BJ57" i="30"/>
  <c r="BI54" i="30"/>
  <c r="BI55" i="30"/>
  <c r="BI59" i="30"/>
  <c r="BJ58" i="30"/>
  <c r="BG68" i="30"/>
  <c r="BH66" i="30"/>
  <c r="BI62" i="30"/>
  <c r="BJ61" i="30"/>
  <c r="BI60" i="30"/>
  <c r="BJ63" i="30"/>
  <c r="BJ64" i="30"/>
  <c r="BK69" i="30"/>
  <c r="BJ56" i="30"/>
  <c r="BJ65" i="30"/>
  <c r="BK57" i="30"/>
  <c r="BJ54" i="30"/>
  <c r="BJ55" i="30"/>
  <c r="BJ59" i="30"/>
  <c r="BK58" i="30"/>
  <c r="BH68" i="30"/>
  <c r="BI66" i="30"/>
  <c r="BJ62" i="30"/>
  <c r="BK61" i="30"/>
  <c r="BJ60" i="30"/>
  <c r="BK63" i="30"/>
  <c r="BK64" i="30"/>
  <c r="BL69" i="30"/>
  <c r="BK56" i="30"/>
  <c r="BK65" i="30"/>
  <c r="BL57" i="30"/>
  <c r="BK54" i="30"/>
  <c r="BK55" i="30"/>
  <c r="BK59" i="30"/>
  <c r="BL58" i="30"/>
  <c r="BI68" i="30"/>
  <c r="BJ66" i="30"/>
  <c r="BK62" i="30"/>
  <c r="BL61" i="30"/>
  <c r="BK60" i="30"/>
  <c r="BL63" i="30"/>
  <c r="BL64" i="30"/>
  <c r="BM69" i="30"/>
  <c r="BL56" i="30"/>
  <c r="BL65" i="30"/>
  <c r="BM57" i="30"/>
  <c r="BL54" i="30"/>
  <c r="BL55" i="30"/>
  <c r="BL59" i="30"/>
  <c r="BM58" i="30"/>
  <c r="BJ68" i="30"/>
  <c r="BK66" i="30"/>
  <c r="BL62" i="30"/>
  <c r="BM61" i="30"/>
  <c r="BL60" i="30"/>
  <c r="BM63" i="30"/>
  <c r="BM64" i="30"/>
  <c r="BN69" i="30"/>
  <c r="BM56" i="30"/>
  <c r="BM65" i="30"/>
  <c r="BN57" i="30"/>
  <c r="BM54" i="30"/>
  <c r="BM55" i="30"/>
  <c r="BM59" i="30"/>
  <c r="BN58" i="30"/>
  <c r="BK68" i="30"/>
  <c r="BL66" i="30"/>
  <c r="BM62" i="30"/>
  <c r="BN61" i="30"/>
  <c r="BM60" i="30"/>
  <c r="BN63" i="30"/>
  <c r="BN64" i="30"/>
  <c r="BO69" i="30"/>
  <c r="BN56" i="30"/>
  <c r="BN65" i="30"/>
  <c r="BO57" i="30"/>
  <c r="BN54" i="30"/>
  <c r="BN55" i="30"/>
  <c r="BN59" i="30"/>
  <c r="BO58" i="30"/>
  <c r="BL68" i="30"/>
  <c r="BM66" i="30"/>
  <c r="BN62" i="30"/>
  <c r="BO61" i="30"/>
  <c r="BN60" i="30"/>
  <c r="BO63" i="30"/>
  <c r="BO64" i="30"/>
  <c r="BP69" i="30"/>
  <c r="BO56" i="30"/>
  <c r="BO65" i="30"/>
  <c r="BP57" i="30"/>
  <c r="BO54" i="30"/>
  <c r="BO55" i="30"/>
  <c r="BO59" i="30"/>
  <c r="BP58" i="30"/>
  <c r="BM68" i="30"/>
  <c r="BN66" i="30"/>
  <c r="BO62" i="30"/>
  <c r="BP61" i="30"/>
  <c r="BO60" i="30"/>
  <c r="BP63" i="30"/>
  <c r="BP64" i="30"/>
  <c r="BQ69" i="30"/>
  <c r="BP56" i="30"/>
  <c r="BP65" i="30"/>
  <c r="BQ57" i="30"/>
  <c r="BP54" i="30"/>
  <c r="BP55" i="30"/>
  <c r="BP59" i="30"/>
  <c r="BQ58" i="30"/>
  <c r="BN68" i="30"/>
  <c r="BO66" i="30"/>
  <c r="BP62" i="30"/>
  <c r="BQ61" i="30"/>
  <c r="BP60" i="30"/>
  <c r="BQ63" i="30"/>
  <c r="BQ64" i="30"/>
  <c r="BR69" i="30"/>
  <c r="BQ56" i="30"/>
  <c r="BQ65" i="30"/>
  <c r="BR57" i="30"/>
  <c r="BQ54" i="30"/>
  <c r="BQ55" i="30"/>
  <c r="BQ59" i="30"/>
  <c r="BR58" i="30"/>
  <c r="BO68" i="30"/>
  <c r="BP66" i="30"/>
  <c r="BQ62" i="30"/>
  <c r="BR61" i="30"/>
  <c r="BQ60" i="30"/>
  <c r="BR63" i="30"/>
  <c r="BR64" i="30"/>
  <c r="BS69" i="30"/>
  <c r="BR56" i="30"/>
  <c r="BR65" i="30"/>
  <c r="BS57" i="30"/>
  <c r="BR54" i="30"/>
  <c r="BR55" i="30"/>
  <c r="BR59" i="30"/>
  <c r="BS58" i="30"/>
  <c r="BP68" i="30"/>
  <c r="BQ66" i="30"/>
  <c r="BR62" i="30"/>
  <c r="BS61" i="30"/>
  <c r="BR60" i="30"/>
  <c r="BS63" i="30"/>
  <c r="BS64" i="30"/>
  <c r="BT69" i="30"/>
  <c r="BS56" i="30"/>
  <c r="BS65" i="30"/>
  <c r="BT57" i="30"/>
  <c r="BS54" i="30"/>
  <c r="BS55" i="30"/>
  <c r="BS59" i="30"/>
  <c r="BT58" i="30"/>
  <c r="BQ68" i="30"/>
  <c r="BR66" i="30"/>
  <c r="BS62" i="30"/>
  <c r="BT61" i="30"/>
  <c r="BS60" i="30"/>
  <c r="BT63" i="30"/>
  <c r="BT64" i="30"/>
  <c r="BU69" i="30"/>
  <c r="BT56" i="30"/>
  <c r="BT65" i="30"/>
  <c r="BU57" i="30"/>
  <c r="BT54" i="30"/>
  <c r="BT55" i="30"/>
  <c r="BT59" i="30"/>
  <c r="BU58" i="30"/>
  <c r="BR68" i="30"/>
  <c r="BS66" i="30"/>
  <c r="BT62" i="30"/>
  <c r="BU61" i="30"/>
  <c r="BT60" i="30"/>
  <c r="BU63" i="30"/>
  <c r="BU64" i="30"/>
  <c r="BV69" i="30"/>
  <c r="BU56" i="30"/>
  <c r="BU65" i="30"/>
  <c r="BV57" i="30"/>
  <c r="BU54" i="30"/>
  <c r="BU55" i="30"/>
  <c r="BU59" i="30"/>
  <c r="BV58" i="30"/>
  <c r="BS68" i="30"/>
  <c r="BT66" i="30"/>
  <c r="BU62" i="30"/>
  <c r="BV61" i="30"/>
  <c r="BU60" i="30"/>
  <c r="BV63" i="30"/>
  <c r="BV64" i="30"/>
  <c r="BW69" i="30"/>
  <c r="BV56" i="30"/>
  <c r="BV65" i="30"/>
  <c r="BW57" i="30"/>
  <c r="BV54" i="30"/>
  <c r="BV55" i="30"/>
  <c r="BV59" i="30"/>
  <c r="BW58" i="30"/>
  <c r="BT68" i="30"/>
  <c r="BU66" i="30"/>
  <c r="BV62" i="30"/>
  <c r="BW61" i="30"/>
  <c r="BV60" i="30"/>
  <c r="BW63" i="30"/>
  <c r="BW64" i="30"/>
  <c r="BX69" i="30"/>
  <c r="BW56" i="30"/>
  <c r="BW65" i="30"/>
  <c r="BX57" i="30"/>
  <c r="BW54" i="30"/>
  <c r="BW55" i="30"/>
  <c r="BW59" i="30"/>
  <c r="BX58" i="30"/>
  <c r="BU68" i="30"/>
  <c r="BV66" i="30"/>
  <c r="BW62" i="30"/>
  <c r="BX61" i="30"/>
  <c r="BW60" i="30"/>
  <c r="BX63" i="30"/>
  <c r="BX64" i="30"/>
  <c r="BY69" i="30"/>
  <c r="BX56" i="30"/>
  <c r="BX65" i="30"/>
  <c r="BY57" i="30"/>
  <c r="BX54" i="30"/>
  <c r="BX55" i="30"/>
  <c r="BX59" i="30"/>
  <c r="BY58" i="30"/>
  <c r="BV68" i="30"/>
  <c r="BW66" i="30"/>
  <c r="BX62" i="30"/>
  <c r="BY61" i="30"/>
  <c r="BX60" i="30"/>
  <c r="BY63" i="30"/>
  <c r="BY64" i="30"/>
  <c r="BZ69" i="30"/>
  <c r="BY56" i="30"/>
  <c r="BY65" i="30"/>
  <c r="BZ57" i="30"/>
  <c r="BY54" i="30"/>
  <c r="BY55" i="30"/>
  <c r="BY59" i="30"/>
  <c r="BZ58" i="30"/>
  <c r="BW68" i="30"/>
  <c r="BX66" i="30"/>
  <c r="BY62" i="30"/>
  <c r="BZ61" i="30"/>
  <c r="BY60" i="30"/>
  <c r="BZ63" i="30"/>
  <c r="BZ64" i="30"/>
  <c r="CA69" i="30"/>
  <c r="BZ56" i="30"/>
  <c r="BZ65" i="30"/>
  <c r="CA57" i="30"/>
  <c r="BZ54" i="30"/>
  <c r="BZ55" i="30"/>
  <c r="BZ59" i="30"/>
  <c r="CA58" i="30"/>
  <c r="BX68" i="30"/>
  <c r="BY66" i="30"/>
  <c r="BZ62" i="30"/>
  <c r="CA61" i="30"/>
  <c r="BZ60" i="30"/>
  <c r="CA63" i="30"/>
  <c r="CA64" i="30"/>
  <c r="CB69" i="30"/>
  <c r="CA56" i="30"/>
  <c r="CA65" i="30"/>
  <c r="CB57" i="30"/>
  <c r="CA54" i="30"/>
  <c r="CA55" i="30"/>
  <c r="CA59" i="30"/>
  <c r="CB58" i="30"/>
  <c r="BY68" i="30"/>
  <c r="BZ66" i="30"/>
  <c r="CA62" i="30"/>
  <c r="CB61" i="30"/>
  <c r="CA60" i="30"/>
  <c r="CB63" i="30"/>
  <c r="CB64" i="30"/>
  <c r="CC69" i="30"/>
  <c r="CB56" i="30"/>
  <c r="CB65" i="30"/>
  <c r="CC57" i="30"/>
  <c r="CB54" i="30"/>
  <c r="CB55" i="30"/>
  <c r="CB59" i="30"/>
  <c r="CC58" i="30"/>
  <c r="BZ68" i="30"/>
  <c r="CA66" i="30"/>
  <c r="CB62" i="30"/>
  <c r="CC61" i="30"/>
  <c r="CB60" i="30"/>
  <c r="CC63" i="30"/>
  <c r="CC64" i="30"/>
  <c r="CD69" i="30"/>
  <c r="CC56" i="30"/>
  <c r="CC65" i="30"/>
  <c r="CD57" i="30"/>
  <c r="CC54" i="30"/>
  <c r="CC55" i="30"/>
  <c r="CC59" i="30"/>
  <c r="CD58" i="30"/>
  <c r="CA68" i="30"/>
  <c r="CB66" i="30"/>
  <c r="CC62" i="30"/>
  <c r="CD61" i="30"/>
  <c r="CC60" i="30"/>
  <c r="CD63" i="30"/>
  <c r="CD64" i="30"/>
  <c r="CE69" i="30"/>
  <c r="CD56" i="30"/>
  <c r="CD65" i="30"/>
  <c r="CE57" i="30"/>
  <c r="CD54" i="30"/>
  <c r="CD55" i="30"/>
  <c r="CD59" i="30"/>
  <c r="CE58" i="30"/>
  <c r="CB68" i="30"/>
  <c r="CC66" i="30"/>
  <c r="CD62" i="30"/>
  <c r="CE61" i="30"/>
  <c r="CD60" i="30"/>
  <c r="CE63" i="30"/>
  <c r="CE64" i="30"/>
  <c r="CF69" i="30"/>
  <c r="CE56" i="30"/>
  <c r="CE65" i="30"/>
  <c r="CF57" i="30"/>
  <c r="CE54" i="30"/>
  <c r="CE55" i="30"/>
  <c r="CE59" i="30"/>
  <c r="CF58" i="30"/>
  <c r="CC68" i="30"/>
  <c r="CD66" i="30"/>
  <c r="CE62" i="30"/>
  <c r="CF61" i="30"/>
  <c r="CE60" i="30"/>
  <c r="CF63" i="30"/>
  <c r="CF64" i="30"/>
  <c r="CG69" i="30"/>
  <c r="CF56" i="30"/>
  <c r="CF65" i="30"/>
  <c r="CG57" i="30"/>
  <c r="CF54" i="30"/>
  <c r="CF55" i="30"/>
  <c r="CF59" i="30"/>
  <c r="CG58" i="30"/>
  <c r="CD68" i="30"/>
  <c r="CE66" i="30"/>
  <c r="CF62" i="30"/>
  <c r="CG61" i="30"/>
  <c r="CF60" i="30"/>
  <c r="CG63" i="30"/>
  <c r="CG64" i="30"/>
  <c r="CH69" i="30"/>
  <c r="CG56" i="30"/>
  <c r="CG65" i="30"/>
  <c r="CH57" i="30"/>
  <c r="CG54" i="30"/>
  <c r="CG55" i="30"/>
  <c r="CG59" i="30"/>
  <c r="CH58" i="30"/>
  <c r="CE68" i="30"/>
  <c r="CF66" i="30"/>
  <c r="CG62" i="30"/>
  <c r="CH61" i="30"/>
  <c r="CG60" i="30"/>
  <c r="CH63" i="30"/>
  <c r="CH64" i="30"/>
  <c r="CI69" i="30"/>
  <c r="CH56" i="30"/>
  <c r="CH65" i="30"/>
  <c r="CI57" i="30"/>
  <c r="CH54" i="30"/>
  <c r="CH55" i="30"/>
  <c r="CH59" i="30"/>
  <c r="CI58" i="30"/>
  <c r="CF68" i="30"/>
  <c r="CG66" i="30"/>
  <c r="CH62" i="30"/>
  <c r="CI61" i="30"/>
  <c r="CH60" i="30"/>
  <c r="CI63" i="30"/>
  <c r="CI64" i="30"/>
  <c r="CJ69" i="30"/>
  <c r="CI56" i="30"/>
  <c r="CI65" i="30"/>
  <c r="CJ57" i="30"/>
  <c r="CI54" i="30"/>
  <c r="CI55" i="30"/>
  <c r="CI59" i="30"/>
  <c r="CJ58" i="30"/>
  <c r="CG68" i="30"/>
  <c r="CH66" i="30"/>
  <c r="CI62" i="30"/>
  <c r="CJ61" i="30"/>
  <c r="CI60" i="30"/>
  <c r="CJ63" i="30"/>
  <c r="CJ64" i="30"/>
  <c r="CK69" i="30"/>
  <c r="CJ56" i="30"/>
  <c r="CJ65" i="30"/>
  <c r="CK57" i="30"/>
  <c r="CJ54" i="30"/>
  <c r="CJ55" i="30"/>
  <c r="CJ59" i="30"/>
  <c r="CK58" i="30"/>
  <c r="CH68" i="30"/>
  <c r="CI66" i="30"/>
  <c r="CJ62" i="30"/>
  <c r="CK61" i="30"/>
  <c r="CJ60" i="30"/>
  <c r="CK63" i="30"/>
  <c r="CK64" i="30"/>
  <c r="CL69" i="30"/>
  <c r="CK56" i="30"/>
  <c r="CK65" i="30"/>
  <c r="CL57" i="30"/>
  <c r="CK54" i="30"/>
  <c r="CK55" i="30"/>
  <c r="CK59" i="30"/>
  <c r="CL58" i="30"/>
  <c r="CI68" i="30"/>
  <c r="CJ66" i="30"/>
  <c r="CK62" i="30"/>
  <c r="CL61" i="30"/>
  <c r="CK60" i="30"/>
  <c r="CL63" i="30"/>
  <c r="CL64" i="30"/>
  <c r="CM69" i="30"/>
  <c r="CL56" i="30"/>
  <c r="CL65" i="30"/>
  <c r="CM57" i="30"/>
  <c r="CL54" i="30"/>
  <c r="CL55" i="30"/>
  <c r="CL59" i="30"/>
  <c r="CM58" i="30"/>
  <c r="CJ68" i="30"/>
  <c r="CK66" i="30"/>
  <c r="CL62" i="30"/>
  <c r="CM61" i="30"/>
  <c r="CL60" i="30"/>
  <c r="CM63" i="30"/>
  <c r="CM64" i="30"/>
  <c r="CN69" i="30"/>
  <c r="CM56" i="30"/>
  <c r="CM65" i="30"/>
  <c r="CN57" i="30"/>
  <c r="CM54" i="30"/>
  <c r="CM55" i="30"/>
  <c r="CM59" i="30"/>
  <c r="CN58" i="30"/>
  <c r="CK68" i="30"/>
  <c r="CL66" i="30"/>
  <c r="CM62" i="30"/>
  <c r="CN61" i="30"/>
  <c r="CM60" i="30"/>
  <c r="CN63" i="30"/>
  <c r="CN64" i="30"/>
  <c r="CO69" i="30"/>
  <c r="CN56" i="30"/>
  <c r="CN65" i="30"/>
  <c r="CO57" i="30"/>
  <c r="CN54" i="30"/>
  <c r="CN55" i="30"/>
  <c r="CN59" i="30"/>
  <c r="CO58" i="30"/>
  <c r="CL68" i="30"/>
  <c r="CM66" i="30"/>
  <c r="CN62" i="30"/>
  <c r="CO61" i="30"/>
  <c r="CN60" i="30"/>
  <c r="CO63" i="30"/>
  <c r="CO64" i="30"/>
  <c r="CP69" i="30"/>
  <c r="CO56" i="30"/>
  <c r="CO65" i="30"/>
  <c r="CP57" i="30"/>
  <c r="CO54" i="30"/>
  <c r="CO55" i="30"/>
  <c r="CO59" i="30"/>
  <c r="CP58" i="30"/>
  <c r="CM68" i="30"/>
  <c r="CN66" i="30"/>
  <c r="CO62" i="30"/>
  <c r="CP61" i="30"/>
  <c r="CO60" i="30"/>
  <c r="CP63" i="30"/>
  <c r="CP64" i="30"/>
  <c r="CQ69" i="30"/>
  <c r="CP56" i="30"/>
  <c r="CP65" i="30"/>
  <c r="CQ57" i="30"/>
  <c r="CP54" i="30"/>
  <c r="CP55" i="30"/>
  <c r="CP59" i="30"/>
  <c r="CQ58" i="30"/>
  <c r="CN68" i="30"/>
  <c r="CO66" i="30"/>
  <c r="CP62" i="30"/>
  <c r="CQ61" i="30"/>
  <c r="CP60" i="30"/>
  <c r="CQ63" i="30"/>
  <c r="CQ64" i="30"/>
  <c r="CR69" i="30"/>
  <c r="CQ56" i="30"/>
  <c r="CQ65" i="30"/>
  <c r="CR57" i="30"/>
  <c r="CQ54" i="30"/>
  <c r="CQ55" i="30"/>
  <c r="CQ59" i="30"/>
  <c r="CR58" i="30"/>
  <c r="CO68" i="30"/>
  <c r="CP66" i="30"/>
  <c r="CQ62" i="30"/>
  <c r="CR61" i="30"/>
  <c r="CQ60" i="30"/>
  <c r="CR63" i="30"/>
  <c r="CR64" i="30"/>
  <c r="CS69" i="30"/>
  <c r="CR56" i="30"/>
  <c r="CR65" i="30"/>
  <c r="CS57" i="30"/>
  <c r="CR54" i="30"/>
  <c r="CR55" i="30"/>
  <c r="CR59" i="30"/>
  <c r="CS58" i="30"/>
  <c r="CP68" i="30"/>
  <c r="CQ66" i="30"/>
  <c r="CR62" i="30"/>
  <c r="CS61" i="30"/>
  <c r="CR60" i="30"/>
  <c r="CS63" i="30"/>
  <c r="CS64" i="30"/>
  <c r="CT69" i="30"/>
  <c r="CS56" i="30"/>
  <c r="CS65" i="30"/>
  <c r="CT57" i="30"/>
  <c r="CS54" i="30"/>
  <c r="CS55" i="30"/>
  <c r="CS59" i="30"/>
  <c r="CT58" i="30"/>
  <c r="CQ68" i="30"/>
  <c r="CR66" i="30"/>
  <c r="CS62" i="30"/>
  <c r="CT61" i="30"/>
  <c r="CS60" i="30"/>
  <c r="CT63" i="30"/>
  <c r="CT64" i="30"/>
  <c r="CU69" i="30"/>
  <c r="CT56" i="30"/>
  <c r="CT65" i="30"/>
  <c r="CU57" i="30"/>
  <c r="CT54" i="30"/>
  <c r="CT55" i="30"/>
  <c r="CT59" i="30"/>
  <c r="CU58" i="30"/>
  <c r="CR68" i="30"/>
  <c r="CS66" i="30"/>
  <c r="CT62" i="30"/>
  <c r="CU61" i="30"/>
  <c r="CT60" i="30"/>
  <c r="CU63" i="30"/>
  <c r="CU64" i="30"/>
  <c r="CV69" i="30"/>
  <c r="CU56" i="30"/>
  <c r="CU65" i="30"/>
  <c r="CV57" i="30"/>
  <c r="CU54" i="30"/>
  <c r="CU55" i="30"/>
  <c r="CU59" i="30"/>
  <c r="CV58" i="30"/>
  <c r="CS68" i="30"/>
  <c r="CT66" i="30"/>
  <c r="CU62" i="30"/>
  <c r="CV61" i="30"/>
  <c r="CU60" i="30"/>
  <c r="CV63" i="30"/>
  <c r="CV64" i="30"/>
  <c r="CW69" i="30"/>
  <c r="CV56" i="30"/>
  <c r="CV65" i="30"/>
  <c r="CW57" i="30"/>
  <c r="CV54" i="30"/>
  <c r="CV55" i="30"/>
  <c r="CV59" i="30"/>
  <c r="CW58" i="30"/>
  <c r="CT68" i="30"/>
  <c r="CU66" i="30"/>
  <c r="CV62" i="30"/>
  <c r="CW61" i="30"/>
  <c r="CV60" i="30"/>
  <c r="CW63" i="30"/>
  <c r="CW64" i="30"/>
  <c r="CX69" i="30"/>
  <c r="CW56" i="30"/>
  <c r="CW65" i="30"/>
  <c r="CX57" i="30"/>
  <c r="CW54" i="30"/>
  <c r="CW55" i="30"/>
  <c r="CW59" i="30"/>
  <c r="CX58" i="30"/>
  <c r="CU68" i="30"/>
  <c r="CV66" i="30"/>
  <c r="CW62" i="30"/>
  <c r="CX61" i="30"/>
  <c r="CW60" i="30"/>
  <c r="CX63" i="30"/>
  <c r="CX64" i="30"/>
  <c r="CY69" i="30"/>
  <c r="CX56" i="30"/>
  <c r="CX65" i="30"/>
  <c r="CY57" i="30"/>
  <c r="CX54" i="30"/>
  <c r="CX55" i="30"/>
  <c r="CX59" i="30"/>
  <c r="CY58" i="30"/>
  <c r="CV68" i="30"/>
  <c r="CW66" i="30"/>
  <c r="CX62" i="30"/>
  <c r="CY61" i="30"/>
  <c r="CX60" i="30"/>
  <c r="CY63" i="30"/>
  <c r="CY64" i="30"/>
  <c r="CZ69" i="30"/>
  <c r="CY56" i="30"/>
  <c r="CY65" i="30"/>
  <c r="CZ57" i="30"/>
  <c r="CY54" i="30"/>
  <c r="CY55" i="30"/>
  <c r="CY59" i="30"/>
  <c r="CZ58" i="30"/>
  <c r="CW68" i="30"/>
  <c r="CX66" i="30"/>
  <c r="CY62" i="30"/>
  <c r="CZ61" i="30"/>
  <c r="CY60" i="30"/>
  <c r="CZ63" i="30"/>
  <c r="CZ64" i="30"/>
  <c r="DA69" i="30"/>
  <c r="CZ56" i="30"/>
  <c r="CZ65" i="30"/>
  <c r="DA57" i="30"/>
  <c r="CZ54" i="30"/>
  <c r="CZ55" i="30"/>
  <c r="CZ59" i="30"/>
  <c r="DA58" i="30"/>
  <c r="CX68" i="30"/>
  <c r="CY66" i="30"/>
  <c r="CZ62" i="30"/>
  <c r="DA61" i="30"/>
  <c r="CZ60" i="30"/>
  <c r="DA63" i="30"/>
  <c r="DA64" i="30"/>
  <c r="DB69" i="30"/>
  <c r="DA56" i="30"/>
  <c r="DA65" i="30"/>
  <c r="DB57" i="30"/>
  <c r="DA54" i="30"/>
  <c r="DA55" i="30"/>
  <c r="DA59" i="30"/>
  <c r="DB58" i="30"/>
  <c r="CY68" i="30"/>
  <c r="CZ66" i="30"/>
  <c r="DA62" i="30"/>
  <c r="DB61" i="30"/>
  <c r="DA60" i="30"/>
  <c r="DB63" i="30"/>
  <c r="DB64" i="30"/>
  <c r="DC69" i="30"/>
  <c r="DB56" i="30"/>
  <c r="DB65" i="30"/>
  <c r="DC57" i="30"/>
  <c r="DB54" i="30"/>
  <c r="DB55" i="30"/>
  <c r="DB59" i="30"/>
  <c r="DC58" i="30"/>
  <c r="CZ68" i="30"/>
  <c r="DA66" i="30"/>
  <c r="DB62" i="30"/>
  <c r="DC61" i="30"/>
  <c r="DB60" i="30"/>
  <c r="DC63" i="30"/>
  <c r="DC64" i="30"/>
  <c r="DD69" i="30"/>
  <c r="DC56" i="30"/>
  <c r="DC65" i="30"/>
  <c r="DD57" i="30"/>
  <c r="DC54" i="30"/>
  <c r="DC55" i="30"/>
  <c r="DC59" i="30"/>
  <c r="DD58" i="30"/>
  <c r="DA68" i="30"/>
  <c r="DB66" i="30"/>
  <c r="DC62" i="30"/>
  <c r="DD61" i="30"/>
  <c r="DC60" i="30"/>
  <c r="DD63" i="30"/>
  <c r="DD64" i="30"/>
  <c r="DE69" i="30"/>
  <c r="DD56" i="30"/>
  <c r="DD65" i="30"/>
  <c r="DE57" i="30"/>
  <c r="DD54" i="30"/>
  <c r="DD55" i="30"/>
  <c r="DD59" i="30"/>
  <c r="DE58" i="30"/>
  <c r="DB68" i="30"/>
  <c r="DC66" i="30"/>
  <c r="DD62" i="30"/>
  <c r="DE61" i="30"/>
  <c r="DD60" i="30"/>
  <c r="DE63" i="30"/>
  <c r="DE64" i="30"/>
  <c r="DF69" i="30"/>
  <c r="DE56" i="30"/>
  <c r="DE65" i="30"/>
  <c r="DF57" i="30"/>
  <c r="DE54" i="30"/>
  <c r="DE55" i="30"/>
  <c r="DE59" i="30"/>
  <c r="DF58" i="30"/>
  <c r="DC68" i="30"/>
  <c r="DD66" i="30"/>
  <c r="DE62" i="30"/>
  <c r="DF61" i="30"/>
  <c r="DE60" i="30"/>
  <c r="DF63" i="30"/>
  <c r="DF64" i="30"/>
  <c r="DG69" i="30"/>
  <c r="DF56" i="30"/>
  <c r="DF65" i="30"/>
  <c r="DG57" i="30"/>
  <c r="DF54" i="30"/>
  <c r="DF55" i="30"/>
  <c r="DF59" i="30"/>
  <c r="DG58" i="30"/>
  <c r="DD68" i="30"/>
  <c r="DE66" i="30"/>
  <c r="DF62" i="30"/>
  <c r="DG61" i="30"/>
  <c r="DF60" i="30"/>
  <c r="DG63" i="30"/>
  <c r="DG64" i="30"/>
  <c r="DH69" i="30"/>
  <c r="DG56" i="30"/>
  <c r="DG65" i="30"/>
  <c r="DH57" i="30"/>
  <c r="DG54" i="30"/>
  <c r="DG55" i="30"/>
  <c r="DG59" i="30"/>
  <c r="DH58" i="30"/>
  <c r="DE68" i="30"/>
  <c r="DF66" i="30"/>
  <c r="DG62" i="30"/>
  <c r="DH61" i="30"/>
  <c r="DG60" i="30"/>
  <c r="DH63" i="30"/>
  <c r="DH64" i="30"/>
  <c r="DI69" i="30"/>
  <c r="DH56" i="30"/>
  <c r="DH65" i="30"/>
  <c r="DI57" i="30"/>
  <c r="DH54" i="30"/>
  <c r="DH55" i="30"/>
  <c r="DH59" i="30"/>
  <c r="DI58" i="30"/>
  <c r="DF68" i="30"/>
  <c r="DG66" i="30"/>
  <c r="DH62" i="30"/>
  <c r="DI61" i="30"/>
  <c r="DH60" i="30"/>
  <c r="DI63" i="30"/>
  <c r="DI64" i="30"/>
  <c r="DJ69" i="30"/>
  <c r="DI56" i="30"/>
  <c r="DI65" i="30"/>
  <c r="DJ57" i="30"/>
  <c r="DI54" i="30"/>
  <c r="DI55" i="30"/>
  <c r="DI59" i="30"/>
  <c r="DJ58" i="30"/>
  <c r="DG68" i="30"/>
  <c r="DH66" i="30"/>
  <c r="DI62" i="30"/>
  <c r="DJ61" i="30"/>
  <c r="DI60" i="30"/>
  <c r="DJ63" i="30"/>
  <c r="DJ64" i="30"/>
  <c r="DK69" i="30"/>
  <c r="DJ56" i="30"/>
  <c r="DJ65" i="30"/>
  <c r="DK57" i="30"/>
  <c r="DJ54" i="30"/>
  <c r="DJ55" i="30"/>
  <c r="DJ59" i="30"/>
  <c r="DK58" i="30"/>
  <c r="DH68" i="30"/>
  <c r="DI66" i="30"/>
  <c r="DJ62" i="30"/>
  <c r="DK61" i="30"/>
  <c r="DJ60" i="30"/>
  <c r="DK63" i="30"/>
  <c r="DK64" i="30"/>
  <c r="DL69" i="30"/>
  <c r="DK56" i="30"/>
  <c r="DK65" i="30"/>
  <c r="DL57" i="30"/>
  <c r="DK54" i="30"/>
  <c r="DK55" i="30"/>
  <c r="DK59" i="30"/>
  <c r="DL58" i="30"/>
  <c r="DI68" i="30"/>
  <c r="DJ66" i="30"/>
  <c r="DK62" i="30"/>
  <c r="DL61" i="30"/>
  <c r="DK60" i="30"/>
  <c r="DL63" i="30"/>
  <c r="DL64" i="30"/>
  <c r="DM69" i="30"/>
  <c r="DL56" i="30"/>
  <c r="DL65" i="30"/>
  <c r="DM57" i="30"/>
  <c r="DL54" i="30"/>
  <c r="DL55" i="30"/>
  <c r="DL59" i="30"/>
  <c r="DM58" i="30"/>
  <c r="DJ68" i="30"/>
  <c r="DK66" i="30"/>
  <c r="DL62" i="30"/>
  <c r="DM61" i="30"/>
  <c r="DL60" i="30"/>
  <c r="DM63" i="30"/>
  <c r="DM64" i="30"/>
  <c r="DN69" i="30"/>
  <c r="DM56" i="30"/>
  <c r="DM65" i="30"/>
  <c r="DN57" i="30"/>
  <c r="DM54" i="30"/>
  <c r="DM55" i="30"/>
  <c r="DM59" i="30"/>
  <c r="DN58" i="30"/>
  <c r="DK68" i="30"/>
  <c r="DL66" i="30"/>
  <c r="DM62" i="30"/>
  <c r="DN61" i="30"/>
  <c r="DM60" i="30"/>
  <c r="DN63" i="30"/>
  <c r="DN64" i="30"/>
  <c r="DO69" i="30"/>
  <c r="DN56" i="30"/>
  <c r="DN65" i="30"/>
  <c r="DO57" i="30"/>
  <c r="DN54" i="30"/>
  <c r="DN55" i="30"/>
  <c r="DN59" i="30"/>
  <c r="DO58" i="30"/>
  <c r="DL68" i="30"/>
  <c r="DM66" i="30"/>
  <c r="DN62" i="30"/>
  <c r="DO61" i="30"/>
  <c r="DN60" i="30"/>
  <c r="DO63" i="30"/>
  <c r="DO64" i="30"/>
  <c r="DP69" i="30"/>
  <c r="DO56" i="30"/>
  <c r="DO65" i="30"/>
  <c r="DP57" i="30"/>
  <c r="DO54" i="30"/>
  <c r="DO55" i="30"/>
  <c r="DO59" i="30"/>
  <c r="DP58" i="30"/>
  <c r="DM68" i="30"/>
  <c r="DN66" i="30"/>
  <c r="DO62" i="30"/>
  <c r="DP61" i="30"/>
  <c r="DO60" i="30"/>
  <c r="DP63" i="30"/>
  <c r="DP64" i="30"/>
  <c r="DQ69" i="30"/>
  <c r="DP56" i="30"/>
  <c r="DP65" i="30"/>
  <c r="DQ57" i="30"/>
  <c r="DP54" i="30"/>
  <c r="DP55" i="30"/>
  <c r="DP59" i="30"/>
  <c r="DQ58" i="30"/>
  <c r="DN68" i="30"/>
  <c r="DO66" i="30"/>
  <c r="DP62" i="30"/>
  <c r="DQ61" i="30"/>
  <c r="DP60" i="30"/>
  <c r="DQ63" i="30"/>
  <c r="DQ64" i="30"/>
  <c r="DR69" i="30"/>
  <c r="DQ56" i="30"/>
  <c r="DQ65" i="30"/>
  <c r="DR57" i="30"/>
  <c r="DQ54" i="30"/>
  <c r="DQ55" i="30"/>
  <c r="DQ59" i="30"/>
  <c r="DR58" i="30"/>
  <c r="DO68" i="30"/>
  <c r="DP66" i="30"/>
  <c r="DQ62" i="30"/>
  <c r="DR61" i="30"/>
  <c r="DQ60" i="30"/>
  <c r="DR63" i="30"/>
  <c r="DR64" i="30"/>
  <c r="DS69" i="30"/>
  <c r="DR56" i="30"/>
  <c r="DR65" i="30"/>
  <c r="DS57" i="30"/>
  <c r="DR54" i="30"/>
  <c r="DR55" i="30"/>
  <c r="DR59" i="30"/>
  <c r="DS58" i="30"/>
  <c r="DP68" i="30"/>
  <c r="DQ66" i="30"/>
  <c r="DR62" i="30"/>
  <c r="DS61" i="30"/>
  <c r="DR60" i="30"/>
  <c r="DS63" i="30"/>
  <c r="DS64" i="30"/>
  <c r="DT69" i="30"/>
  <c r="DS56" i="30"/>
  <c r="DS65" i="30"/>
  <c r="DT57" i="30"/>
  <c r="DS54" i="30"/>
  <c r="DS55" i="30"/>
  <c r="DS59" i="30"/>
  <c r="DT58" i="30"/>
  <c r="DQ68" i="30"/>
  <c r="DR66" i="30"/>
  <c r="DS62" i="30"/>
  <c r="DT61" i="30"/>
  <c r="DS60" i="30"/>
  <c r="DT63" i="30"/>
  <c r="DT64" i="30"/>
  <c r="DU69" i="30"/>
  <c r="DT56" i="30"/>
  <c r="DT65" i="30"/>
  <c r="DU57" i="30"/>
  <c r="DT54" i="30"/>
  <c r="DT55" i="30"/>
  <c r="DT59" i="30"/>
  <c r="DU58" i="30"/>
  <c r="DR68" i="30"/>
  <c r="DS66" i="30"/>
  <c r="DT62" i="30"/>
  <c r="DU61" i="30"/>
  <c r="DT60" i="30"/>
  <c r="DU63" i="30"/>
  <c r="DU64" i="30"/>
  <c r="DV69" i="30"/>
  <c r="DU56" i="30"/>
  <c r="DU65" i="30"/>
  <c r="DV57" i="30"/>
  <c r="DU54" i="30"/>
  <c r="DU55" i="30"/>
  <c r="DU59" i="30"/>
  <c r="DV58" i="30"/>
  <c r="DS68" i="30"/>
  <c r="DT66" i="30"/>
  <c r="DU62" i="30"/>
  <c r="DV61" i="30"/>
  <c r="DU60" i="30"/>
  <c r="DV63" i="30"/>
  <c r="DV64" i="30"/>
  <c r="DW69" i="30"/>
  <c r="DV56" i="30"/>
  <c r="DV65" i="30"/>
  <c r="DW57" i="30"/>
  <c r="DV54" i="30"/>
  <c r="DV55" i="30"/>
  <c r="DV59" i="30"/>
  <c r="DW58" i="30"/>
  <c r="DT68" i="30"/>
  <c r="DU66" i="30"/>
  <c r="DV62" i="30"/>
  <c r="DW61" i="30"/>
  <c r="DV60" i="30"/>
  <c r="DW63" i="30"/>
  <c r="DW64" i="30"/>
  <c r="DX69" i="30"/>
  <c r="DW56" i="30"/>
  <c r="DW65" i="30"/>
  <c r="DX57" i="30"/>
  <c r="DW54" i="30"/>
  <c r="DW55" i="30"/>
  <c r="DW59" i="30"/>
  <c r="DX58" i="30"/>
  <c r="DU68" i="30"/>
  <c r="DV66" i="30"/>
  <c r="DW62" i="30"/>
  <c r="DX61" i="30"/>
  <c r="DW60" i="30"/>
  <c r="DX63" i="30"/>
  <c r="DX64" i="30"/>
  <c r="DY69" i="30"/>
  <c r="DX56" i="30"/>
  <c r="DX65" i="30"/>
  <c r="DY57" i="30"/>
  <c r="DX54" i="30"/>
  <c r="DX55" i="30"/>
  <c r="DX59" i="30"/>
  <c r="DY58" i="30"/>
  <c r="DV68" i="30"/>
  <c r="DW66" i="30"/>
  <c r="DX62" i="30"/>
  <c r="DY61" i="30"/>
  <c r="DX60" i="30"/>
  <c r="DY63" i="30"/>
  <c r="DY64" i="30"/>
  <c r="DZ69" i="30"/>
  <c r="DY56" i="30"/>
  <c r="DY65" i="30"/>
  <c r="DZ57" i="30"/>
  <c r="DY54" i="30"/>
  <c r="DY55" i="30"/>
  <c r="DY59" i="30"/>
  <c r="DZ58" i="30"/>
  <c r="DW68" i="30"/>
  <c r="DX66" i="30"/>
  <c r="DY62" i="30"/>
  <c r="DZ61" i="30"/>
  <c r="DY60" i="30"/>
  <c r="DZ63" i="30"/>
  <c r="DZ64" i="30"/>
  <c r="EA69" i="30"/>
  <c r="DZ56" i="30"/>
  <c r="DZ65" i="30"/>
  <c r="EA57" i="30"/>
  <c r="DZ54" i="30"/>
  <c r="DZ55" i="30"/>
  <c r="DZ59" i="30"/>
  <c r="EA58" i="30"/>
  <c r="DX68" i="30"/>
  <c r="DY66" i="30"/>
  <c r="DZ62" i="30"/>
  <c r="EA61" i="30"/>
  <c r="DZ60" i="30"/>
  <c r="EA63" i="30"/>
  <c r="EA64" i="30"/>
  <c r="EB69" i="30"/>
  <c r="EA56" i="30"/>
  <c r="EA65" i="30"/>
  <c r="EB57" i="30"/>
  <c r="EA54" i="30"/>
  <c r="EA55" i="30"/>
  <c r="EA59" i="30"/>
  <c r="EB58" i="30"/>
  <c r="DY68" i="30"/>
  <c r="DZ66" i="30"/>
  <c r="EA62" i="30"/>
  <c r="EB61" i="30"/>
  <c r="EA60" i="30"/>
  <c r="EB63" i="30"/>
  <c r="EB64" i="30"/>
  <c r="EC69" i="30"/>
  <c r="EB56" i="30"/>
  <c r="EB65" i="30"/>
  <c r="EC57" i="30"/>
  <c r="EB54" i="30"/>
  <c r="EB55" i="30"/>
  <c r="EB59" i="30"/>
  <c r="EC58" i="30"/>
  <c r="DZ68" i="30"/>
  <c r="EA66" i="30"/>
  <c r="EB62" i="30"/>
  <c r="EC61" i="30"/>
  <c r="EB60" i="30"/>
  <c r="EC63" i="30"/>
  <c r="EC64" i="30"/>
  <c r="ED69" i="30"/>
  <c r="EC56" i="30"/>
  <c r="EC65" i="30"/>
  <c r="ED57" i="30"/>
  <c r="EC54" i="30"/>
  <c r="EC55" i="30"/>
  <c r="EC59" i="30"/>
  <c r="ED58" i="30"/>
  <c r="EA68" i="30"/>
  <c r="EB66" i="30"/>
  <c r="EC62" i="30"/>
  <c r="ED61" i="30"/>
  <c r="EC60" i="30"/>
  <c r="ED63" i="30"/>
  <c r="ED64" i="30"/>
  <c r="EE69" i="30"/>
  <c r="ED56" i="30"/>
  <c r="ED65" i="30"/>
  <c r="EE57" i="30"/>
  <c r="ED54" i="30"/>
  <c r="ED55" i="30"/>
  <c r="ED59" i="30"/>
  <c r="EE58" i="30"/>
  <c r="EB68" i="30"/>
  <c r="EC66" i="30"/>
  <c r="ED62" i="30"/>
  <c r="EE61" i="30"/>
  <c r="ED60" i="30"/>
  <c r="EE63" i="30"/>
  <c r="EE64" i="30"/>
  <c r="EF69" i="30"/>
  <c r="EE56" i="30"/>
  <c r="EE65" i="30"/>
  <c r="EF57" i="30"/>
  <c r="EE54" i="30"/>
  <c r="EE55" i="30"/>
  <c r="EE59" i="30"/>
  <c r="EF58" i="30"/>
  <c r="EC68" i="30"/>
  <c r="ED66" i="30"/>
  <c r="EE62" i="30"/>
  <c r="EF61" i="30"/>
  <c r="EE60" i="30"/>
  <c r="EF63" i="30"/>
  <c r="EF64" i="30"/>
  <c r="EG69" i="30"/>
  <c r="EF56" i="30"/>
  <c r="EF65" i="30"/>
  <c r="EG57" i="30"/>
  <c r="EF54" i="30"/>
  <c r="EF55" i="30"/>
  <c r="EF59" i="30"/>
  <c r="EG58" i="30"/>
  <c r="ED68" i="30"/>
  <c r="EE66" i="30"/>
  <c r="EF62" i="30"/>
  <c r="EG61" i="30"/>
  <c r="EF60" i="30"/>
  <c r="EG63" i="30"/>
  <c r="EG64" i="30"/>
  <c r="EH69" i="30"/>
  <c r="EG56" i="30"/>
  <c r="EG65" i="30"/>
  <c r="EH57" i="30"/>
  <c r="EG54" i="30"/>
  <c r="EG55" i="30"/>
  <c r="EG59" i="30"/>
  <c r="EH58" i="30"/>
  <c r="EE68" i="30"/>
  <c r="EF66" i="30"/>
  <c r="EG62" i="30"/>
  <c r="EH61" i="30"/>
  <c r="EG60" i="30"/>
  <c r="EH63" i="30"/>
  <c r="EH64" i="30"/>
  <c r="EI69" i="30"/>
  <c r="EH56" i="30"/>
  <c r="EH65" i="30"/>
  <c r="EI57" i="30"/>
  <c r="EH54" i="30"/>
  <c r="EH55" i="30"/>
  <c r="EH59" i="30"/>
  <c r="EI58" i="30"/>
  <c r="EF68" i="30"/>
  <c r="EG66" i="30"/>
  <c r="EH62" i="30"/>
  <c r="EI61" i="30"/>
  <c r="EH60" i="30"/>
  <c r="EI63" i="30"/>
  <c r="EI64" i="30"/>
  <c r="EJ69" i="30"/>
  <c r="EI56" i="30"/>
  <c r="EI65" i="30"/>
  <c r="EJ57" i="30"/>
  <c r="EI54" i="30"/>
  <c r="EI55" i="30"/>
  <c r="EI59" i="30"/>
  <c r="EJ58" i="30"/>
  <c r="EG68" i="30"/>
  <c r="EH66" i="30"/>
  <c r="EI62" i="30"/>
  <c r="EJ61" i="30"/>
  <c r="EI60" i="30"/>
  <c r="EJ63" i="30"/>
  <c r="EJ64" i="30"/>
  <c r="EK69" i="30"/>
  <c r="EJ56" i="30"/>
  <c r="EJ65" i="30"/>
  <c r="EK57" i="30"/>
  <c r="EJ54" i="30"/>
  <c r="EJ55" i="30"/>
  <c r="EJ59" i="30"/>
  <c r="EK58" i="30"/>
  <c r="EH68" i="30"/>
  <c r="EI66" i="30"/>
  <c r="EJ62" i="30"/>
  <c r="EK61" i="30"/>
  <c r="EJ60" i="30"/>
  <c r="EK63" i="30"/>
  <c r="EK64" i="30"/>
  <c r="EL69" i="30"/>
  <c r="EK56" i="30"/>
  <c r="EK65" i="30"/>
  <c r="EL57" i="30"/>
  <c r="EK54" i="30"/>
  <c r="EK55" i="30"/>
  <c r="EK59" i="30"/>
  <c r="EL58" i="30"/>
  <c r="EI68" i="30"/>
  <c r="EJ66" i="30"/>
  <c r="EK62" i="30"/>
  <c r="EL61" i="30"/>
  <c r="EK60" i="30"/>
  <c r="EL63" i="30"/>
  <c r="EL64" i="30"/>
  <c r="EM69" i="30"/>
  <c r="EL56" i="30"/>
  <c r="EL65" i="30"/>
  <c r="EM57" i="30"/>
  <c r="EL54" i="30"/>
  <c r="EL55" i="30"/>
  <c r="EL59" i="30"/>
  <c r="EM58" i="30"/>
  <c r="EJ68" i="30"/>
  <c r="EK66" i="30"/>
  <c r="EL62" i="30"/>
  <c r="EM61" i="30"/>
  <c r="EL60" i="30"/>
  <c r="EM63" i="30"/>
  <c r="EM64" i="30"/>
  <c r="EN69" i="30"/>
  <c r="EM56" i="30"/>
  <c r="EM65" i="30"/>
  <c r="EN57" i="30"/>
  <c r="EM54" i="30"/>
  <c r="EM55" i="30"/>
  <c r="EM59" i="30"/>
  <c r="EN58" i="30"/>
  <c r="EK68" i="30"/>
  <c r="EL66" i="30"/>
  <c r="EM62" i="30"/>
  <c r="EN61" i="30"/>
  <c r="EM60" i="30"/>
  <c r="EN63" i="30"/>
  <c r="EN64" i="30"/>
  <c r="EO69" i="30"/>
  <c r="EN56" i="30"/>
  <c r="EN65" i="30"/>
  <c r="EO57" i="30"/>
  <c r="EN54" i="30"/>
  <c r="EN55" i="30"/>
  <c r="EN59" i="30"/>
  <c r="EO58" i="30"/>
  <c r="EL68" i="30"/>
  <c r="EM66" i="30"/>
  <c r="EN62" i="30"/>
  <c r="EO61" i="30"/>
  <c r="EN60" i="30"/>
  <c r="EO63" i="30"/>
  <c r="EO64" i="30"/>
  <c r="EP69" i="30"/>
  <c r="EO56" i="30"/>
  <c r="EO65" i="30"/>
  <c r="EP57" i="30"/>
  <c r="EO54" i="30"/>
  <c r="EO55" i="30"/>
  <c r="EO59" i="30"/>
  <c r="EP58" i="30"/>
  <c r="EM68" i="30"/>
  <c r="EN66" i="30"/>
  <c r="EO62" i="30"/>
  <c r="EP61" i="30"/>
  <c r="EO60" i="30"/>
  <c r="EP63" i="30"/>
  <c r="EP64" i="30"/>
  <c r="EQ69" i="30"/>
  <c r="EP56" i="30"/>
  <c r="EP65" i="30"/>
  <c r="EQ57" i="30"/>
  <c r="EP54" i="30"/>
  <c r="EP55" i="30"/>
  <c r="EP59" i="30"/>
  <c r="EQ58" i="30"/>
  <c r="EN68" i="30"/>
  <c r="EO66" i="30"/>
  <c r="EP62" i="30"/>
  <c r="EQ61" i="30"/>
  <c r="EP60" i="30"/>
  <c r="EQ63" i="30"/>
  <c r="EQ64" i="30"/>
  <c r="ER69" i="30"/>
  <c r="EQ56" i="30"/>
  <c r="EQ65" i="30"/>
  <c r="ER57" i="30"/>
  <c r="EQ54" i="30"/>
  <c r="EQ55" i="30"/>
  <c r="EQ59" i="30"/>
  <c r="ER58" i="30"/>
  <c r="EO68" i="30"/>
  <c r="EP66" i="30"/>
  <c r="EQ62" i="30"/>
  <c r="ER61" i="30"/>
  <c r="EQ60" i="30"/>
  <c r="ER63" i="30"/>
  <c r="ER64" i="30"/>
  <c r="ES69" i="30"/>
  <c r="ER56" i="30"/>
  <c r="ER65" i="30"/>
  <c r="ES57" i="30"/>
  <c r="ER54" i="30"/>
  <c r="ER55" i="30"/>
  <c r="ER59" i="30"/>
  <c r="ES58" i="30"/>
  <c r="EP68" i="30"/>
  <c r="EQ66" i="30"/>
  <c r="ER62" i="30"/>
  <c r="ES61" i="30"/>
  <c r="ER60" i="30"/>
  <c r="ES63" i="30"/>
  <c r="ES64" i="30"/>
  <c r="ET69" i="30"/>
  <c r="ES56" i="30"/>
  <c r="ES65" i="30"/>
  <c r="ET57" i="30"/>
  <c r="ES54" i="30"/>
  <c r="ES55" i="30"/>
  <c r="ES59" i="30"/>
  <c r="ET58" i="30"/>
  <c r="EQ68" i="30"/>
  <c r="ER66" i="30"/>
  <c r="ES62" i="30"/>
  <c r="ET61" i="30"/>
  <c r="ES60" i="30"/>
  <c r="ET63" i="30"/>
  <c r="ET64" i="30"/>
  <c r="EU69" i="30"/>
  <c r="ET56" i="30"/>
  <c r="ET65" i="30"/>
  <c r="EU57" i="30"/>
  <c r="ET54" i="30"/>
  <c r="ET55" i="30"/>
  <c r="ET59" i="30"/>
  <c r="EU58" i="30"/>
  <c r="ER68" i="30"/>
  <c r="ES66" i="30"/>
  <c r="ET62" i="30"/>
  <c r="EU61" i="30"/>
  <c r="ET60" i="30"/>
  <c r="EU63" i="30"/>
  <c r="EU64" i="30"/>
  <c r="EV69" i="30"/>
  <c r="EU56" i="30"/>
  <c r="EU65" i="30"/>
  <c r="EV57" i="30"/>
  <c r="EU54" i="30"/>
  <c r="EU55" i="30"/>
  <c r="EU59" i="30"/>
  <c r="EV58" i="30"/>
  <c r="ES68" i="30"/>
  <c r="ET66" i="30"/>
  <c r="EU62" i="30"/>
  <c r="EV61" i="30"/>
  <c r="EU60" i="30"/>
  <c r="EV63" i="30"/>
  <c r="EV64" i="30"/>
  <c r="EW69" i="30"/>
  <c r="EV56" i="30"/>
  <c r="EV65" i="30"/>
  <c r="EW57" i="30"/>
  <c r="EV54" i="30"/>
  <c r="EV55" i="30"/>
  <c r="EV59" i="30"/>
  <c r="EW58" i="30"/>
  <c r="ET68" i="30"/>
  <c r="EU66" i="30"/>
  <c r="EV62" i="30"/>
  <c r="EW61" i="30"/>
  <c r="EV60" i="30"/>
  <c r="EW63" i="30"/>
  <c r="EW64" i="30"/>
  <c r="EX69" i="30"/>
  <c r="EW56" i="30"/>
  <c r="EW65" i="30"/>
  <c r="EX57" i="30"/>
  <c r="EW54" i="30"/>
  <c r="EW55" i="30"/>
  <c r="EW59" i="30"/>
  <c r="EX58" i="30"/>
  <c r="EU68" i="30"/>
  <c r="EV66" i="30"/>
  <c r="EW62" i="30"/>
  <c r="EX61" i="30"/>
  <c r="EW60" i="30"/>
  <c r="EX63" i="30"/>
  <c r="EX64" i="30"/>
  <c r="EY69" i="30"/>
  <c r="EX56" i="30"/>
  <c r="EX65" i="30"/>
  <c r="EY57" i="30"/>
  <c r="EX54" i="30"/>
  <c r="EX55" i="30"/>
  <c r="EX59" i="30"/>
  <c r="EY58" i="30"/>
  <c r="EV68" i="30"/>
  <c r="EW66" i="30"/>
  <c r="EX62" i="30"/>
  <c r="EY61" i="30"/>
  <c r="EX60" i="30"/>
  <c r="EY63" i="30"/>
  <c r="EY64" i="30"/>
  <c r="EZ69" i="30"/>
  <c r="EY56" i="30"/>
  <c r="EY65" i="30"/>
  <c r="EZ57" i="30"/>
  <c r="EY54" i="30"/>
  <c r="EY55" i="30"/>
  <c r="EY59" i="30"/>
  <c r="EZ58" i="30"/>
  <c r="EW68" i="30"/>
  <c r="EX66" i="30"/>
  <c r="EY62" i="30"/>
  <c r="EZ61" i="30"/>
  <c r="EY60" i="30"/>
  <c r="EZ63" i="30"/>
  <c r="EZ64" i="30"/>
  <c r="FA69" i="30"/>
  <c r="EZ56" i="30"/>
  <c r="EZ65" i="30"/>
  <c r="FA57" i="30"/>
  <c r="EZ54" i="30"/>
  <c r="EZ55" i="30"/>
  <c r="EZ59" i="30"/>
  <c r="FA58" i="30"/>
  <c r="EX68" i="30"/>
  <c r="EY66" i="30"/>
  <c r="EZ62" i="30"/>
  <c r="FA61" i="30"/>
  <c r="EZ60" i="30"/>
  <c r="FA63" i="30"/>
  <c r="FA64" i="30"/>
  <c r="FB69" i="30"/>
  <c r="FA56" i="30"/>
  <c r="FA65" i="30"/>
  <c r="FB57" i="30"/>
  <c r="FA54" i="30"/>
  <c r="FA55" i="30"/>
  <c r="FA59" i="30"/>
  <c r="FB58" i="30"/>
  <c r="EY68" i="30"/>
  <c r="EZ66" i="30"/>
  <c r="FA62" i="30"/>
  <c r="FB61" i="30"/>
  <c r="FA60" i="30"/>
  <c r="FB63" i="30"/>
  <c r="FB64" i="30"/>
  <c r="FC69" i="30"/>
  <c r="FB56" i="30"/>
  <c r="FB65" i="30"/>
  <c r="FC57" i="30"/>
  <c r="FB54" i="30"/>
  <c r="FB55" i="30"/>
  <c r="FB59" i="30"/>
  <c r="FC58" i="30"/>
  <c r="EZ68" i="30"/>
  <c r="FA66" i="30"/>
  <c r="FB62" i="30"/>
  <c r="FC61" i="30"/>
  <c r="FB60" i="30"/>
  <c r="FC63" i="30"/>
  <c r="FC64" i="30"/>
  <c r="FD69" i="30"/>
  <c r="FC56" i="30"/>
  <c r="FC65" i="30"/>
  <c r="FD57" i="30"/>
  <c r="FC54" i="30"/>
  <c r="FC55" i="30"/>
  <c r="FC59" i="30"/>
  <c r="FD58" i="30"/>
  <c r="FA68" i="30"/>
  <c r="FB66" i="30"/>
  <c r="FC62" i="30"/>
  <c r="FD61" i="30"/>
  <c r="FC60" i="30"/>
  <c r="FD63" i="30"/>
  <c r="FD64" i="30"/>
  <c r="FE69" i="30"/>
  <c r="FD56" i="30"/>
  <c r="FD65" i="30"/>
  <c r="FE57" i="30"/>
  <c r="FD54" i="30"/>
  <c r="FD55" i="30"/>
  <c r="FD59" i="30"/>
  <c r="FE58" i="30"/>
  <c r="FB68" i="30"/>
  <c r="FC66" i="30"/>
  <c r="FD62" i="30"/>
  <c r="FE61" i="30"/>
  <c r="FD60" i="30"/>
  <c r="FE63" i="30"/>
  <c r="FE64" i="30"/>
  <c r="FF69" i="30"/>
  <c r="FE56" i="30"/>
  <c r="FE65" i="30"/>
  <c r="FF57" i="30"/>
  <c r="FE54" i="30"/>
  <c r="FE55" i="30"/>
  <c r="FE59" i="30"/>
  <c r="FF58" i="30"/>
  <c r="FC68" i="30"/>
  <c r="FD66" i="30"/>
  <c r="FE62" i="30"/>
  <c r="FF61" i="30"/>
  <c r="FE60" i="30"/>
  <c r="FF63" i="30"/>
  <c r="FF64" i="30"/>
  <c r="FG69" i="30"/>
  <c r="FF56" i="30"/>
  <c r="FF65" i="30"/>
  <c r="FG57" i="30"/>
  <c r="FF54" i="30"/>
  <c r="FF55" i="30"/>
  <c r="FF59" i="30"/>
  <c r="FG58" i="30"/>
  <c r="FD68" i="30"/>
  <c r="FE66" i="30"/>
  <c r="FF62" i="30"/>
  <c r="FG61" i="30"/>
  <c r="FF60" i="30"/>
  <c r="FG63" i="30"/>
  <c r="FG64" i="30"/>
  <c r="FH69" i="30"/>
  <c r="FG56" i="30"/>
  <c r="FG65" i="30"/>
  <c r="FH57" i="30"/>
  <c r="FG54" i="30"/>
  <c r="FG55" i="30"/>
  <c r="FG59" i="30"/>
  <c r="FH58" i="30"/>
  <c r="FE68" i="30"/>
  <c r="FF66" i="30"/>
  <c r="FG62" i="30"/>
  <c r="FH61" i="30"/>
  <c r="FG60" i="30"/>
  <c r="FH63" i="30"/>
  <c r="FH64" i="30"/>
  <c r="FI69" i="30"/>
  <c r="FH56" i="30"/>
  <c r="FH65" i="30"/>
  <c r="FI57" i="30"/>
  <c r="FH54" i="30"/>
  <c r="FH55" i="30"/>
  <c r="FH59" i="30"/>
  <c r="FI58" i="30"/>
  <c r="FF68" i="30"/>
  <c r="FG66" i="30"/>
  <c r="FH62" i="30"/>
  <c r="FI61" i="30"/>
  <c r="FH60" i="30"/>
  <c r="FI63" i="30"/>
  <c r="FI64" i="30"/>
  <c r="FJ69" i="30"/>
  <c r="FI56" i="30"/>
  <c r="FI65" i="30"/>
  <c r="FJ57" i="30"/>
  <c r="FI54" i="30"/>
  <c r="FI55" i="30"/>
  <c r="FI59" i="30"/>
  <c r="FJ58" i="30"/>
  <c r="FG68" i="30"/>
  <c r="FH66" i="30"/>
  <c r="FI62" i="30"/>
  <c r="FJ61" i="30"/>
  <c r="FI60" i="30"/>
  <c r="FJ63" i="30"/>
  <c r="FJ64" i="30"/>
  <c r="FK69" i="30"/>
  <c r="FJ56" i="30"/>
  <c r="FJ65" i="30"/>
  <c r="FK57" i="30"/>
  <c r="FJ54" i="30"/>
  <c r="FJ55" i="30"/>
  <c r="FJ59" i="30"/>
  <c r="FK58" i="30"/>
  <c r="FH68" i="30"/>
  <c r="FI66" i="30"/>
  <c r="FJ62" i="30"/>
  <c r="FK61" i="30"/>
  <c r="FJ60" i="30"/>
  <c r="FK63" i="30"/>
  <c r="FK64" i="30"/>
  <c r="FL69" i="30"/>
  <c r="FK56" i="30"/>
  <c r="FK65" i="30"/>
  <c r="FL57" i="30"/>
  <c r="FK54" i="30"/>
  <c r="FK55" i="30"/>
  <c r="FK59" i="30"/>
  <c r="FL58" i="30"/>
  <c r="FI68" i="30"/>
  <c r="FJ66" i="30"/>
  <c r="FK62" i="30"/>
  <c r="FL61" i="30"/>
  <c r="FK60" i="30"/>
  <c r="FL63" i="30"/>
  <c r="FL64" i="30"/>
  <c r="FM69" i="30"/>
  <c r="FL56" i="30"/>
  <c r="FL65" i="30"/>
  <c r="FM57" i="30"/>
  <c r="FL54" i="30"/>
  <c r="FL55" i="30"/>
  <c r="FL59" i="30"/>
  <c r="FM58" i="30"/>
  <c r="FJ68" i="30"/>
  <c r="FK66" i="30"/>
  <c r="FL62" i="30"/>
  <c r="FM61" i="30"/>
  <c r="FL60" i="30"/>
  <c r="FM63" i="30"/>
  <c r="FM64" i="30"/>
  <c r="FN69" i="30"/>
  <c r="FM56" i="30"/>
  <c r="FM65" i="30"/>
  <c r="FN57" i="30"/>
  <c r="FM54" i="30"/>
  <c r="FM55" i="30"/>
  <c r="FM59" i="30"/>
  <c r="FN58" i="30"/>
  <c r="FK68" i="30"/>
  <c r="FL66" i="30"/>
  <c r="FM62" i="30"/>
  <c r="FN61" i="30"/>
  <c r="FM60" i="30"/>
  <c r="FN63" i="30"/>
  <c r="FN64" i="30"/>
  <c r="FO69" i="30"/>
  <c r="FN56" i="30"/>
  <c r="FN65" i="30"/>
  <c r="FO57" i="30"/>
  <c r="FN54" i="30"/>
  <c r="FN55" i="30"/>
  <c r="FN59" i="30"/>
  <c r="FO58" i="30"/>
  <c r="FL68" i="30"/>
  <c r="FM66" i="30"/>
  <c r="FN62" i="30"/>
  <c r="FO61" i="30"/>
  <c r="FN60" i="30"/>
  <c r="FO63" i="30"/>
  <c r="FO64" i="30"/>
  <c r="FP69" i="30"/>
  <c r="FO56" i="30"/>
  <c r="FO65" i="30"/>
  <c r="FP57" i="30"/>
  <c r="FO54" i="30"/>
  <c r="FO55" i="30"/>
  <c r="FO59" i="30"/>
  <c r="FP58" i="30"/>
  <c r="FM68" i="30"/>
  <c r="FN66" i="30"/>
  <c r="FO62" i="30"/>
  <c r="FP61" i="30"/>
  <c r="FO60" i="30"/>
  <c r="FP63" i="30"/>
  <c r="FP64" i="30"/>
  <c r="FQ69" i="30"/>
  <c r="FP56" i="30"/>
  <c r="FP65" i="30"/>
  <c r="FQ57" i="30"/>
  <c r="FP54" i="30"/>
  <c r="FP55" i="30"/>
  <c r="FP59" i="30"/>
  <c r="FQ58" i="30"/>
  <c r="FN68" i="30"/>
  <c r="FO66" i="30"/>
  <c r="FP62" i="30"/>
  <c r="FQ61" i="30"/>
  <c r="FP60" i="30"/>
  <c r="FQ63" i="30"/>
  <c r="FQ64" i="30"/>
  <c r="FR69" i="30"/>
  <c r="FQ56" i="30"/>
  <c r="FQ65" i="30"/>
  <c r="FR57" i="30"/>
  <c r="FQ54" i="30"/>
  <c r="FQ55" i="30"/>
  <c r="FQ59" i="30"/>
  <c r="FR58" i="30"/>
  <c r="FO68" i="30"/>
  <c r="FP66" i="30"/>
  <c r="FQ62" i="30"/>
  <c r="FR61" i="30"/>
  <c r="FQ60" i="30"/>
  <c r="FR63" i="30"/>
  <c r="FR64" i="30"/>
  <c r="FS69" i="30"/>
  <c r="FR56" i="30"/>
  <c r="FR65" i="30"/>
  <c r="FS57" i="30"/>
  <c r="FR54" i="30"/>
  <c r="FR55" i="30"/>
  <c r="FR59" i="30"/>
  <c r="FS58" i="30"/>
  <c r="FP68" i="30"/>
  <c r="FQ66" i="30"/>
  <c r="FR62" i="30"/>
  <c r="FS61" i="30"/>
  <c r="FR60" i="30"/>
  <c r="FS63" i="30"/>
  <c r="FS64" i="30"/>
  <c r="FT69" i="30"/>
  <c r="FS56" i="30"/>
  <c r="FS65" i="30"/>
  <c r="FT57" i="30"/>
  <c r="FS54" i="30"/>
  <c r="FS55" i="30"/>
  <c r="FS59" i="30"/>
  <c r="FT58" i="30"/>
  <c r="FQ68" i="30"/>
  <c r="FR66" i="30"/>
  <c r="FS62" i="30"/>
  <c r="FT61" i="30"/>
  <c r="FS60" i="30"/>
  <c r="FT63" i="30"/>
  <c r="FT64" i="30"/>
  <c r="FU69" i="30"/>
  <c r="FT56" i="30"/>
  <c r="FT65" i="30"/>
  <c r="FU57" i="30"/>
  <c r="FT54" i="30"/>
  <c r="FT55" i="30"/>
  <c r="FT59" i="30"/>
  <c r="FU58" i="30"/>
  <c r="FR68" i="30"/>
  <c r="FS66" i="30"/>
  <c r="FT62" i="30"/>
  <c r="FU61" i="30"/>
  <c r="FT60" i="30"/>
  <c r="FU63" i="30"/>
  <c r="FU64" i="30"/>
  <c r="FV69" i="30"/>
  <c r="FU56" i="30"/>
  <c r="FU65" i="30"/>
  <c r="FV57" i="30"/>
  <c r="FU54" i="30"/>
  <c r="FU55" i="30"/>
  <c r="FU59" i="30"/>
  <c r="FV58" i="30"/>
  <c r="FS68" i="30"/>
  <c r="FT66" i="30"/>
  <c r="FU62" i="30"/>
  <c r="FV61" i="30"/>
  <c r="FU60" i="30"/>
  <c r="FV63" i="30"/>
  <c r="FV64" i="30"/>
  <c r="FW69" i="30"/>
  <c r="FV56" i="30"/>
  <c r="FV65" i="30"/>
  <c r="FW57" i="30"/>
  <c r="FV54" i="30"/>
  <c r="FV55" i="30"/>
  <c r="FV59" i="30"/>
  <c r="FW58" i="30"/>
  <c r="FT68" i="30"/>
  <c r="FU66" i="30"/>
  <c r="FV62" i="30"/>
  <c r="FW61" i="30"/>
  <c r="FV60" i="30"/>
  <c r="FW63" i="30"/>
  <c r="FW64" i="30"/>
  <c r="FX69" i="30"/>
  <c r="FW56" i="30"/>
  <c r="FW65" i="30"/>
  <c r="FX57" i="30"/>
  <c r="FW54" i="30"/>
  <c r="FW55" i="30"/>
  <c r="FW59" i="30"/>
  <c r="FX58" i="30"/>
  <c r="FU68" i="30"/>
  <c r="FV66" i="30"/>
  <c r="FW62" i="30"/>
  <c r="FX61" i="30"/>
  <c r="FW60" i="30"/>
  <c r="FX63" i="30"/>
  <c r="FX64" i="30"/>
  <c r="FY69" i="30"/>
  <c r="FX56" i="30"/>
  <c r="FX65" i="30"/>
  <c r="FY57" i="30"/>
  <c r="FX54" i="30"/>
  <c r="FX55" i="30"/>
  <c r="FX59" i="30"/>
  <c r="FY58" i="30"/>
  <c r="FV68" i="30"/>
  <c r="FW66" i="30"/>
  <c r="FX62" i="30"/>
  <c r="FY61" i="30"/>
  <c r="FX60" i="30"/>
  <c r="FY63" i="30"/>
  <c r="FY64" i="30"/>
  <c r="FZ69" i="30"/>
  <c r="FY56" i="30"/>
  <c r="FY65" i="30"/>
  <c r="FZ57" i="30"/>
  <c r="FY54" i="30"/>
  <c r="FY55" i="30"/>
  <c r="FY59" i="30"/>
  <c r="FZ58" i="30"/>
  <c r="FW68" i="30"/>
  <c r="FX66" i="30"/>
  <c r="FY62" i="30"/>
  <c r="FZ61" i="30"/>
  <c r="FY60" i="30"/>
  <c r="FZ63" i="30"/>
  <c r="FZ64" i="30"/>
  <c r="GA69" i="30"/>
  <c r="FZ56" i="30"/>
  <c r="FZ65" i="30"/>
  <c r="GA57" i="30"/>
  <c r="FZ54" i="30"/>
  <c r="FZ55" i="30"/>
  <c r="FZ59" i="30"/>
  <c r="GA58" i="30"/>
  <c r="FX68" i="30"/>
  <c r="FY66" i="30"/>
  <c r="FZ62" i="30"/>
  <c r="GA61" i="30"/>
  <c r="FZ60" i="30"/>
  <c r="GA63" i="30"/>
  <c r="GA64" i="30"/>
  <c r="GB69" i="30"/>
  <c r="GA56" i="30"/>
  <c r="GA65" i="30"/>
  <c r="GB57" i="30"/>
  <c r="GA54" i="30"/>
  <c r="GA55" i="30"/>
  <c r="GA59" i="30"/>
  <c r="GB58" i="30"/>
  <c r="FY68" i="30"/>
  <c r="FZ66" i="30"/>
  <c r="GA62" i="30"/>
  <c r="GB61" i="30"/>
  <c r="GA60" i="30"/>
  <c r="GB63" i="30"/>
  <c r="GB64" i="30"/>
  <c r="GC69" i="30"/>
  <c r="GB56" i="30"/>
  <c r="GB65" i="30"/>
  <c r="GC57" i="30"/>
  <c r="GB54" i="30"/>
  <c r="GB55" i="30"/>
  <c r="GB59" i="30"/>
  <c r="GC58" i="30"/>
  <c r="FZ68" i="30"/>
  <c r="GA66" i="30"/>
  <c r="GB62" i="30"/>
  <c r="GC61" i="30"/>
  <c r="GB60" i="30"/>
  <c r="GC63" i="30"/>
  <c r="GC64" i="30"/>
  <c r="GD69" i="30"/>
  <c r="GC56" i="30"/>
  <c r="GC65" i="30"/>
  <c r="GD57" i="30"/>
  <c r="GC54" i="30"/>
  <c r="GC55" i="30"/>
  <c r="GC59" i="30"/>
  <c r="GD58" i="30"/>
  <c r="GA68" i="30"/>
  <c r="GB66" i="30"/>
  <c r="GC62" i="30"/>
  <c r="GD61" i="30"/>
  <c r="GC60" i="30"/>
  <c r="GD63" i="30"/>
  <c r="GD64" i="30"/>
  <c r="GE69" i="30"/>
  <c r="GD56" i="30"/>
  <c r="GD65" i="30"/>
  <c r="GE57" i="30"/>
  <c r="GD54" i="30"/>
  <c r="GD55" i="30"/>
  <c r="GD59" i="30"/>
  <c r="GE58" i="30"/>
  <c r="GB68" i="30"/>
  <c r="GC66" i="30"/>
  <c r="GD62" i="30"/>
  <c r="GE61" i="30"/>
  <c r="GD60" i="30"/>
  <c r="GE63" i="30"/>
  <c r="GE64" i="30"/>
  <c r="GF69" i="30"/>
  <c r="GE56" i="30"/>
  <c r="GE65" i="30"/>
  <c r="GF57" i="30"/>
  <c r="GE54" i="30"/>
  <c r="GE55" i="30"/>
  <c r="GE59" i="30"/>
  <c r="GF58" i="30"/>
  <c r="GC68" i="30"/>
  <c r="GD66" i="30"/>
  <c r="GE62" i="30"/>
  <c r="GF61" i="30"/>
  <c r="GE60" i="30"/>
  <c r="GF63" i="30"/>
  <c r="GF64" i="30"/>
  <c r="GG69" i="30"/>
  <c r="GF56" i="30"/>
  <c r="GF65" i="30"/>
  <c r="GG57" i="30"/>
  <c r="GF54" i="30"/>
  <c r="GF55" i="30"/>
  <c r="GF59" i="30"/>
  <c r="GG58" i="30"/>
  <c r="GD68" i="30"/>
  <c r="GE66" i="30"/>
  <c r="GF62" i="30"/>
  <c r="GG61" i="30"/>
  <c r="GF60" i="30"/>
  <c r="GG63" i="30"/>
  <c r="GG64" i="30"/>
  <c r="GH69" i="30"/>
  <c r="GG56" i="30"/>
  <c r="GG65" i="30"/>
  <c r="GH57" i="30"/>
  <c r="GG54" i="30"/>
  <c r="GG55" i="30"/>
  <c r="GG59" i="30"/>
  <c r="GH58" i="30"/>
  <c r="GE68" i="30"/>
  <c r="GF66" i="30"/>
  <c r="GG62" i="30"/>
  <c r="GH61" i="30"/>
  <c r="GG60" i="30"/>
  <c r="GH63" i="30"/>
  <c r="GH64" i="30"/>
  <c r="GI69" i="30"/>
  <c r="GH56" i="30"/>
  <c r="GH65" i="30"/>
  <c r="GI57" i="30"/>
  <c r="GH54" i="30"/>
  <c r="GH55" i="30"/>
  <c r="GH59" i="30"/>
  <c r="GI58" i="30"/>
  <c r="GF68" i="30"/>
  <c r="GG66" i="30"/>
  <c r="GH62" i="30"/>
  <c r="GI61" i="30"/>
  <c r="GH60" i="30"/>
  <c r="GI63" i="30"/>
  <c r="GI64" i="30"/>
  <c r="GJ69" i="30"/>
  <c r="GI56" i="30"/>
  <c r="GI65" i="30"/>
  <c r="GJ57" i="30"/>
  <c r="GI54" i="30"/>
  <c r="GI55" i="30"/>
  <c r="GI59" i="30"/>
  <c r="GJ58" i="30"/>
  <c r="GG68" i="30"/>
  <c r="GH66" i="30"/>
  <c r="GI62" i="30"/>
  <c r="GJ61" i="30"/>
  <c r="GI60" i="30"/>
  <c r="GJ63" i="30"/>
  <c r="GJ64" i="30"/>
  <c r="GK69" i="30"/>
  <c r="GJ56" i="30"/>
  <c r="GJ65" i="30"/>
  <c r="GK57" i="30"/>
  <c r="GJ54" i="30"/>
  <c r="GJ55" i="30"/>
  <c r="GJ59" i="30"/>
  <c r="GK58" i="30"/>
  <c r="GH68" i="30"/>
  <c r="GI66" i="30"/>
  <c r="GJ62" i="30"/>
  <c r="GK61" i="30"/>
  <c r="GJ60" i="30"/>
  <c r="GK63" i="30"/>
  <c r="GK64" i="30"/>
  <c r="GL69" i="30"/>
  <c r="GK56" i="30"/>
  <c r="GK65" i="30"/>
  <c r="GL57" i="30"/>
  <c r="GK54" i="30"/>
  <c r="GK55" i="30"/>
  <c r="GK59" i="30"/>
  <c r="GL58" i="30"/>
  <c r="GI68" i="30"/>
  <c r="GJ66" i="30"/>
  <c r="GK62" i="30"/>
  <c r="GL61" i="30"/>
  <c r="GK60" i="30"/>
  <c r="GL63" i="30"/>
  <c r="GL64" i="30"/>
  <c r="GM69" i="30"/>
  <c r="GL56" i="30"/>
  <c r="GL65" i="30"/>
  <c r="GM57" i="30"/>
  <c r="GL54" i="30"/>
  <c r="GL55" i="30"/>
  <c r="GL59" i="30"/>
  <c r="GM58" i="30"/>
  <c r="GJ68" i="30"/>
  <c r="GK66" i="30"/>
  <c r="GL62" i="30"/>
  <c r="GM61" i="30"/>
  <c r="GL60" i="30"/>
  <c r="GM63" i="30"/>
  <c r="GM64" i="30"/>
  <c r="GN69" i="30"/>
  <c r="GM56" i="30"/>
  <c r="GM65" i="30"/>
  <c r="GN57" i="30"/>
  <c r="GM54" i="30"/>
  <c r="GM55" i="30"/>
  <c r="GM59" i="30"/>
  <c r="GN58" i="30"/>
  <c r="GK68" i="30"/>
  <c r="GL66" i="30"/>
  <c r="GM62" i="30"/>
  <c r="GN61" i="30"/>
  <c r="GM60" i="30"/>
  <c r="GN63" i="30"/>
  <c r="GN64" i="30"/>
  <c r="GO69" i="30"/>
  <c r="GN56" i="30"/>
  <c r="GN65" i="30"/>
  <c r="GO57" i="30"/>
  <c r="GN54" i="30"/>
  <c r="GN55" i="30"/>
  <c r="GN59" i="30"/>
  <c r="GO58" i="30"/>
  <c r="GL68" i="30"/>
  <c r="GM66" i="30"/>
  <c r="GN62" i="30"/>
  <c r="GO61" i="30"/>
  <c r="GN60" i="30"/>
  <c r="GO63" i="30"/>
  <c r="GO64" i="30"/>
  <c r="GP69" i="30"/>
  <c r="GO56" i="30"/>
  <c r="GO65" i="30"/>
  <c r="GP57" i="30"/>
  <c r="GO54" i="30"/>
  <c r="GO55" i="30"/>
  <c r="GO59" i="30"/>
  <c r="GP58" i="30"/>
  <c r="GM68" i="30"/>
  <c r="GN66" i="30"/>
  <c r="GO62" i="30"/>
  <c r="GP61" i="30"/>
  <c r="GO60" i="30"/>
  <c r="GP63" i="30"/>
  <c r="GP64" i="30"/>
  <c r="GQ69" i="30"/>
  <c r="GP56" i="30"/>
  <c r="GP65" i="30"/>
  <c r="GQ57" i="30"/>
  <c r="GP54" i="30"/>
  <c r="GP55" i="30"/>
  <c r="GP59" i="30"/>
  <c r="GQ58" i="30"/>
  <c r="GN68" i="30"/>
  <c r="GO66" i="30"/>
  <c r="GP62" i="30"/>
  <c r="GQ61" i="30"/>
  <c r="GP60" i="30"/>
  <c r="GQ63" i="30"/>
  <c r="GQ64" i="30"/>
  <c r="GR69" i="30"/>
  <c r="GQ56" i="30"/>
  <c r="GQ65" i="30"/>
  <c r="GR57" i="30"/>
  <c r="GQ54" i="30"/>
  <c r="GQ55" i="30"/>
  <c r="GQ59" i="30"/>
  <c r="GR58" i="30"/>
  <c r="GO68" i="30"/>
  <c r="GP66" i="30"/>
  <c r="GQ62" i="30"/>
  <c r="GR61" i="30"/>
  <c r="GQ60" i="30"/>
  <c r="GR63" i="30"/>
  <c r="GR64" i="30"/>
  <c r="GS69" i="30"/>
  <c r="GR56" i="30"/>
  <c r="GR65" i="30"/>
  <c r="GS57" i="30"/>
  <c r="GR54" i="30"/>
  <c r="GR55" i="30"/>
  <c r="GR59" i="30"/>
  <c r="GS58" i="30"/>
  <c r="GP68" i="30"/>
  <c r="GQ66" i="30"/>
  <c r="GR62" i="30"/>
  <c r="GS61" i="30"/>
  <c r="GR60" i="30"/>
  <c r="GS63" i="30"/>
  <c r="GS64" i="30"/>
  <c r="GT69" i="30"/>
  <c r="GS56" i="30"/>
  <c r="GS65" i="30"/>
  <c r="GT57" i="30"/>
  <c r="GS54" i="30"/>
  <c r="GS55" i="30"/>
  <c r="GS59" i="30"/>
  <c r="GT58" i="30"/>
  <c r="GQ68" i="30"/>
  <c r="GR66" i="30"/>
  <c r="GS62" i="30"/>
  <c r="GT61" i="30"/>
  <c r="GS60" i="30"/>
  <c r="GT63" i="30"/>
  <c r="GT64" i="30"/>
  <c r="GU69" i="30"/>
  <c r="GT56" i="30"/>
  <c r="GT65" i="30"/>
  <c r="GU57" i="30"/>
  <c r="GT54" i="30"/>
  <c r="GT55" i="30"/>
  <c r="GT59" i="30"/>
  <c r="GU58" i="30"/>
  <c r="GR68" i="30"/>
  <c r="GS66" i="30"/>
  <c r="GT62" i="30"/>
  <c r="GU61" i="30"/>
  <c r="GT60" i="30"/>
  <c r="GU63" i="30"/>
  <c r="GU64" i="30"/>
  <c r="GV69" i="30"/>
  <c r="GU56" i="30"/>
  <c r="GU65" i="30"/>
  <c r="GV57" i="30"/>
  <c r="GU54" i="30"/>
  <c r="GU55" i="30"/>
  <c r="GU59" i="30"/>
  <c r="GV58" i="30"/>
  <c r="GS68" i="30"/>
  <c r="GT66" i="30"/>
  <c r="GU62" i="30"/>
  <c r="GV61" i="30"/>
  <c r="GU60" i="30"/>
  <c r="GV63" i="30"/>
  <c r="GV64" i="30"/>
  <c r="GW69" i="30"/>
  <c r="GV56" i="30"/>
  <c r="GV65" i="30"/>
  <c r="GW57" i="30"/>
  <c r="GV54" i="30"/>
  <c r="GV55" i="30"/>
  <c r="GV59" i="30"/>
  <c r="GW58" i="30"/>
  <c r="GT68" i="30"/>
  <c r="GU66" i="30"/>
  <c r="GV62" i="30"/>
  <c r="GW61" i="30"/>
  <c r="GV60" i="30"/>
  <c r="GW63" i="30"/>
  <c r="GW64" i="30"/>
  <c r="GX69" i="30"/>
  <c r="GW56" i="30"/>
  <c r="GW65" i="30"/>
  <c r="GX57" i="30"/>
  <c r="GW54" i="30"/>
  <c r="GW55" i="30"/>
  <c r="GW59" i="30"/>
  <c r="GX58" i="30"/>
  <c r="GU68" i="30"/>
  <c r="GV66" i="30"/>
  <c r="GW62" i="30"/>
  <c r="GX61" i="30"/>
  <c r="GW60" i="30"/>
  <c r="GX63" i="30"/>
  <c r="GX64" i="30"/>
  <c r="GY69" i="30"/>
  <c r="GX56" i="30"/>
  <c r="GX65" i="30"/>
  <c r="GY57" i="30"/>
  <c r="GX54" i="30"/>
  <c r="GX55" i="30"/>
  <c r="GX59" i="30"/>
  <c r="GY58" i="30"/>
  <c r="GV68" i="30"/>
  <c r="GW66" i="30"/>
  <c r="GX62" i="30"/>
  <c r="GY61" i="30"/>
  <c r="GX60" i="30"/>
  <c r="GY63" i="30"/>
  <c r="GY64" i="30"/>
  <c r="GZ69" i="30"/>
  <c r="GY56" i="30"/>
  <c r="GY65" i="30"/>
  <c r="GZ57" i="30"/>
  <c r="GY54" i="30"/>
  <c r="GY55" i="30"/>
  <c r="GY59" i="30"/>
  <c r="GZ58" i="30"/>
  <c r="GW68" i="30"/>
  <c r="GX66" i="30"/>
  <c r="GY62" i="30"/>
  <c r="GZ61" i="30"/>
  <c r="GY60" i="30"/>
  <c r="GZ63" i="30"/>
  <c r="GZ64" i="30"/>
  <c r="HA69" i="30"/>
  <c r="GZ56" i="30"/>
  <c r="GZ65" i="30"/>
  <c r="HA57" i="30"/>
  <c r="GZ54" i="30"/>
  <c r="GZ55" i="30"/>
  <c r="GZ59" i="30"/>
  <c r="HA58" i="30"/>
  <c r="GX68" i="30"/>
  <c r="GY66" i="30"/>
  <c r="GZ62" i="30"/>
  <c r="HA61" i="30"/>
  <c r="GZ60" i="30"/>
  <c r="HA63" i="30"/>
  <c r="HA64" i="30"/>
  <c r="HB69" i="30"/>
  <c r="HA56" i="30"/>
  <c r="HA65" i="30"/>
  <c r="HB57" i="30"/>
  <c r="HA54" i="30"/>
  <c r="HA55" i="30"/>
  <c r="HA59" i="30"/>
  <c r="HB58" i="30"/>
  <c r="GY68" i="30"/>
  <c r="GZ66" i="30"/>
  <c r="HA62" i="30"/>
  <c r="HB61" i="30"/>
  <c r="HA60" i="30"/>
  <c r="HB63" i="30"/>
  <c r="HB64" i="30"/>
  <c r="HC69" i="30"/>
  <c r="HB56" i="30"/>
  <c r="HB65" i="30"/>
  <c r="HC57" i="30"/>
  <c r="HB54" i="30"/>
  <c r="HB55" i="30"/>
  <c r="HB59" i="30"/>
  <c r="HC58" i="30"/>
  <c r="GZ68" i="30"/>
  <c r="HA66" i="30"/>
  <c r="HB62" i="30"/>
  <c r="HC61" i="30"/>
  <c r="HB60" i="30"/>
  <c r="HC63" i="30"/>
  <c r="HC64" i="30"/>
  <c r="HD69" i="30"/>
  <c r="HC56" i="30"/>
  <c r="HC65" i="30"/>
  <c r="HD57" i="30"/>
  <c r="HC54" i="30"/>
  <c r="HC55" i="30"/>
  <c r="HC59" i="30"/>
  <c r="HD58" i="30"/>
  <c r="HA68" i="30"/>
  <c r="HB66" i="30"/>
  <c r="HC62" i="30"/>
  <c r="HD61" i="30"/>
  <c r="HC60" i="30"/>
  <c r="HD63" i="30"/>
  <c r="HD64" i="30"/>
  <c r="HE69" i="30"/>
  <c r="HD56" i="30"/>
  <c r="HD65" i="30"/>
  <c r="HE57" i="30"/>
  <c r="HD54" i="30"/>
  <c r="HD55" i="30"/>
  <c r="HD59" i="30"/>
  <c r="HE58" i="30"/>
  <c r="HB68" i="30"/>
  <c r="HC66" i="30"/>
  <c r="HD62" i="30"/>
  <c r="HE61" i="30"/>
  <c r="HD60" i="30"/>
  <c r="HE63" i="30"/>
  <c r="HE64" i="30"/>
  <c r="HF69" i="30"/>
  <c r="HE56" i="30"/>
  <c r="HE65" i="30"/>
  <c r="HF57" i="30"/>
  <c r="HE54" i="30"/>
  <c r="HE55" i="30"/>
  <c r="HE59" i="30"/>
  <c r="HF58" i="30"/>
  <c r="HC68" i="30"/>
  <c r="HD66" i="30"/>
  <c r="HE62" i="30"/>
  <c r="HF61" i="30"/>
  <c r="HE60" i="30"/>
  <c r="HF63" i="30"/>
  <c r="HF64" i="30"/>
  <c r="HG69" i="30"/>
  <c r="HF56" i="30"/>
  <c r="HF65" i="30"/>
  <c r="HG57" i="30"/>
  <c r="HF54" i="30"/>
  <c r="HF55" i="30"/>
  <c r="HF59" i="30"/>
  <c r="HG58" i="30"/>
  <c r="HD68" i="30"/>
  <c r="HE66" i="30"/>
  <c r="HF62" i="30"/>
  <c r="HG61" i="30"/>
  <c r="HF60" i="30"/>
  <c r="HG63" i="30"/>
  <c r="HG64" i="30"/>
  <c r="HH69" i="30"/>
  <c r="HG56" i="30"/>
  <c r="HG65" i="30"/>
  <c r="HH57" i="30"/>
  <c r="HG54" i="30"/>
  <c r="HG55" i="30"/>
  <c r="HG59" i="30"/>
  <c r="HH58" i="30"/>
  <c r="HE68" i="30"/>
  <c r="HF66" i="30"/>
  <c r="HG62" i="30"/>
  <c r="HH61" i="30"/>
  <c r="HG60" i="30"/>
  <c r="HH63" i="30"/>
  <c r="HH64" i="30"/>
  <c r="HI69" i="30"/>
  <c r="HH56" i="30"/>
  <c r="HH65" i="30"/>
  <c r="HI57" i="30"/>
  <c r="HH54" i="30"/>
  <c r="HH55" i="30"/>
  <c r="HH59" i="30"/>
  <c r="HI58" i="30"/>
  <c r="HF68" i="30"/>
  <c r="HG66" i="30"/>
  <c r="HH62" i="30"/>
  <c r="HI61" i="30"/>
  <c r="HH60" i="30"/>
  <c r="HI63" i="30"/>
  <c r="HI64" i="30"/>
  <c r="HJ69" i="30"/>
  <c r="HI56" i="30"/>
  <c r="HI65" i="30"/>
  <c r="HJ57" i="30"/>
  <c r="HI54" i="30"/>
  <c r="HI55" i="30"/>
  <c r="HI59" i="30"/>
  <c r="HJ58" i="30"/>
  <c r="HG68" i="30"/>
  <c r="HH66" i="30"/>
  <c r="HI62" i="30"/>
  <c r="HJ61" i="30"/>
  <c r="HI60" i="30"/>
  <c r="HJ63" i="30"/>
  <c r="HJ64" i="30"/>
  <c r="HK69" i="30"/>
  <c r="HJ56" i="30"/>
  <c r="HJ65" i="30"/>
  <c r="HK57" i="30"/>
  <c r="HJ54" i="30"/>
  <c r="HJ55" i="30"/>
  <c r="HJ59" i="30"/>
  <c r="HK58" i="30"/>
  <c r="HH68" i="30"/>
  <c r="HI66" i="30"/>
  <c r="HJ62" i="30"/>
  <c r="HK61" i="30"/>
  <c r="HJ60" i="30"/>
  <c r="HK63" i="30"/>
  <c r="HK64" i="30"/>
  <c r="HL69" i="30"/>
  <c r="HK56" i="30"/>
  <c r="HK65" i="30"/>
  <c r="HL57" i="30"/>
  <c r="HK54" i="30"/>
  <c r="HK55" i="30"/>
  <c r="HK59" i="30"/>
  <c r="HL58" i="30"/>
  <c r="HI68" i="30"/>
  <c r="HJ66" i="30"/>
  <c r="HK62" i="30"/>
  <c r="HL61" i="30"/>
  <c r="HK60" i="30"/>
  <c r="HL63" i="30"/>
  <c r="HL64" i="30"/>
  <c r="HM69" i="30"/>
  <c r="HL56" i="30"/>
  <c r="HL65" i="30"/>
  <c r="HM57" i="30"/>
  <c r="HL54" i="30"/>
  <c r="HL55" i="30"/>
  <c r="HL59" i="30"/>
  <c r="HM58" i="30"/>
  <c r="HJ68" i="30"/>
  <c r="HK66" i="30"/>
  <c r="HL62" i="30"/>
  <c r="HM61" i="30"/>
  <c r="HL60" i="30"/>
  <c r="HM63" i="30"/>
  <c r="HM64" i="30"/>
  <c r="HN69" i="30"/>
  <c r="HM56" i="30"/>
  <c r="HM65" i="30"/>
  <c r="HN57" i="30"/>
  <c r="HM54" i="30"/>
  <c r="HM55" i="30"/>
  <c r="HM59" i="30"/>
  <c r="HN58" i="30"/>
  <c r="HK68" i="30"/>
  <c r="HL66" i="30"/>
  <c r="HM62" i="30"/>
  <c r="HN61" i="30"/>
  <c r="HM60" i="30"/>
  <c r="HN63" i="30"/>
  <c r="HN64" i="30"/>
  <c r="HO69" i="30"/>
  <c r="HN56" i="30"/>
  <c r="HN65" i="30"/>
  <c r="HO57" i="30"/>
  <c r="HN54" i="30"/>
  <c r="HN55" i="30"/>
  <c r="HN59" i="30"/>
  <c r="HO58" i="30"/>
  <c r="HL68" i="30"/>
  <c r="HM66" i="30"/>
  <c r="HN62" i="30"/>
  <c r="HO61" i="30"/>
  <c r="HN60" i="30"/>
  <c r="HO63" i="30"/>
  <c r="HO64" i="30"/>
  <c r="HP69" i="30"/>
  <c r="HO56" i="30"/>
  <c r="HO65" i="30"/>
  <c r="HP57" i="30"/>
  <c r="HO54" i="30"/>
  <c r="HO55" i="30"/>
  <c r="HO59" i="30"/>
  <c r="HP58" i="30"/>
  <c r="HM68" i="30"/>
  <c r="HN66" i="30"/>
  <c r="HO62" i="30"/>
  <c r="HP61" i="30"/>
  <c r="HO60" i="30"/>
  <c r="HP63" i="30"/>
  <c r="HP64" i="30"/>
  <c r="HQ69" i="30"/>
  <c r="HP56" i="30"/>
  <c r="HP65" i="30"/>
  <c r="HQ57" i="30"/>
  <c r="HP54" i="30"/>
  <c r="HP55" i="30"/>
  <c r="HP59" i="30"/>
  <c r="HQ58" i="30"/>
  <c r="HN68" i="30"/>
  <c r="HO66" i="30"/>
  <c r="HP62" i="30"/>
  <c r="HQ61" i="30"/>
  <c r="HP60" i="30"/>
  <c r="HQ63" i="30"/>
  <c r="HQ64" i="30"/>
  <c r="HR69" i="30"/>
  <c r="HQ56" i="30"/>
  <c r="HQ65" i="30"/>
  <c r="HR57" i="30"/>
  <c r="HQ54" i="30"/>
  <c r="HQ55" i="30"/>
  <c r="HQ59" i="30"/>
  <c r="HR58" i="30"/>
  <c r="HO68" i="30"/>
  <c r="HP66" i="30"/>
  <c r="HQ62" i="30"/>
  <c r="HR61" i="30"/>
  <c r="HQ60" i="30"/>
  <c r="HR63" i="30"/>
  <c r="HR64" i="30"/>
  <c r="HS69" i="30"/>
  <c r="HR56" i="30"/>
  <c r="HR65" i="30"/>
  <c r="HS57" i="30"/>
  <c r="HR54" i="30"/>
  <c r="HR55" i="30"/>
  <c r="HR59" i="30"/>
  <c r="HS58" i="30"/>
  <c r="HP68" i="30"/>
  <c r="HQ66" i="30"/>
  <c r="HR62" i="30"/>
  <c r="HS61" i="30"/>
  <c r="HR60" i="30"/>
  <c r="HS63" i="30"/>
  <c r="HS64" i="30"/>
  <c r="HT69" i="30"/>
  <c r="HS56" i="30"/>
  <c r="HS65" i="30"/>
  <c r="HT57" i="30"/>
  <c r="HS54" i="30"/>
  <c r="HS55" i="30"/>
  <c r="HS59" i="30"/>
  <c r="HT58" i="30"/>
  <c r="HQ68" i="30"/>
  <c r="HR66" i="30"/>
  <c r="HS62" i="30"/>
  <c r="HT61" i="30"/>
  <c r="HS60" i="30"/>
  <c r="HT63" i="30"/>
  <c r="HT64" i="30"/>
  <c r="HU69" i="30"/>
  <c r="HT56" i="30"/>
  <c r="HT65" i="30"/>
  <c r="HU57" i="30"/>
  <c r="HT54" i="30"/>
  <c r="HT55" i="30"/>
  <c r="HT59" i="30"/>
  <c r="HU58" i="30"/>
  <c r="HR68" i="30"/>
  <c r="HS66" i="30"/>
  <c r="HT62" i="30"/>
  <c r="HU61" i="30"/>
  <c r="HT60" i="30"/>
  <c r="HU63" i="30"/>
  <c r="HU64" i="30"/>
  <c r="HV69" i="30"/>
  <c r="HU56" i="30"/>
  <c r="HU65" i="30"/>
  <c r="HV57" i="30"/>
  <c r="HU54" i="30"/>
  <c r="HU55" i="30"/>
  <c r="HU59" i="30"/>
  <c r="HV58" i="30"/>
  <c r="HS68" i="30"/>
  <c r="HT66" i="30"/>
  <c r="HU62" i="30"/>
  <c r="HV61" i="30"/>
  <c r="HU60" i="30"/>
  <c r="HV63" i="30"/>
  <c r="HV64" i="30"/>
  <c r="HW69" i="30"/>
  <c r="HV56" i="30"/>
  <c r="HV65" i="30"/>
  <c r="HW57" i="30"/>
  <c r="HV54" i="30"/>
  <c r="HV55" i="30"/>
  <c r="HV59" i="30"/>
  <c r="HW58" i="30"/>
  <c r="HT68" i="30"/>
  <c r="HU66" i="30"/>
  <c r="HV62" i="30"/>
  <c r="HW61" i="30"/>
  <c r="HV60" i="30"/>
  <c r="HW63" i="30"/>
  <c r="HW64" i="30"/>
  <c r="HX69" i="30"/>
  <c r="HW56" i="30"/>
  <c r="HW65" i="30"/>
  <c r="HX57" i="30"/>
  <c r="HW54" i="30"/>
  <c r="HW55" i="30"/>
  <c r="HW59" i="30"/>
  <c r="HX58" i="30"/>
  <c r="HU68" i="30"/>
  <c r="HV66" i="30"/>
  <c r="HW62" i="30"/>
  <c r="HX61" i="30"/>
  <c r="HW60" i="30"/>
  <c r="HX63" i="30"/>
  <c r="HX64" i="30"/>
  <c r="HY69" i="30"/>
  <c r="HX56" i="30"/>
  <c r="HX65" i="30"/>
  <c r="HY57" i="30"/>
  <c r="HX54" i="30"/>
  <c r="HX55" i="30"/>
  <c r="HX59" i="30"/>
  <c r="HY58" i="30"/>
  <c r="HV68" i="30"/>
  <c r="HW66" i="30"/>
  <c r="HX62" i="30"/>
  <c r="HY61" i="30"/>
  <c r="HX60" i="30"/>
  <c r="HY63" i="30"/>
  <c r="HY64" i="30"/>
  <c r="HZ69" i="30"/>
  <c r="HY56" i="30"/>
  <c r="HY65" i="30"/>
  <c r="HZ57" i="30"/>
  <c r="HY54" i="30"/>
  <c r="HY55" i="30"/>
  <c r="HY59" i="30"/>
  <c r="HZ58" i="30"/>
  <c r="HW68" i="30"/>
  <c r="HX66" i="30"/>
  <c r="HY62" i="30"/>
  <c r="HZ61" i="30"/>
  <c r="HY60" i="30"/>
  <c r="HZ63" i="30"/>
  <c r="HZ64" i="30"/>
  <c r="IA69" i="30"/>
  <c r="HZ56" i="30"/>
  <c r="HZ65" i="30"/>
  <c r="IA57" i="30"/>
  <c r="HZ54" i="30"/>
  <c r="HZ55" i="30"/>
  <c r="HZ59" i="30"/>
  <c r="IA58" i="30"/>
  <c r="HX68" i="30"/>
  <c r="HY66" i="30"/>
  <c r="HZ62" i="30"/>
  <c r="IA61" i="30"/>
  <c r="HZ60" i="30"/>
  <c r="IA63" i="30"/>
  <c r="IA64" i="30"/>
  <c r="IB69" i="30"/>
  <c r="IA56" i="30"/>
  <c r="IA65" i="30"/>
  <c r="IB57" i="30"/>
  <c r="IA54" i="30"/>
  <c r="IA55" i="30"/>
  <c r="IA59" i="30"/>
  <c r="IB58" i="30"/>
  <c r="HY68" i="30"/>
  <c r="HZ66" i="30"/>
  <c r="IA62" i="30"/>
  <c r="IB61" i="30"/>
  <c r="IA60" i="30"/>
  <c r="IB63" i="30"/>
  <c r="IB64" i="30"/>
  <c r="IC69" i="30"/>
  <c r="IB56" i="30"/>
  <c r="IB65" i="30"/>
  <c r="IC57" i="30"/>
  <c r="IB54" i="30"/>
  <c r="IB55" i="30"/>
  <c r="IB59" i="30"/>
  <c r="IC58" i="30"/>
  <c r="HZ68" i="30"/>
  <c r="IA66" i="30"/>
  <c r="IB62" i="30"/>
  <c r="IC61" i="30"/>
  <c r="IB60" i="30"/>
  <c r="IC63" i="30"/>
  <c r="IC64" i="30"/>
  <c r="ID69" i="30"/>
  <c r="IC56" i="30"/>
  <c r="IC65" i="30"/>
  <c r="ID57" i="30"/>
  <c r="IC54" i="30"/>
  <c r="IC55" i="30"/>
  <c r="IC59" i="30"/>
  <c r="ID58" i="30"/>
  <c r="IA68" i="30"/>
  <c r="IB66" i="30"/>
  <c r="IC62" i="30"/>
  <c r="ID61" i="30"/>
  <c r="IC60" i="30"/>
  <c r="ID63" i="30"/>
  <c r="ID64" i="30"/>
  <c r="IE69" i="30"/>
  <c r="ID56" i="30"/>
  <c r="ID65" i="30"/>
  <c r="IE57" i="30"/>
  <c r="ID54" i="30"/>
  <c r="ID55" i="30"/>
  <c r="ID59" i="30"/>
  <c r="IE58" i="30"/>
  <c r="IB68" i="30"/>
  <c r="IC66" i="30"/>
  <c r="ID62" i="30"/>
  <c r="IE61" i="30"/>
  <c r="ID60" i="30"/>
  <c r="IE63" i="30"/>
  <c r="IE64" i="30"/>
  <c r="IF69" i="30"/>
  <c r="IE56" i="30"/>
  <c r="IE65" i="30"/>
  <c r="IF57" i="30"/>
  <c r="IE54" i="30"/>
  <c r="IE55" i="30"/>
  <c r="IE59" i="30"/>
  <c r="IF58" i="30"/>
  <c r="IC68" i="30"/>
  <c r="ID66" i="30"/>
  <c r="IE62" i="30"/>
  <c r="IF61" i="30"/>
  <c r="IE60" i="30"/>
  <c r="IF63" i="30"/>
  <c r="IF64" i="30"/>
  <c r="IG69" i="30"/>
  <c r="ID68" i="30"/>
  <c r="IE68" i="30"/>
  <c r="IF68" i="30"/>
  <c r="IG68" i="30"/>
  <c r="B16" i="30"/>
  <c r="B240" i="30" s="1"/>
  <c r="B241" i="30" s="1"/>
  <c r="AX67" i="30"/>
  <c r="AY67" i="30"/>
  <c r="AZ67" i="30"/>
  <c r="BA67" i="30"/>
  <c r="BB67" i="30"/>
  <c r="BC67" i="30"/>
  <c r="BD67" i="30"/>
  <c r="BE67" i="30"/>
  <c r="BF67" i="30"/>
  <c r="BG67" i="30"/>
  <c r="BH67" i="30"/>
  <c r="BI67" i="30"/>
  <c r="BJ67" i="30"/>
  <c r="BK67" i="30"/>
  <c r="BL67" i="30"/>
  <c r="BM67" i="30"/>
  <c r="BN67" i="30"/>
  <c r="BO67" i="30"/>
  <c r="BP67" i="30"/>
  <c r="BQ67" i="30"/>
  <c r="BR67" i="30"/>
  <c r="BS67" i="30"/>
  <c r="BT67" i="30"/>
  <c r="BU67" i="30"/>
  <c r="BV67" i="30"/>
  <c r="BW67" i="30"/>
  <c r="BX67" i="30"/>
  <c r="BY67" i="30"/>
  <c r="BZ67" i="30"/>
  <c r="CA67" i="30"/>
  <c r="CB67" i="30"/>
  <c r="CC67" i="30"/>
  <c r="CD67" i="30"/>
  <c r="CE67" i="30"/>
  <c r="CF67" i="30"/>
  <c r="CG67" i="30"/>
  <c r="CH67" i="30"/>
  <c r="CI67" i="30"/>
  <c r="CJ67" i="30"/>
  <c r="CK67" i="30"/>
  <c r="CL67" i="30"/>
  <c r="CM67" i="30"/>
  <c r="CN67" i="30"/>
  <c r="CO67" i="30"/>
  <c r="CP67" i="30"/>
  <c r="CQ67" i="30"/>
  <c r="CR67" i="30"/>
  <c r="CS67" i="30"/>
  <c r="CT67" i="30"/>
  <c r="CU67" i="30"/>
  <c r="CV67" i="30"/>
  <c r="CW67" i="30"/>
  <c r="CX67" i="30"/>
  <c r="CY67" i="30"/>
  <c r="CZ67" i="30"/>
  <c r="DA67" i="30"/>
  <c r="DB67" i="30"/>
  <c r="DC67" i="30"/>
  <c r="DD67" i="30"/>
  <c r="DE67" i="30"/>
  <c r="DF67" i="30"/>
  <c r="DG67" i="30"/>
  <c r="DH67" i="30"/>
  <c r="DI67" i="30"/>
  <c r="DJ67" i="30"/>
  <c r="DK67" i="30"/>
  <c r="DL67" i="30"/>
  <c r="DM67" i="30"/>
  <c r="DN67" i="30"/>
  <c r="DO67" i="30"/>
  <c r="DP67" i="30"/>
  <c r="DQ67" i="30"/>
  <c r="DR67" i="30"/>
  <c r="DS67" i="30"/>
  <c r="DT67" i="30"/>
  <c r="DU67" i="30"/>
  <c r="DV67" i="30"/>
  <c r="DW67" i="30"/>
  <c r="DX67" i="30"/>
  <c r="DY67" i="30"/>
  <c r="DZ67" i="30"/>
  <c r="EA67" i="30"/>
  <c r="EB67" i="30"/>
  <c r="EC67" i="30"/>
  <c r="ED67" i="30"/>
  <c r="EE67" i="30"/>
  <c r="EF67" i="30"/>
  <c r="EG67" i="30"/>
  <c r="EH67" i="30"/>
  <c r="EI67" i="30"/>
  <c r="EJ67" i="30"/>
  <c r="EK67" i="30"/>
  <c r="EL67" i="30"/>
  <c r="EM67" i="30"/>
  <c r="EN67" i="30"/>
  <c r="EO67" i="30"/>
  <c r="EP67" i="30"/>
  <c r="EQ67" i="30"/>
  <c r="ER67" i="30"/>
  <c r="ES67" i="30"/>
  <c r="ET67" i="30"/>
  <c r="EU67" i="30"/>
  <c r="EV67" i="30"/>
  <c r="EW67" i="30"/>
  <c r="EX67" i="30"/>
  <c r="EY67" i="30"/>
  <c r="EZ67" i="30"/>
  <c r="FA67" i="30"/>
  <c r="FB67" i="30"/>
  <c r="FC67" i="30"/>
  <c r="FD67" i="30"/>
  <c r="FE67" i="30"/>
  <c r="FF67" i="30"/>
  <c r="FG67" i="30"/>
  <c r="FH67" i="30"/>
  <c r="FI67" i="30"/>
  <c r="FJ67" i="30"/>
  <c r="FK67" i="30"/>
  <c r="FL67" i="30"/>
  <c r="FM67" i="30"/>
  <c r="FN67" i="30"/>
  <c r="FO67" i="30"/>
  <c r="FP67" i="30"/>
  <c r="FQ67" i="30"/>
  <c r="FR67" i="30"/>
  <c r="FS67" i="30"/>
  <c r="FT67" i="30"/>
  <c r="FU67" i="30"/>
  <c r="FV67" i="30"/>
  <c r="FW67" i="30"/>
  <c r="FX67" i="30"/>
  <c r="FY67" i="30"/>
  <c r="FZ67" i="30"/>
  <c r="GA67" i="30"/>
  <c r="GB67" i="30"/>
  <c r="GC67" i="30"/>
  <c r="GD67" i="30"/>
  <c r="GE67" i="30"/>
  <c r="GF67" i="30"/>
  <c r="GG67" i="30"/>
  <c r="GH67" i="30"/>
  <c r="GI67" i="30"/>
  <c r="GJ67" i="30"/>
  <c r="GK67" i="30"/>
  <c r="GL67" i="30"/>
  <c r="GM67" i="30"/>
  <c r="GN67" i="30"/>
  <c r="GO67" i="30"/>
  <c r="GP67" i="30"/>
  <c r="GQ67" i="30"/>
  <c r="GR67" i="30"/>
  <c r="GS67" i="30"/>
  <c r="GT67" i="30"/>
  <c r="GU67" i="30"/>
  <c r="GV67" i="30"/>
  <c r="GW67" i="30"/>
  <c r="GX67" i="30"/>
  <c r="GY67" i="30"/>
  <c r="GZ67" i="30"/>
  <c r="HA67" i="30"/>
  <c r="HB67" i="30"/>
  <c r="HC67" i="30"/>
  <c r="HD67" i="30"/>
  <c r="HE67" i="30"/>
  <c r="HF67" i="30"/>
  <c r="HG67" i="30"/>
  <c r="HH67" i="30"/>
  <c r="HI67" i="30"/>
  <c r="HJ67" i="30"/>
  <c r="HK67" i="30"/>
  <c r="HL67" i="30"/>
  <c r="HM67" i="30"/>
  <c r="HN67" i="30"/>
  <c r="HO67" i="30"/>
  <c r="HP67" i="30"/>
  <c r="HQ67" i="30"/>
  <c r="HR67" i="30"/>
  <c r="HS67" i="30"/>
  <c r="HT67" i="30"/>
  <c r="HU67" i="30"/>
  <c r="HV67" i="30"/>
  <c r="HW67" i="30"/>
  <c r="HX67" i="30"/>
  <c r="HY67" i="30"/>
  <c r="HZ67" i="30"/>
  <c r="IA67" i="30"/>
  <c r="IB67" i="30"/>
  <c r="IC67" i="30"/>
  <c r="ID67" i="30"/>
  <c r="IE67" i="30"/>
  <c r="IF67" i="30"/>
  <c r="IG67" i="30"/>
  <c r="IE66" i="30"/>
  <c r="IF66" i="30"/>
  <c r="IG66" i="30"/>
  <c r="IF65" i="30"/>
  <c r="IF55" i="30"/>
  <c r="IF59" i="30"/>
  <c r="IF60" i="30"/>
  <c r="IF62" i="30"/>
  <c r="IG65" i="30"/>
  <c r="IF56" i="30"/>
  <c r="IG64" i="30"/>
  <c r="IF54" i="30"/>
  <c r="IG63" i="30"/>
  <c r="IG62" i="30"/>
  <c r="IG61" i="30"/>
  <c r="IG60" i="30"/>
  <c r="IG59" i="30"/>
  <c r="IG58" i="30"/>
  <c r="IG57" i="30"/>
  <c r="IG56" i="30"/>
  <c r="IG55" i="30"/>
  <c r="IG54" i="30"/>
  <c r="IH57" i="30"/>
  <c r="IH56" i="30"/>
  <c r="IH58" i="30"/>
  <c r="IH65" i="30"/>
  <c r="II57" i="30"/>
  <c r="IH55" i="30"/>
  <c r="IH59" i="30"/>
  <c r="IH64" i="30"/>
  <c r="II56" i="30"/>
  <c r="IH54" i="30"/>
  <c r="II58" i="30"/>
  <c r="IH60" i="30"/>
  <c r="IH61" i="30"/>
  <c r="IH62" i="30"/>
  <c r="II65" i="30"/>
  <c r="IJ57" i="30"/>
  <c r="II55" i="30"/>
  <c r="II59" i="30"/>
  <c r="II64" i="30"/>
  <c r="IJ56" i="30"/>
  <c r="IH63" i="30"/>
  <c r="II54" i="30"/>
  <c r="IJ58" i="30"/>
  <c r="II60" i="30"/>
  <c r="II61" i="30"/>
  <c r="IH66" i="30"/>
  <c r="II62" i="30"/>
  <c r="IJ65" i="30"/>
  <c r="IK57" i="30"/>
  <c r="IJ55" i="30"/>
  <c r="IJ59" i="30"/>
  <c r="IJ64" i="30"/>
  <c r="IK56" i="30"/>
  <c r="IH69" i="30"/>
  <c r="II63" i="30"/>
  <c r="IJ54" i="30"/>
  <c r="IK58" i="30"/>
  <c r="IJ60" i="30"/>
  <c r="IJ61" i="30"/>
  <c r="IH68" i="30"/>
  <c r="II66" i="30"/>
  <c r="IJ62" i="30"/>
  <c r="IK65" i="30"/>
  <c r="IL57" i="30"/>
  <c r="IK55" i="30"/>
  <c r="IK59" i="30"/>
  <c r="IK64" i="30"/>
  <c r="IL56" i="30"/>
  <c r="II69" i="30"/>
  <c r="IJ63" i="30"/>
  <c r="IK54" i="30"/>
  <c r="IL58" i="30"/>
  <c r="IK60" i="30"/>
  <c r="IK61" i="30"/>
  <c r="II68" i="30"/>
  <c r="IJ66" i="30"/>
  <c r="IK62" i="30"/>
  <c r="IL65" i="30"/>
  <c r="IM57" i="30"/>
  <c r="IL55" i="30"/>
  <c r="IL59" i="30"/>
  <c r="IL64" i="30"/>
  <c r="IM56" i="30"/>
  <c r="IJ69" i="30"/>
  <c r="IK63" i="30"/>
  <c r="IL54" i="30"/>
  <c r="IM58" i="30"/>
  <c r="IL60" i="30"/>
  <c r="IL61" i="30"/>
  <c r="IJ68" i="30"/>
  <c r="IK66" i="30"/>
  <c r="IL62" i="30"/>
  <c r="IM65" i="30"/>
  <c r="IN57" i="30"/>
  <c r="IM55" i="30"/>
  <c r="IM59" i="30"/>
  <c r="IM64" i="30"/>
  <c r="IN56" i="30"/>
  <c r="IK69" i="30"/>
  <c r="IL63" i="30"/>
  <c r="IM54" i="30"/>
  <c r="IN58" i="30"/>
  <c r="IM60" i="30"/>
  <c r="IM61" i="30"/>
  <c r="IK68" i="30"/>
  <c r="IL66" i="30"/>
  <c r="IM62" i="30"/>
  <c r="IN65" i="30"/>
  <c r="IO57" i="30"/>
  <c r="IN55" i="30"/>
  <c r="IN59" i="30"/>
  <c r="IN64" i="30"/>
  <c r="IO56" i="30"/>
  <c r="IL69" i="30"/>
  <c r="IM63" i="30"/>
  <c r="IN54" i="30"/>
  <c r="IO58" i="30"/>
  <c r="IN60" i="30"/>
  <c r="IN61" i="30"/>
  <c r="IL68" i="30"/>
  <c r="IM66" i="30"/>
  <c r="IN62" i="30"/>
  <c r="IO65" i="30"/>
  <c r="IP57" i="30"/>
  <c r="IO55" i="30"/>
  <c r="IO59" i="30"/>
  <c r="IO64" i="30"/>
  <c r="IP56" i="30"/>
  <c r="IM69" i="30"/>
  <c r="IN63" i="30"/>
  <c r="IO54" i="30"/>
  <c r="IP58" i="30"/>
  <c r="IO60" i="30"/>
  <c r="IO61" i="30"/>
  <c r="IM68" i="30"/>
  <c r="IN66" i="30"/>
  <c r="IO62" i="30"/>
  <c r="IP65" i="30"/>
  <c r="IQ57" i="30"/>
  <c r="IP55" i="30"/>
  <c r="IP59" i="30"/>
  <c r="IP64" i="30"/>
  <c r="IQ56" i="30"/>
  <c r="IN69" i="30"/>
  <c r="IO63" i="30"/>
  <c r="IP54" i="30"/>
  <c r="IQ58" i="30"/>
  <c r="IP60" i="30"/>
  <c r="IP61" i="30"/>
  <c r="IN68" i="30"/>
  <c r="IO66" i="30"/>
  <c r="IP62" i="30"/>
  <c r="IQ65" i="30"/>
  <c r="IR57" i="30"/>
  <c r="IQ55" i="30"/>
  <c r="IQ59" i="30"/>
  <c r="IQ64" i="30"/>
  <c r="IR56" i="30"/>
  <c r="IO69" i="30"/>
  <c r="IP63" i="30"/>
  <c r="IQ54" i="30"/>
  <c r="IR58" i="30"/>
  <c r="IQ60" i="30"/>
  <c r="IQ61" i="30"/>
  <c r="IO68" i="30"/>
  <c r="IP66" i="30"/>
  <c r="IQ62" i="30"/>
  <c r="IR65" i="30"/>
  <c r="IS57" i="30"/>
  <c r="IR55" i="30"/>
  <c r="IR59" i="30"/>
  <c r="IR64" i="30"/>
  <c r="IS56" i="30"/>
  <c r="IP69" i="30"/>
  <c r="IQ63" i="30"/>
  <c r="IR54" i="30"/>
  <c r="IS58" i="30"/>
  <c r="IR60" i="30"/>
  <c r="IR61" i="30"/>
  <c r="IP68" i="30"/>
  <c r="IQ66" i="30"/>
  <c r="IR62" i="30"/>
  <c r="IS65" i="30"/>
  <c r="IT57" i="30"/>
  <c r="IS55" i="30"/>
  <c r="IS59" i="30"/>
  <c r="IS64" i="30"/>
  <c r="IT56" i="30"/>
  <c r="IQ69" i="30"/>
  <c r="IR63" i="30"/>
  <c r="IS54" i="30"/>
  <c r="IT58" i="30"/>
  <c r="IS60" i="30"/>
  <c r="IS61" i="30"/>
  <c r="IQ68" i="30"/>
  <c r="IR66" i="30"/>
  <c r="IS62" i="30"/>
  <c r="IT65" i="30"/>
  <c r="IU57" i="30"/>
  <c r="IR69" i="30"/>
  <c r="IS63" i="30"/>
  <c r="IT54" i="30"/>
  <c r="IT55" i="30"/>
  <c r="IT59" i="30"/>
  <c r="IU58" i="30"/>
  <c r="IT61" i="30"/>
  <c r="IR68" i="30"/>
  <c r="IS66" i="30"/>
  <c r="IT62" i="30"/>
  <c r="IU61" i="30"/>
  <c r="IS69" i="30"/>
  <c r="IT63" i="30"/>
  <c r="IT60" i="30"/>
  <c r="IT69" i="30"/>
  <c r="IU63" i="30"/>
  <c r="IT64" i="30"/>
  <c r="IU64" i="30"/>
  <c r="IS68" i="30"/>
  <c r="IT68" i="30"/>
  <c r="IU68" i="30"/>
  <c r="IU55" i="30"/>
  <c r="IU59" i="30"/>
  <c r="IU60" i="30"/>
  <c r="IT66" i="30"/>
  <c r="IU62" i="30"/>
  <c r="IU56" i="30"/>
  <c r="IU54" i="30"/>
  <c r="IU69" i="30"/>
  <c r="IU66" i="30"/>
  <c r="IU65" i="30"/>
  <c r="B2" i="30"/>
  <c r="C2" i="30"/>
  <c r="D2" i="30"/>
  <c r="E2" i="30"/>
  <c r="F2" i="30"/>
  <c r="G2" i="30"/>
  <c r="H2" i="30"/>
  <c r="I2" i="30"/>
  <c r="J2" i="30"/>
  <c r="K2" i="30"/>
  <c r="L2" i="30"/>
  <c r="M2" i="30"/>
  <c r="N2" i="30"/>
  <c r="O2" i="30"/>
  <c r="P2" i="30"/>
  <c r="Q2" i="30"/>
  <c r="R2" i="30"/>
  <c r="S2" i="30"/>
  <c r="T2" i="30"/>
  <c r="U2" i="30"/>
  <c r="V2" i="30"/>
  <c r="W2" i="30"/>
  <c r="X2" i="30"/>
  <c r="Y2" i="30"/>
  <c r="Z2" i="30"/>
  <c r="AA2" i="30"/>
  <c r="AB2" i="30"/>
  <c r="AC2" i="30"/>
  <c r="AD2" i="30"/>
  <c r="AE2" i="30"/>
  <c r="AF2" i="30"/>
  <c r="AG2" i="30"/>
  <c r="AH2" i="30"/>
  <c r="AI2" i="30"/>
  <c r="AJ2" i="30"/>
  <c r="AK2" i="30"/>
  <c r="AL2" i="30"/>
  <c r="AM2" i="30"/>
  <c r="AN2" i="30"/>
  <c r="AO2" i="30"/>
  <c r="AP2" i="30"/>
  <c r="AQ2" i="30"/>
  <c r="AR2" i="30"/>
  <c r="AS2" i="30"/>
  <c r="AT2" i="30"/>
  <c r="AU2" i="30"/>
  <c r="AV2" i="30"/>
  <c r="AW2" i="30"/>
  <c r="AX2" i="30"/>
  <c r="AY2" i="30"/>
  <c r="AZ2" i="30"/>
  <c r="BA2" i="30"/>
  <c r="BB2" i="30"/>
  <c r="BC2" i="30"/>
  <c r="BD2" i="30"/>
  <c r="BE2" i="30"/>
  <c r="BF2" i="30"/>
  <c r="BG2" i="30"/>
  <c r="BH2" i="30"/>
  <c r="BI2" i="30"/>
  <c r="BJ2" i="30"/>
  <c r="BK2" i="30"/>
  <c r="BL2" i="30"/>
  <c r="BM2" i="30"/>
  <c r="BN2" i="30"/>
  <c r="BO2" i="30"/>
  <c r="BP2" i="30"/>
  <c r="BQ2" i="30"/>
  <c r="BR2" i="30"/>
  <c r="BS2" i="30"/>
  <c r="BT2" i="30"/>
  <c r="BU2" i="30"/>
  <c r="BV2" i="30"/>
  <c r="BW2" i="30"/>
  <c r="BX2" i="30"/>
  <c r="BY2" i="30"/>
  <c r="BZ2" i="30"/>
  <c r="CA2" i="30"/>
  <c r="CB2" i="30"/>
  <c r="CC2" i="30"/>
  <c r="CD2" i="30"/>
  <c r="IH67" i="30"/>
  <c r="II67" i="30"/>
  <c r="IJ67" i="30"/>
  <c r="IK67" i="30"/>
  <c r="IL67" i="30"/>
  <c r="IM67" i="30"/>
  <c r="IN67" i="30"/>
  <c r="IO67" i="30"/>
  <c r="IP67" i="30"/>
  <c r="IQ67" i="30"/>
  <c r="IR67" i="30"/>
  <c r="IS67" i="30"/>
  <c r="IT67" i="30"/>
  <c r="IU67" i="30"/>
  <c r="IH70" i="30"/>
  <c r="II70" i="30"/>
  <c r="IJ70" i="30"/>
  <c r="IK70" i="30"/>
  <c r="IL70" i="30"/>
  <c r="IM70" i="30"/>
  <c r="IN70" i="30"/>
  <c r="IO70" i="30"/>
  <c r="IP70" i="30"/>
  <c r="IQ70" i="30"/>
  <c r="IR70" i="30"/>
  <c r="IS70" i="30"/>
  <c r="IT70" i="30"/>
  <c r="IU70" i="30"/>
  <c r="IV54" i="30"/>
  <c r="IV55" i="30"/>
  <c r="IV56" i="30"/>
  <c r="IV57" i="30"/>
  <c r="IV58" i="30"/>
  <c r="IV59" i="30"/>
  <c r="IV60" i="30"/>
  <c r="IV61" i="30"/>
  <c r="IV62" i="30"/>
  <c r="IV63" i="30"/>
  <c r="IV64" i="30"/>
  <c r="IV65" i="30"/>
  <c r="IV66" i="30"/>
  <c r="IV67" i="30"/>
  <c r="IV68" i="30"/>
  <c r="IV69" i="30"/>
  <c r="IV70" i="30"/>
  <c r="P276" i="30"/>
  <c r="Q276" i="30"/>
  <c r="R276" i="30"/>
  <c r="B280" i="30"/>
  <c r="Q280" i="30" s="1"/>
  <c r="B281" i="30"/>
  <c r="Q281" i="30" s="1"/>
  <c r="B284" i="30"/>
  <c r="Q284" i="30" s="1"/>
  <c r="B293" i="30"/>
  <c r="Q293" i="30" s="1"/>
  <c r="P277" i="30"/>
  <c r="P278" i="30"/>
  <c r="P279" i="30"/>
  <c r="P280" i="30"/>
  <c r="P281" i="30"/>
  <c r="P282" i="30"/>
  <c r="P283" i="30"/>
  <c r="P284" i="30"/>
  <c r="P285" i="30"/>
  <c r="P286" i="30"/>
  <c r="P287" i="30"/>
  <c r="P288" i="30"/>
  <c r="P289" i="30"/>
  <c r="P290" i="30"/>
  <c r="P291" i="30"/>
  <c r="P292" i="30"/>
  <c r="P293" i="30"/>
  <c r="P294" i="30"/>
  <c r="P39" i="27"/>
  <c r="Q39" i="27"/>
  <c r="R39" i="27"/>
  <c r="S39" i="27"/>
  <c r="T39" i="27"/>
  <c r="U39" i="27"/>
  <c r="V39" i="27"/>
  <c r="W39" i="27"/>
  <c r="X39" i="27"/>
  <c r="Y39" i="27"/>
  <c r="Z39" i="27"/>
  <c r="AA39" i="27"/>
  <c r="AB39" i="27"/>
  <c r="AC39" i="27"/>
  <c r="AD39" i="27"/>
  <c r="AE39" i="27"/>
  <c r="AF39" i="27"/>
  <c r="AG39" i="27"/>
  <c r="AH39" i="27"/>
  <c r="AI39" i="27"/>
  <c r="AJ39" i="27"/>
  <c r="AK39" i="27"/>
  <c r="AL39" i="27"/>
  <c r="AM39" i="27"/>
  <c r="AN39" i="27"/>
  <c r="AO39" i="27"/>
  <c r="AP39" i="27"/>
  <c r="AQ39" i="27"/>
  <c r="AR39" i="27"/>
  <c r="AS39" i="27"/>
  <c r="AT39" i="27"/>
  <c r="AU39" i="27"/>
  <c r="AV39" i="27"/>
  <c r="AW39" i="27"/>
  <c r="AX39" i="27"/>
  <c r="AY39" i="27"/>
  <c r="AZ39" i="27"/>
  <c r="BA39" i="27"/>
  <c r="BB39" i="27"/>
  <c r="BC39" i="27"/>
  <c r="BD39" i="27"/>
  <c r="BE39" i="27"/>
  <c r="BF39" i="27"/>
  <c r="BG39" i="27"/>
  <c r="BH39" i="27"/>
  <c r="BI39" i="27"/>
  <c r="BJ39" i="27"/>
  <c r="BK39" i="27"/>
  <c r="BL39" i="27"/>
  <c r="BM39" i="27"/>
  <c r="BN39" i="27"/>
  <c r="BO39" i="27"/>
  <c r="BP39" i="27"/>
  <c r="BQ39" i="27"/>
  <c r="BR39" i="27"/>
  <c r="BS39" i="27"/>
  <c r="BT39" i="27"/>
  <c r="BU39" i="27"/>
  <c r="BV39" i="27"/>
  <c r="BW39" i="27"/>
  <c r="BX39" i="27"/>
  <c r="BY39" i="27"/>
  <c r="BZ39" i="27"/>
  <c r="CA39" i="27"/>
  <c r="CB39" i="27"/>
  <c r="CC39" i="27"/>
  <c r="CD39" i="27"/>
  <c r="CE39" i="27"/>
  <c r="CF39" i="27"/>
  <c r="CG39" i="27"/>
  <c r="CH39" i="27"/>
  <c r="CI39" i="27"/>
  <c r="CJ39" i="27"/>
  <c r="CK39" i="27"/>
  <c r="CL39" i="27"/>
  <c r="CM39" i="27"/>
  <c r="CN39" i="27"/>
  <c r="CO39" i="27"/>
  <c r="CP39" i="27"/>
  <c r="CQ39" i="27"/>
  <c r="CR39" i="27"/>
  <c r="CS39" i="27"/>
  <c r="CT39" i="27"/>
  <c r="CU39" i="27"/>
  <c r="CV39" i="27"/>
  <c r="CW39" i="27"/>
  <c r="CX39" i="27"/>
  <c r="CY39" i="27"/>
  <c r="CZ39" i="27"/>
  <c r="DA39" i="27"/>
  <c r="DB39" i="27"/>
  <c r="DC39" i="27"/>
  <c r="DD39" i="27"/>
  <c r="DE39" i="27"/>
  <c r="P59" i="27"/>
  <c r="Q59" i="27"/>
  <c r="R59" i="27"/>
  <c r="S59" i="27"/>
  <c r="T59" i="27"/>
  <c r="U59" i="27"/>
  <c r="V59" i="27"/>
  <c r="W59" i="27"/>
  <c r="X59" i="27"/>
  <c r="Y59" i="27"/>
  <c r="Z59" i="27"/>
  <c r="AA59" i="27"/>
  <c r="AB59" i="27"/>
  <c r="AC59" i="27"/>
  <c r="AD59" i="27"/>
  <c r="AE59" i="27"/>
  <c r="AF59" i="27"/>
  <c r="AG59" i="27"/>
  <c r="AH59" i="27"/>
  <c r="AI59" i="27"/>
  <c r="AJ59" i="27"/>
  <c r="AK59" i="27"/>
  <c r="AL59" i="27"/>
  <c r="AM59" i="27"/>
  <c r="AN59" i="27"/>
  <c r="AO59" i="27"/>
  <c r="AP59" i="27"/>
  <c r="AQ59" i="27"/>
  <c r="AR59" i="27"/>
  <c r="AS59" i="27"/>
  <c r="AT59" i="27"/>
  <c r="AU59" i="27"/>
  <c r="AV59" i="27"/>
  <c r="AW59" i="27"/>
  <c r="AX59" i="27"/>
  <c r="AY59" i="27"/>
  <c r="AZ59" i="27"/>
  <c r="BA59" i="27"/>
  <c r="BB59" i="27"/>
  <c r="BC59" i="27"/>
  <c r="BD59" i="27"/>
  <c r="BE59" i="27"/>
  <c r="BF59" i="27"/>
  <c r="BG59" i="27"/>
  <c r="BH59" i="27"/>
  <c r="BI59" i="27"/>
  <c r="BJ59" i="27"/>
  <c r="BK59" i="27"/>
  <c r="BL59" i="27"/>
  <c r="BM59" i="27"/>
  <c r="BN59" i="27"/>
  <c r="BO59" i="27"/>
  <c r="BP59" i="27"/>
  <c r="BQ59" i="27"/>
  <c r="BR59" i="27"/>
  <c r="BS59" i="27"/>
  <c r="BT59" i="27"/>
  <c r="BU59" i="27"/>
  <c r="BV59" i="27"/>
  <c r="BW59" i="27"/>
  <c r="BX59" i="27"/>
  <c r="BY59" i="27"/>
  <c r="BZ59" i="27"/>
  <c r="CA59" i="27"/>
  <c r="CB59" i="27"/>
  <c r="CC59" i="27"/>
  <c r="CD59" i="27"/>
  <c r="CE59" i="27"/>
  <c r="CF59" i="27"/>
  <c r="CG59" i="27"/>
  <c r="CH59" i="27"/>
  <c r="CI59" i="27"/>
  <c r="CJ59" i="27"/>
  <c r="CK59" i="27"/>
  <c r="CL59" i="27"/>
  <c r="CM59" i="27"/>
  <c r="CN59" i="27"/>
  <c r="CO59" i="27"/>
  <c r="CP59" i="27"/>
  <c r="CQ59" i="27"/>
  <c r="CR59" i="27"/>
  <c r="CS59" i="27"/>
  <c r="CT59" i="27"/>
  <c r="CU59" i="27"/>
  <c r="CV59" i="27"/>
  <c r="CW59" i="27"/>
  <c r="CX59" i="27"/>
  <c r="CY59" i="27"/>
  <c r="CZ59" i="27"/>
  <c r="DA59" i="27"/>
  <c r="DB59" i="27"/>
  <c r="DC59" i="27"/>
  <c r="DD59" i="27"/>
  <c r="DE59" i="27"/>
  <c r="CE2" i="30"/>
  <c r="CF2" i="30"/>
  <c r="CG2" i="30"/>
  <c r="CH2" i="30"/>
  <c r="CI2" i="30"/>
  <c r="CJ2" i="30"/>
  <c r="CK2" i="30"/>
  <c r="CL2" i="30"/>
  <c r="L276" i="30"/>
  <c r="M276" i="30"/>
  <c r="CM2" i="30"/>
  <c r="CN2" i="30"/>
  <c r="CO2" i="30"/>
  <c r="CP2" i="30"/>
  <c r="CQ2" i="30"/>
  <c r="CR2" i="30"/>
  <c r="CS2" i="30"/>
  <c r="CT2" i="30"/>
  <c r="CU2" i="30"/>
  <c r="CV2" i="30"/>
  <c r="CW2" i="30"/>
  <c r="CX2" i="30"/>
  <c r="CY2" i="30"/>
  <c r="CZ2" i="30"/>
  <c r="DA2" i="30"/>
  <c r="DB2" i="30"/>
  <c r="N276" i="30"/>
  <c r="DC2" i="30"/>
  <c r="DD2" i="30"/>
  <c r="DE2" i="30"/>
  <c r="DF2" i="30"/>
  <c r="DG2" i="30"/>
  <c r="DH2" i="30"/>
  <c r="DI2" i="30"/>
  <c r="DJ2" i="30"/>
  <c r="DK2" i="30"/>
  <c r="DL2" i="30"/>
  <c r="DM2" i="30"/>
  <c r="DN2" i="30"/>
  <c r="DO2" i="30"/>
  <c r="DP2" i="30"/>
  <c r="DQ2" i="30"/>
  <c r="DR2" i="30"/>
  <c r="DS2" i="30"/>
  <c r="DT2" i="30"/>
  <c r="DU2" i="30"/>
  <c r="DV2" i="30"/>
  <c r="DW2" i="30"/>
  <c r="DX2" i="30"/>
  <c r="DY2" i="30"/>
  <c r="DZ2" i="30"/>
  <c r="EA2" i="30"/>
  <c r="EB2" i="30"/>
  <c r="EC2" i="30"/>
  <c r="ED2" i="30"/>
  <c r="EE2" i="30"/>
  <c r="EF2" i="30"/>
  <c r="EG2" i="30"/>
  <c r="EH2" i="30"/>
  <c r="EI2" i="30"/>
  <c r="EJ2" i="30"/>
  <c r="EK2" i="30"/>
  <c r="EL2" i="30"/>
  <c r="EM2" i="30"/>
  <c r="EN2" i="30"/>
  <c r="EO2" i="30"/>
  <c r="EP2" i="30"/>
  <c r="EQ2" i="30"/>
  <c r="ER2" i="30"/>
  <c r="ES2" i="30"/>
  <c r="ET2" i="30"/>
  <c r="EU2" i="30"/>
  <c r="EV2" i="30"/>
  <c r="EW2" i="30"/>
  <c r="EX2" i="30"/>
  <c r="EY2" i="30"/>
  <c r="EZ2" i="30"/>
  <c r="FA2" i="30"/>
  <c r="FB2" i="30"/>
  <c r="FC2" i="30"/>
  <c r="FD2" i="30"/>
  <c r="FE2" i="30"/>
  <c r="FF2" i="30"/>
  <c r="FG2" i="30"/>
  <c r="FH2" i="30"/>
  <c r="FI2" i="30"/>
  <c r="FJ2" i="30"/>
  <c r="FK2" i="30"/>
  <c r="FL2" i="30"/>
  <c r="FM2" i="30"/>
  <c r="FN2" i="30"/>
  <c r="FO2" i="30"/>
  <c r="FP2" i="30"/>
  <c r="FQ2" i="30"/>
  <c r="FR2" i="30"/>
  <c r="FS2" i="30"/>
  <c r="FT2" i="30"/>
  <c r="FU2" i="30"/>
  <c r="FV2" i="30"/>
  <c r="FW2" i="30"/>
  <c r="FX2" i="30"/>
  <c r="FY2" i="30"/>
  <c r="FZ2" i="30"/>
  <c r="GA2" i="30"/>
  <c r="GB2" i="30"/>
  <c r="GC2" i="30"/>
  <c r="GD2" i="30"/>
  <c r="GE2" i="30"/>
  <c r="GF2" i="30"/>
  <c r="GG2" i="30"/>
  <c r="GH2" i="30"/>
  <c r="GI2" i="30"/>
  <c r="GJ2" i="30"/>
  <c r="GK2" i="30"/>
  <c r="GL2" i="30"/>
  <c r="GM2" i="30"/>
  <c r="GN2" i="30"/>
  <c r="GO2" i="30"/>
  <c r="GP2" i="30"/>
  <c r="GQ2" i="30"/>
  <c r="GR2" i="30"/>
  <c r="GS2" i="30"/>
  <c r="GT2" i="30"/>
  <c r="GU2" i="30"/>
  <c r="GV2" i="30"/>
  <c r="GW2" i="30"/>
  <c r="GX2" i="30"/>
  <c r="GY2" i="30"/>
  <c r="GZ2" i="30"/>
  <c r="HA2" i="30"/>
  <c r="HB2" i="30"/>
  <c r="HC2" i="30"/>
  <c r="HD2" i="30"/>
  <c r="HE2" i="30"/>
  <c r="HF2" i="30"/>
  <c r="HG2" i="30"/>
  <c r="HH2" i="30"/>
  <c r="HI2" i="30"/>
  <c r="HJ2" i="30"/>
  <c r="HK2" i="30"/>
  <c r="HL2" i="30"/>
  <c r="HM2" i="30"/>
  <c r="HN2" i="30"/>
  <c r="HO2" i="30"/>
  <c r="HP2" i="30"/>
  <c r="HQ2" i="30"/>
  <c r="HR2" i="30"/>
  <c r="HS2" i="30"/>
  <c r="HT2" i="30"/>
  <c r="HU2" i="30"/>
  <c r="HV2" i="30"/>
  <c r="HW2" i="30"/>
  <c r="HX2" i="30"/>
  <c r="HY2" i="30"/>
  <c r="HZ2" i="30"/>
  <c r="IA2" i="30"/>
  <c r="IB2" i="30"/>
  <c r="IC2" i="30"/>
  <c r="ID2" i="30"/>
  <c r="IE2" i="30"/>
  <c r="IF2" i="30"/>
  <c r="IG2" i="30"/>
  <c r="IH2" i="30"/>
  <c r="II2" i="30"/>
  <c r="IJ2" i="30"/>
  <c r="IK2" i="30"/>
  <c r="IL2" i="30"/>
  <c r="IM2" i="30"/>
  <c r="IN2" i="30"/>
  <c r="IO2" i="30"/>
  <c r="IP2" i="30"/>
  <c r="IQ2" i="30"/>
  <c r="IR2" i="30"/>
  <c r="IS2" i="30"/>
  <c r="IT2" i="30"/>
  <c r="IU2" i="30"/>
  <c r="IV2" i="30"/>
  <c r="O276" i="30"/>
  <c r="S276" i="30"/>
  <c r="H154" i="30"/>
  <c r="FT52" i="30" s="1"/>
  <c r="H140" i="30"/>
  <c r="BX38" i="30" s="1"/>
  <c r="H155" i="30"/>
  <c r="EO53" i="30" s="1"/>
  <c r="EO87" i="30" s="1"/>
  <c r="H147" i="30"/>
  <c r="FJ45" i="30" s="1"/>
  <c r="Q152" i="30"/>
  <c r="H153" i="30"/>
  <c r="CZ51" i="30" s="1"/>
  <c r="CZ85" i="30" s="1"/>
  <c r="Q144" i="30"/>
  <c r="Q145" i="30"/>
  <c r="Q153" i="30"/>
  <c r="Q139" i="30"/>
  <c r="H145" i="30"/>
  <c r="FN43" i="30" s="1"/>
  <c r="FN77" i="30" s="1"/>
  <c r="Q146" i="30"/>
  <c r="Q154" i="30"/>
  <c r="H146" i="30"/>
  <c r="FQ44" i="30" s="1"/>
  <c r="H149" i="30"/>
  <c r="GI47" i="30" s="1"/>
  <c r="Q148" i="30"/>
  <c r="Q140" i="30"/>
  <c r="H141" i="30"/>
  <c r="FJ39" i="30" s="1"/>
  <c r="H142" i="30"/>
  <c r="CL40" i="30" s="1"/>
  <c r="Q141" i="30"/>
  <c r="Q150" i="30"/>
  <c r="H151" i="30"/>
  <c r="GW49" i="30" s="1"/>
  <c r="H152" i="30"/>
  <c r="CC50" i="30" s="1"/>
  <c r="CC84" i="30" s="1"/>
  <c r="Q151" i="30"/>
  <c r="H150" i="30"/>
  <c r="BF48" i="30" s="1"/>
  <c r="Q149" i="30"/>
  <c r="Q143" i="30"/>
  <c r="H144" i="30"/>
  <c r="BF42" i="30" s="1"/>
  <c r="BF76" i="30" s="1"/>
  <c r="Q147" i="30"/>
  <c r="H148" i="30"/>
  <c r="FR46" i="30" s="1"/>
  <c r="H143" i="30"/>
  <c r="FW41" i="30" s="1"/>
  <c r="Q142" i="30"/>
  <c r="H139" i="30"/>
  <c r="HZ37" i="30" s="1"/>
  <c r="K139" i="30"/>
  <c r="Q138" i="30"/>
  <c r="B287" i="30" l="1"/>
  <c r="Q287" i="30" s="1"/>
  <c r="B283" i="30"/>
  <c r="Q283" i="30" s="1"/>
  <c r="B291" i="30"/>
  <c r="Q291" i="30" s="1"/>
  <c r="B294" i="30"/>
  <c r="Q294" i="30" s="1"/>
  <c r="B286" i="30"/>
  <c r="Q286" i="30" s="1"/>
  <c r="B290" i="30"/>
  <c r="Q290" i="30" s="1"/>
  <c r="B282" i="30"/>
  <c r="Q282" i="30" s="1"/>
  <c r="B285" i="30"/>
  <c r="Q285" i="30" s="1"/>
  <c r="B279" i="30"/>
  <c r="Q279" i="30" s="1"/>
  <c r="B289" i="30"/>
  <c r="Q289" i="30" s="1"/>
  <c r="B292" i="30"/>
  <c r="Q292" i="30" s="1"/>
  <c r="B288" i="30"/>
  <c r="Q288" i="30" s="1"/>
  <c r="B278" i="30"/>
  <c r="B258" i="30"/>
  <c r="B272" i="30"/>
  <c r="B36" i="30"/>
  <c r="C19" i="30" s="1"/>
  <c r="C104" i="30" s="1"/>
  <c r="B34" i="30"/>
  <c r="C17" i="30" s="1"/>
  <c r="C34" i="30" s="1"/>
  <c r="D17" i="30" s="1"/>
  <c r="B24" i="30"/>
  <c r="C7" i="30" s="1"/>
  <c r="C92" i="30" s="1"/>
  <c r="B25" i="30"/>
  <c r="C8" i="30" s="1"/>
  <c r="B26" i="30"/>
  <c r="C9" i="30" s="1"/>
  <c r="C94" i="30" s="1"/>
  <c r="B29" i="30"/>
  <c r="C12" i="30" s="1"/>
  <c r="C97" i="30" s="1"/>
  <c r="B23" i="30"/>
  <c r="C6" i="30" s="1"/>
  <c r="C91" i="30" s="1"/>
  <c r="B21" i="30"/>
  <c r="C4" i="30" s="1"/>
  <c r="C89" i="30" s="1"/>
  <c r="B35" i="30"/>
  <c r="C18" i="30" s="1"/>
  <c r="C103" i="30" s="1"/>
  <c r="B27" i="30"/>
  <c r="C10" i="30" s="1"/>
  <c r="C95" i="30" s="1"/>
  <c r="B33" i="30"/>
  <c r="C16" i="30" s="1"/>
  <c r="B22" i="30"/>
  <c r="C5" i="30" s="1"/>
  <c r="C90" i="30" s="1"/>
  <c r="B28" i="30"/>
  <c r="C11" i="30" s="1"/>
  <c r="C96" i="30" s="1"/>
  <c r="B20" i="30"/>
  <c r="C3" i="30" s="1"/>
  <c r="C88" i="30" s="1"/>
  <c r="B32" i="30"/>
  <c r="C15" i="30" s="1"/>
  <c r="B31" i="30"/>
  <c r="C14" i="30" s="1"/>
  <c r="C99" i="30" s="1"/>
  <c r="B30" i="30"/>
  <c r="C13" i="30" s="1"/>
  <c r="C98" i="30" s="1"/>
  <c r="GA53" i="30"/>
  <c r="GA87" i="30" s="1"/>
  <c r="IK51" i="30"/>
  <c r="IK85" i="30" s="1"/>
  <c r="GJ46" i="30"/>
  <c r="BC46" i="30"/>
  <c r="IR46" i="30"/>
  <c r="DF46" i="30"/>
  <c r="BX46" i="30"/>
  <c r="DM46" i="30"/>
  <c r="HJ46" i="30"/>
  <c r="HQ46" i="30"/>
  <c r="EI46" i="30"/>
  <c r="DD46" i="30"/>
  <c r="CE46" i="30"/>
  <c r="HC53" i="30"/>
  <c r="HC87" i="30" s="1"/>
  <c r="H172" i="30"/>
  <c r="HL46" i="30"/>
  <c r="FC46" i="30"/>
  <c r="EU46" i="30"/>
  <c r="CL46" i="30"/>
  <c r="ID46" i="30"/>
  <c r="CH46" i="30"/>
  <c r="FZ46" i="30"/>
  <c r="EL46" i="30"/>
  <c r="IR40" i="30"/>
  <c r="IE46" i="30"/>
  <c r="HX46" i="30"/>
  <c r="HF46" i="30"/>
  <c r="GF46" i="30"/>
  <c r="FN46" i="30"/>
  <c r="BB46" i="30"/>
  <c r="GY46" i="30"/>
  <c r="BS46" i="30"/>
  <c r="CC46" i="30"/>
  <c r="HB46" i="30"/>
  <c r="GE46" i="30"/>
  <c r="GN46" i="30"/>
  <c r="BX45" i="30"/>
  <c r="EK46" i="30"/>
  <c r="CB46" i="30"/>
  <c r="HK46" i="30"/>
  <c r="BF46" i="30"/>
  <c r="CX46" i="30"/>
  <c r="GM46" i="30"/>
  <c r="BG46" i="30"/>
  <c r="HI46" i="30"/>
  <c r="GQ46" i="30"/>
  <c r="AY46" i="30"/>
  <c r="FD46" i="30"/>
  <c r="CP46" i="30"/>
  <c r="BK43" i="30"/>
  <c r="BK77" i="30" s="1"/>
  <c r="IP43" i="30"/>
  <c r="IP77" i="30" s="1"/>
  <c r="BD51" i="30"/>
  <c r="BD85" i="30" s="1"/>
  <c r="BU46" i="30"/>
  <c r="GX46" i="30"/>
  <c r="FE45" i="30"/>
  <c r="FX44" i="30"/>
  <c r="EH43" i="30"/>
  <c r="EH77" i="30" s="1"/>
  <c r="FW43" i="30"/>
  <c r="FW77" i="30" s="1"/>
  <c r="DD43" i="30"/>
  <c r="DD77" i="30" s="1"/>
  <c r="EF43" i="30"/>
  <c r="EF77" i="30" s="1"/>
  <c r="EZ43" i="30"/>
  <c r="EZ77" i="30" s="1"/>
  <c r="BB40" i="30"/>
  <c r="IA37" i="30"/>
  <c r="DW53" i="30"/>
  <c r="DW87" i="30" s="1"/>
  <c r="HZ53" i="30"/>
  <c r="HZ87" i="30" s="1"/>
  <c r="HN53" i="30"/>
  <c r="HN87" i="30" s="1"/>
  <c r="DW46" i="30"/>
  <c r="DQ43" i="30"/>
  <c r="DQ77" i="30" s="1"/>
  <c r="IU43" i="30"/>
  <c r="IU77" i="30" s="1"/>
  <c r="HB43" i="30"/>
  <c r="HB77" i="30" s="1"/>
  <c r="DP43" i="30"/>
  <c r="DP77" i="30" s="1"/>
  <c r="IN42" i="30"/>
  <c r="IN76" i="30" s="1"/>
  <c r="HP40" i="30"/>
  <c r="DG40" i="30"/>
  <c r="EX41" i="30"/>
  <c r="FR37" i="30"/>
  <c r="CP37" i="30"/>
  <c r="FP37" i="30"/>
  <c r="BY37" i="30"/>
  <c r="DK37" i="30"/>
  <c r="FW37" i="30"/>
  <c r="CD37" i="30"/>
  <c r="EN53" i="30"/>
  <c r="EN87" i="30" s="1"/>
  <c r="HU53" i="30"/>
  <c r="HU87" i="30" s="1"/>
  <c r="CQ53" i="30"/>
  <c r="CQ87" i="30" s="1"/>
  <c r="CO53" i="30"/>
  <c r="CO87" i="30" s="1"/>
  <c r="IB43" i="30"/>
  <c r="IB77" i="30" s="1"/>
  <c r="CG40" i="30"/>
  <c r="HA41" i="30"/>
  <c r="IT40" i="30"/>
  <c r="DM38" i="30"/>
  <c r="CO37" i="30"/>
  <c r="EC53" i="30"/>
  <c r="EC87" i="30" s="1"/>
  <c r="HR53" i="30"/>
  <c r="HR87" i="30" s="1"/>
  <c r="BE53" i="30"/>
  <c r="BE87" i="30" s="1"/>
  <c r="GD53" i="30"/>
  <c r="GD87" i="30" s="1"/>
  <c r="DG53" i="30"/>
  <c r="DG87" i="30" s="1"/>
  <c r="EB53" i="30"/>
  <c r="EB87" i="30" s="1"/>
  <c r="DA53" i="30"/>
  <c r="DA87" i="30" s="1"/>
  <c r="HJ53" i="30"/>
  <c r="HJ87" i="30" s="1"/>
  <c r="IV53" i="30"/>
  <c r="IV87" i="30" s="1"/>
  <c r="FX53" i="30"/>
  <c r="FX87" i="30" s="1"/>
  <c r="CH51" i="30"/>
  <c r="CH85" i="30" s="1"/>
  <c r="BA49" i="30"/>
  <c r="GV45" i="30"/>
  <c r="FP44" i="30"/>
  <c r="BZ41" i="30"/>
  <c r="EW38" i="30"/>
  <c r="BE37" i="30"/>
  <c r="GI37" i="30"/>
  <c r="EE42" i="30"/>
  <c r="EE76" i="30" s="1"/>
  <c r="HZ44" i="30"/>
  <c r="BG44" i="30"/>
  <c r="IB44" i="30"/>
  <c r="HN44" i="30"/>
  <c r="FG42" i="30"/>
  <c r="FG76" i="30" s="1"/>
  <c r="EE44" i="30"/>
  <c r="HD44" i="30"/>
  <c r="GY44" i="30"/>
  <c r="IO44" i="30"/>
  <c r="DH42" i="30"/>
  <c r="DH76" i="30" s="1"/>
  <c r="DV44" i="30"/>
  <c r="EH44" i="30"/>
  <c r="HY42" i="30"/>
  <c r="HY76" i="30" s="1"/>
  <c r="GH42" i="30"/>
  <c r="GH76" i="30" s="1"/>
  <c r="CV42" i="30"/>
  <c r="CV76" i="30" s="1"/>
  <c r="IE42" i="30"/>
  <c r="IE76" i="30" s="1"/>
  <c r="IM42" i="30"/>
  <c r="IM76" i="30" s="1"/>
  <c r="IA44" i="30"/>
  <c r="DC44" i="30"/>
  <c r="EM44" i="30"/>
  <c r="HM44" i="30"/>
  <c r="CD44" i="30"/>
  <c r="FO44" i="30"/>
  <c r="GU44" i="30"/>
  <c r="DJ44" i="30"/>
  <c r="HU44" i="30"/>
  <c r="EC44" i="30"/>
  <c r="GP44" i="30"/>
  <c r="CZ44" i="30"/>
  <c r="EK44" i="30"/>
  <c r="HS42" i="30"/>
  <c r="HS76" i="30" s="1"/>
  <c r="FB42" i="30"/>
  <c r="FB76" i="30" s="1"/>
  <c r="DR42" i="30"/>
  <c r="DR76" i="30" s="1"/>
  <c r="DQ42" i="30"/>
  <c r="DQ76" i="30" s="1"/>
  <c r="BY42" i="30"/>
  <c r="BY76" i="30" s="1"/>
  <c r="DE44" i="30"/>
  <c r="DX44" i="30"/>
  <c r="BP44" i="30"/>
  <c r="IJ44" i="30"/>
  <c r="GO44" i="30"/>
  <c r="CQ44" i="30"/>
  <c r="FN44" i="30"/>
  <c r="DM44" i="30"/>
  <c r="FY44" i="30"/>
  <c r="CT44" i="30"/>
  <c r="DK44" i="30"/>
  <c r="BQ44" i="30"/>
  <c r="BT44" i="30"/>
  <c r="FP42" i="30"/>
  <c r="FP76" i="30" s="1"/>
  <c r="HB42" i="30"/>
  <c r="HB76" i="30" s="1"/>
  <c r="EK42" i="30"/>
  <c r="EK76" i="30" s="1"/>
  <c r="FC42" i="30"/>
  <c r="FC76" i="30" s="1"/>
  <c r="HD42" i="30"/>
  <c r="HD76" i="30" s="1"/>
  <c r="DY44" i="30"/>
  <c r="IP44" i="30"/>
  <c r="BU44" i="30"/>
  <c r="CY44" i="30"/>
  <c r="CS44" i="30"/>
  <c r="BM44" i="30"/>
  <c r="DS44" i="30"/>
  <c r="HH44" i="30"/>
  <c r="GF44" i="30"/>
  <c r="GX44" i="30"/>
  <c r="EX44" i="30"/>
  <c r="CG53" i="30"/>
  <c r="CG87" i="30" s="1"/>
  <c r="DT53" i="30"/>
  <c r="DT87" i="30" s="1"/>
  <c r="DS53" i="30"/>
  <c r="DS87" i="30" s="1"/>
  <c r="IP53" i="30"/>
  <c r="IP87" i="30" s="1"/>
  <c r="HG51" i="30"/>
  <c r="HG85" i="30" s="1"/>
  <c r="GL51" i="30"/>
  <c r="GL85" i="30" s="1"/>
  <c r="BE51" i="30"/>
  <c r="BE85" i="30" s="1"/>
  <c r="DR50" i="30"/>
  <c r="DR84" i="30" s="1"/>
  <c r="BM50" i="30"/>
  <c r="BM84" i="30" s="1"/>
  <c r="DY50" i="30"/>
  <c r="DY84" i="30" s="1"/>
  <c r="BO50" i="30"/>
  <c r="BO84" i="30" s="1"/>
  <c r="DB50" i="30"/>
  <c r="DB84" i="30" s="1"/>
  <c r="DC50" i="30"/>
  <c r="DC84" i="30" s="1"/>
  <c r="BR50" i="30"/>
  <c r="BR84" i="30" s="1"/>
  <c r="CI50" i="30"/>
  <c r="CI84" i="30" s="1"/>
  <c r="DF50" i="30"/>
  <c r="DF84" i="30" s="1"/>
  <c r="FI48" i="30"/>
  <c r="EK48" i="30"/>
  <c r="HM48" i="30"/>
  <c r="EM48" i="30"/>
  <c r="GA48" i="30"/>
  <c r="CF48" i="30"/>
  <c r="FF48" i="30"/>
  <c r="BY48" i="30"/>
  <c r="EC48" i="30"/>
  <c r="CQ48" i="30"/>
  <c r="FJ48" i="30"/>
  <c r="BP48" i="30"/>
  <c r="FN48" i="30"/>
  <c r="EO48" i="30"/>
  <c r="BT48" i="30"/>
  <c r="EF48" i="30"/>
  <c r="DC48" i="30"/>
  <c r="HS48" i="30"/>
  <c r="EW48" i="30"/>
  <c r="FU47" i="30"/>
  <c r="GO48" i="30"/>
  <c r="IL48" i="30"/>
  <c r="IE48" i="30"/>
  <c r="BC48" i="30"/>
  <c r="GC48" i="30"/>
  <c r="IT48" i="30"/>
  <c r="IM48" i="30"/>
  <c r="BV47" i="30"/>
  <c r="DY47" i="30"/>
  <c r="CU44" i="30"/>
  <c r="ID40" i="30"/>
  <c r="EL40" i="30"/>
  <c r="BE40" i="30"/>
  <c r="DV40" i="30"/>
  <c r="DN40" i="30"/>
  <c r="HU40" i="30"/>
  <c r="FZ40" i="30"/>
  <c r="FJ40" i="30"/>
  <c r="HX40" i="30"/>
  <c r="EC40" i="30"/>
  <c r="DU40" i="30"/>
  <c r="IJ40" i="30"/>
  <c r="II40" i="30"/>
  <c r="DR40" i="30"/>
  <c r="GH40" i="30"/>
  <c r="FK40" i="30"/>
  <c r="HJ40" i="30"/>
  <c r="FU38" i="30"/>
  <c r="CN41" i="30"/>
  <c r="FC41" i="30"/>
  <c r="CY41" i="30"/>
  <c r="GY41" i="30"/>
  <c r="BD41" i="30"/>
  <c r="HZ41" i="30"/>
  <c r="BP41" i="30"/>
  <c r="DL41" i="30"/>
  <c r="GV41" i="30"/>
  <c r="BY41" i="30"/>
  <c r="GH41" i="30"/>
  <c r="IN41" i="30"/>
  <c r="FG41" i="30"/>
  <c r="EA41" i="30"/>
  <c r="DD41" i="30"/>
  <c r="H160" i="30"/>
  <c r="HR41" i="30"/>
  <c r="GR41" i="30"/>
  <c r="IP41" i="30"/>
  <c r="DJ41" i="30"/>
  <c r="GA41" i="30"/>
  <c r="GL41" i="30"/>
  <c r="EW41" i="30"/>
  <c r="HI41" i="30"/>
  <c r="EN41" i="30"/>
  <c r="GM41" i="30"/>
  <c r="CU41" i="30"/>
  <c r="FA41" i="30"/>
  <c r="GI41" i="30"/>
  <c r="BG41" i="30"/>
  <c r="BX41" i="30"/>
  <c r="ED41" i="30"/>
  <c r="DQ41" i="30"/>
  <c r="DZ41" i="30"/>
  <c r="IE41" i="30"/>
  <c r="FY41" i="30"/>
  <c r="FT41" i="30"/>
  <c r="HU41" i="30"/>
  <c r="IJ41" i="30"/>
  <c r="HG41" i="30"/>
  <c r="GC41" i="30"/>
  <c r="DU41" i="30"/>
  <c r="FF41" i="30"/>
  <c r="BQ41" i="30"/>
  <c r="CK41" i="30"/>
  <c r="CZ41" i="30"/>
  <c r="GD41" i="30"/>
  <c r="HN41" i="30"/>
  <c r="HH41" i="30"/>
  <c r="CP41" i="30"/>
  <c r="EL41" i="30"/>
  <c r="DT41" i="30"/>
  <c r="FI41" i="30"/>
  <c r="BN41" i="30"/>
  <c r="BB41" i="30"/>
  <c r="GK41" i="30"/>
  <c r="CJ41" i="30"/>
  <c r="HT41" i="30"/>
  <c r="HK41" i="30"/>
  <c r="DX41" i="30"/>
  <c r="HB41" i="30"/>
  <c r="BR41" i="30"/>
  <c r="DV41" i="30"/>
  <c r="EK41" i="30"/>
  <c r="HE41" i="30"/>
  <c r="CH41" i="30"/>
  <c r="GZ41" i="30"/>
  <c r="IK41" i="30"/>
  <c r="IT41" i="30"/>
  <c r="DY41" i="30"/>
  <c r="CW41" i="30"/>
  <c r="FP41" i="30"/>
  <c r="IO41" i="30"/>
  <c r="DA41" i="30"/>
  <c r="HM41" i="30"/>
  <c r="HF41" i="30"/>
  <c r="EG41" i="30"/>
  <c r="DE41" i="30"/>
  <c r="ET41" i="30"/>
  <c r="EO41" i="30"/>
  <c r="FL41" i="30"/>
  <c r="BJ41" i="30"/>
  <c r="BI41" i="30"/>
  <c r="EI41" i="30"/>
  <c r="EM41" i="30"/>
  <c r="EY41" i="30"/>
  <c r="IQ41" i="30"/>
  <c r="DH41" i="30"/>
  <c r="GB41" i="30"/>
  <c r="IU41" i="30"/>
  <c r="HV41" i="30"/>
  <c r="HQ41" i="30"/>
  <c r="BL41" i="30"/>
  <c r="CG41" i="30"/>
  <c r="DM41" i="30"/>
  <c r="BH41" i="30"/>
  <c r="ID41" i="30"/>
  <c r="HC41" i="30"/>
  <c r="EP41" i="30"/>
  <c r="GN41" i="30"/>
  <c r="EU41" i="30"/>
  <c r="FZ41" i="30"/>
  <c r="GP41" i="30"/>
  <c r="CE41" i="30"/>
  <c r="FV41" i="30"/>
  <c r="IV41" i="30"/>
  <c r="IM41" i="30"/>
  <c r="FU41" i="30"/>
  <c r="DR41" i="30"/>
  <c r="IH41" i="30"/>
  <c r="EV41" i="30"/>
  <c r="FO41" i="30"/>
  <c r="CM41" i="30"/>
  <c r="EE41" i="30"/>
  <c r="BF41" i="30"/>
  <c r="BS41" i="30"/>
  <c r="DO41" i="30"/>
  <c r="DG41" i="30"/>
  <c r="IR41" i="30"/>
  <c r="FQ41" i="30"/>
  <c r="ER41" i="30"/>
  <c r="BT41" i="30"/>
  <c r="CI41" i="30"/>
  <c r="EZ41" i="30"/>
  <c r="FJ41" i="30"/>
  <c r="BC41" i="30"/>
  <c r="GE41" i="30"/>
  <c r="IG41" i="30"/>
  <c r="HX41" i="30"/>
  <c r="CA41" i="30"/>
  <c r="IC41" i="30"/>
  <c r="FX41" i="30"/>
  <c r="EQ41" i="30"/>
  <c r="HP41" i="30"/>
  <c r="IL41" i="30"/>
  <c r="FR41" i="30"/>
  <c r="FE41" i="30"/>
  <c r="HL41" i="30"/>
  <c r="HJ41" i="30"/>
  <c r="CD41" i="30"/>
  <c r="GS41" i="30"/>
  <c r="BS40" i="30"/>
  <c r="EV40" i="30"/>
  <c r="BC40" i="30"/>
  <c r="FD40" i="30"/>
  <c r="BV40" i="30"/>
  <c r="IG40" i="30"/>
  <c r="HV40" i="30"/>
  <c r="HT40" i="30"/>
  <c r="FS40" i="30"/>
  <c r="EK40" i="30"/>
  <c r="CW40" i="30"/>
  <c r="H159" i="30"/>
  <c r="GW40" i="30"/>
  <c r="IF40" i="30"/>
  <c r="EO40" i="30"/>
  <c r="IU40" i="30"/>
  <c r="GC40" i="30"/>
  <c r="EA40" i="30"/>
  <c r="GZ40" i="30"/>
  <c r="HO40" i="30"/>
  <c r="GV40" i="30"/>
  <c r="EE40" i="30"/>
  <c r="GT40" i="30"/>
  <c r="IK40" i="30"/>
  <c r="BA40" i="30"/>
  <c r="IN40" i="30"/>
  <c r="CM40" i="30"/>
  <c r="CO40" i="30"/>
  <c r="BD40" i="30"/>
  <c r="EP40" i="30"/>
  <c r="DO40" i="30"/>
  <c r="GL40" i="30"/>
  <c r="HK40" i="30"/>
  <c r="GY40" i="30"/>
  <c r="HY40" i="30"/>
  <c r="CB40" i="30"/>
  <c r="AZ40" i="30"/>
  <c r="IE40" i="30"/>
  <c r="FP40" i="30"/>
  <c r="BN40" i="30"/>
  <c r="BP40" i="30"/>
  <c r="FR40" i="30"/>
  <c r="ED40" i="30"/>
  <c r="AY40" i="30"/>
  <c r="CY40" i="30"/>
  <c r="HA40" i="30"/>
  <c r="GJ40" i="30"/>
  <c r="GG40" i="30"/>
  <c r="CN40" i="30"/>
  <c r="IM40" i="30"/>
  <c r="CU40" i="30"/>
  <c r="FB40" i="30"/>
  <c r="DB40" i="30"/>
  <c r="FV40" i="30"/>
  <c r="HC40" i="30"/>
  <c r="EI40" i="30"/>
  <c r="CR40" i="30"/>
  <c r="FT40" i="30"/>
  <c r="FQ40" i="30"/>
  <c r="DC40" i="30"/>
  <c r="EQ40" i="30"/>
  <c r="CH40" i="30"/>
  <c r="BH40" i="30"/>
  <c r="DL40" i="30"/>
  <c r="DE40" i="30"/>
  <c r="BK40" i="30"/>
  <c r="GX40" i="30"/>
  <c r="EH40" i="30"/>
  <c r="DY40" i="30"/>
  <c r="FG40" i="30"/>
  <c r="HF40" i="30"/>
  <c r="BQ40" i="30"/>
  <c r="GN40" i="30"/>
  <c r="GP40" i="30"/>
  <c r="DF40" i="30"/>
  <c r="DZ40" i="30"/>
  <c r="HR40" i="30"/>
  <c r="CV40" i="30"/>
  <c r="IA40" i="30"/>
  <c r="FU40" i="30"/>
  <c r="HS40" i="30"/>
  <c r="DQ40" i="30"/>
  <c r="EJ40" i="30"/>
  <c r="BJ40" i="30"/>
  <c r="CI40" i="30"/>
  <c r="GU40" i="30"/>
  <c r="HZ40" i="30"/>
  <c r="FI40" i="30"/>
  <c r="BG40" i="30"/>
  <c r="IV40" i="30"/>
  <c r="FC40" i="30"/>
  <c r="DT40" i="30"/>
  <c r="HB40" i="30"/>
  <c r="BM40" i="30"/>
  <c r="GM40" i="30"/>
  <c r="DX40" i="30"/>
  <c r="ER40" i="30"/>
  <c r="AX40" i="30"/>
  <c r="EN40" i="30"/>
  <c r="DS40" i="30"/>
  <c r="CZ40" i="30"/>
  <c r="HL40" i="30"/>
  <c r="DI40" i="30"/>
  <c r="HM40" i="30"/>
  <c r="EG40" i="30"/>
  <c r="GE40" i="30"/>
  <c r="IL40" i="30"/>
  <c r="DD40" i="30"/>
  <c r="EU40" i="30"/>
  <c r="CD40" i="30"/>
  <c r="BL40" i="30"/>
  <c r="GR40" i="30"/>
  <c r="DP40" i="30"/>
  <c r="HN40" i="30"/>
  <c r="DW40" i="30"/>
  <c r="FH40" i="30"/>
  <c r="FX40" i="30"/>
  <c r="EF40" i="30"/>
  <c r="DK40" i="30"/>
  <c r="FW40" i="30"/>
  <c r="CX40" i="30"/>
  <c r="EW40" i="30"/>
  <c r="CP40" i="30"/>
  <c r="FL40" i="30"/>
  <c r="CE40" i="30"/>
  <c r="EB40" i="30"/>
  <c r="HI40" i="30"/>
  <c r="IQ40" i="30"/>
  <c r="GS40" i="30"/>
  <c r="CJ40" i="30"/>
  <c r="GA40" i="30"/>
  <c r="GB40" i="30"/>
  <c r="HD40" i="30"/>
  <c r="GK40" i="30"/>
  <c r="BZ40" i="30"/>
  <c r="IB40" i="30"/>
  <c r="BB49" i="30"/>
  <c r="GJ41" i="30"/>
  <c r="CF41" i="30"/>
  <c r="GF41" i="30"/>
  <c r="AY41" i="30"/>
  <c r="DT47" i="30"/>
  <c r="DK47" i="30"/>
  <c r="GF47" i="30"/>
  <c r="HU47" i="30"/>
  <c r="FE40" i="30"/>
  <c r="GI40" i="30"/>
  <c r="IO40" i="30"/>
  <c r="CK40" i="30"/>
  <c r="DH40" i="30"/>
  <c r="HG40" i="30"/>
  <c r="EZ40" i="30"/>
  <c r="DM40" i="30"/>
  <c r="ET40" i="30"/>
  <c r="HH40" i="30"/>
  <c r="BW40" i="30"/>
  <c r="BT40" i="30"/>
  <c r="CS40" i="30"/>
  <c r="CT40" i="30"/>
  <c r="GO40" i="30"/>
  <c r="EY40" i="30"/>
  <c r="FF40" i="30"/>
  <c r="IH40" i="30"/>
  <c r="CC40" i="30"/>
  <c r="FA40" i="30"/>
  <c r="CQ40" i="30"/>
  <c r="HW40" i="30"/>
  <c r="DA40" i="30"/>
  <c r="HY41" i="30"/>
  <c r="FH41" i="30"/>
  <c r="FB41" i="30"/>
  <c r="FV47" i="30"/>
  <c r="EM47" i="30"/>
  <c r="FV49" i="30"/>
  <c r="IL49" i="30"/>
  <c r="GU49" i="30"/>
  <c r="IT49" i="30"/>
  <c r="DN49" i="30"/>
  <c r="HU49" i="30"/>
  <c r="HT49" i="30"/>
  <c r="EW49" i="30"/>
  <c r="HD49" i="30"/>
  <c r="HH49" i="30"/>
  <c r="CB49" i="30"/>
  <c r="EN49" i="30"/>
  <c r="IQ49" i="30"/>
  <c r="HE49" i="30"/>
  <c r="FQ49" i="30"/>
  <c r="DC49" i="30"/>
  <c r="BM47" i="30"/>
  <c r="GP47" i="30"/>
  <c r="EJ47" i="30"/>
  <c r="CC47" i="30"/>
  <c r="HT47" i="30"/>
  <c r="GD47" i="30"/>
  <c r="HA47" i="30"/>
  <c r="HX47" i="30"/>
  <c r="FH47" i="30"/>
  <c r="FF47" i="30"/>
  <c r="GA47" i="30"/>
  <c r="HW47" i="30"/>
  <c r="BI47" i="30"/>
  <c r="HL47" i="30"/>
  <c r="BX47" i="30"/>
  <c r="HD47" i="30"/>
  <c r="FP47" i="30"/>
  <c r="DI47" i="30"/>
  <c r="CW47" i="30"/>
  <c r="EZ47" i="30"/>
  <c r="HB47" i="30"/>
  <c r="DN47" i="30"/>
  <c r="DH47" i="30"/>
  <c r="BL47" i="30"/>
  <c r="HM47" i="30"/>
  <c r="GW47" i="30"/>
  <c r="ET47" i="30"/>
  <c r="HF47" i="30"/>
  <c r="IL47" i="30"/>
  <c r="FY47" i="30"/>
  <c r="BE47" i="30"/>
  <c r="DU47" i="30"/>
  <c r="IG47" i="30"/>
  <c r="FB47" i="30"/>
  <c r="BG47" i="30"/>
  <c r="BY47" i="30"/>
  <c r="DC47" i="30"/>
  <c r="DQ47" i="30"/>
  <c r="EB47" i="30"/>
  <c r="DL47" i="30"/>
  <c r="HH47" i="30"/>
  <c r="FL47" i="30"/>
  <c r="BS47" i="30"/>
  <c r="HQ47" i="30"/>
  <c r="GS47" i="30"/>
  <c r="DF47" i="30"/>
  <c r="CA47" i="30"/>
  <c r="EE47" i="30"/>
  <c r="DW47" i="30"/>
  <c r="EX47" i="30"/>
  <c r="EK47" i="30"/>
  <c r="BD47" i="30"/>
  <c r="CE47" i="30"/>
  <c r="HP47" i="30"/>
  <c r="DX47" i="30"/>
  <c r="GJ47" i="30"/>
  <c r="CS47" i="30"/>
  <c r="FM47" i="30"/>
  <c r="BZ47" i="30"/>
  <c r="FX47" i="30"/>
  <c r="EH47" i="30"/>
  <c r="CB47" i="30"/>
  <c r="CP47" i="30"/>
  <c r="GR47" i="30"/>
  <c r="EG47" i="30"/>
  <c r="IT47" i="30"/>
  <c r="GV47" i="30"/>
  <c r="EL47" i="30"/>
  <c r="FA47" i="30"/>
  <c r="DP47" i="30"/>
  <c r="DZ47" i="30"/>
  <c r="FZ47" i="30"/>
  <c r="EI47" i="30"/>
  <c r="DR47" i="30"/>
  <c r="BB47" i="30"/>
  <c r="IN47" i="30"/>
  <c r="FJ47" i="30"/>
  <c r="CZ47" i="30"/>
  <c r="IO47" i="30"/>
  <c r="BK47" i="30"/>
  <c r="CH47" i="30"/>
  <c r="CK47" i="30"/>
  <c r="DB47" i="30"/>
  <c r="GZ47" i="30"/>
  <c r="GH47" i="30"/>
  <c r="ID47" i="30"/>
  <c r="HC47" i="30"/>
  <c r="HK47" i="30"/>
  <c r="CN47" i="30"/>
  <c r="H166" i="30"/>
  <c r="IF47" i="30"/>
  <c r="GM47" i="30"/>
  <c r="II47" i="30"/>
  <c r="GC47" i="30"/>
  <c r="GT47" i="30"/>
  <c r="EO47" i="30"/>
  <c r="FI47" i="30"/>
  <c r="CO47" i="30"/>
  <c r="BQ47" i="30"/>
  <c r="FW47" i="30"/>
  <c r="CV47" i="30"/>
  <c r="IV47" i="30"/>
  <c r="HO47" i="30"/>
  <c r="CI47" i="30"/>
  <c r="ED47" i="30"/>
  <c r="ER47" i="30"/>
  <c r="CJ47" i="30"/>
  <c r="FQ47" i="30"/>
  <c r="FK47" i="30"/>
  <c r="EY47" i="30"/>
  <c r="HS47" i="30"/>
  <c r="IK47" i="30"/>
  <c r="HG47" i="30"/>
  <c r="IQ47" i="30"/>
  <c r="EU47" i="30"/>
  <c r="BC47" i="30"/>
  <c r="IC47" i="30"/>
  <c r="CQ47" i="30"/>
  <c r="DJ47" i="30"/>
  <c r="BR47" i="30"/>
  <c r="BF47" i="30"/>
  <c r="EA47" i="30"/>
  <c r="IH47" i="30"/>
  <c r="BT47" i="30"/>
  <c r="FD47" i="30"/>
  <c r="EC47" i="30"/>
  <c r="DD47" i="30"/>
  <c r="EQ47" i="30"/>
  <c r="GN47" i="30"/>
  <c r="CL47" i="30"/>
  <c r="EF47" i="30"/>
  <c r="GL47" i="30"/>
  <c r="IM47" i="30"/>
  <c r="FT47" i="30"/>
  <c r="DM47" i="30"/>
  <c r="IJ47" i="30"/>
  <c r="CR47" i="30"/>
  <c r="HY47" i="30"/>
  <c r="GX47" i="30"/>
  <c r="DV47" i="30"/>
  <c r="GU47" i="30"/>
  <c r="GK47" i="30"/>
  <c r="IS47" i="30"/>
  <c r="HN47" i="30"/>
  <c r="BJ47" i="30"/>
  <c r="CY47" i="30"/>
  <c r="BW47" i="30"/>
  <c r="IP47" i="30"/>
  <c r="IU47" i="30"/>
  <c r="AZ47" i="30"/>
  <c r="CX47" i="30"/>
  <c r="HI47" i="30"/>
  <c r="FR47" i="30"/>
  <c r="HE47" i="30"/>
  <c r="HR47" i="30"/>
  <c r="IE47" i="30"/>
  <c r="GE47" i="30"/>
  <c r="EW47" i="30"/>
  <c r="FG47" i="30"/>
  <c r="BO47" i="30"/>
  <c r="BN47" i="30"/>
  <c r="BP47" i="30"/>
  <c r="DO47" i="30"/>
  <c r="BU47" i="30"/>
  <c r="DS47" i="30"/>
  <c r="FN47" i="30"/>
  <c r="CM47" i="30"/>
  <c r="EN47" i="30"/>
  <c r="DE47" i="30"/>
  <c r="HZ47" i="30"/>
  <c r="GG47" i="30"/>
  <c r="FS47" i="30"/>
  <c r="DA47" i="30"/>
  <c r="CG47" i="30"/>
  <c r="FE47" i="30"/>
  <c r="AX47" i="30"/>
  <c r="HV47" i="30"/>
  <c r="FC47" i="30"/>
  <c r="BH47" i="30"/>
  <c r="ES47" i="30"/>
  <c r="IA47" i="30"/>
  <c r="CU47" i="30"/>
  <c r="CF47" i="30"/>
  <c r="IB47" i="30"/>
  <c r="GO47" i="30"/>
  <c r="AY47" i="30"/>
  <c r="FO47" i="30"/>
  <c r="EP47" i="30"/>
  <c r="CD47" i="30"/>
  <c r="BA47" i="30"/>
  <c r="GQ47" i="30"/>
  <c r="HJ47" i="30"/>
  <c r="DG47" i="30"/>
  <c r="GY47" i="30"/>
  <c r="EV47" i="30"/>
  <c r="BF40" i="30"/>
  <c r="ES40" i="30"/>
  <c r="CA40" i="30"/>
  <c r="FN40" i="30"/>
  <c r="EX40" i="30"/>
  <c r="BR40" i="30"/>
  <c r="BU40" i="30"/>
  <c r="FO40" i="30"/>
  <c r="EM40" i="30"/>
  <c r="FY40" i="30"/>
  <c r="GQ40" i="30"/>
  <c r="IS40" i="30"/>
  <c r="BX40" i="30"/>
  <c r="GF40" i="30"/>
  <c r="IP40" i="30"/>
  <c r="FM40" i="30"/>
  <c r="DJ40" i="30"/>
  <c r="GD40" i="30"/>
  <c r="BI40" i="30"/>
  <c r="BY40" i="30"/>
  <c r="HQ40" i="30"/>
  <c r="CF40" i="30"/>
  <c r="IC40" i="30"/>
  <c r="BO40" i="30"/>
  <c r="HE40" i="30"/>
  <c r="DW49" i="30"/>
  <c r="DJ49" i="30"/>
  <c r="CB41" i="30"/>
  <c r="CV41" i="30"/>
  <c r="ES41" i="30"/>
  <c r="DP41" i="30"/>
  <c r="IR47" i="30"/>
  <c r="CT47" i="30"/>
  <c r="GB47" i="30"/>
  <c r="ID50" i="30"/>
  <c r="ID84" i="30" s="1"/>
  <c r="EI50" i="30"/>
  <c r="EI84" i="30" s="1"/>
  <c r="CF50" i="30"/>
  <c r="CF84" i="30" s="1"/>
  <c r="HB50" i="30"/>
  <c r="HB84" i="30" s="1"/>
  <c r="FD50" i="30"/>
  <c r="FD84" i="30" s="1"/>
  <c r="DT50" i="30"/>
  <c r="DT84" i="30" s="1"/>
  <c r="FY50" i="30"/>
  <c r="FY84" i="30" s="1"/>
  <c r="FM50" i="30"/>
  <c r="FM84" i="30" s="1"/>
  <c r="EG50" i="30"/>
  <c r="EG84" i="30" s="1"/>
  <c r="ES38" i="30"/>
  <c r="BS38" i="30"/>
  <c r="BK38" i="30"/>
  <c r="HS51" i="30"/>
  <c r="HS85" i="30" s="1"/>
  <c r="FY51" i="30"/>
  <c r="FY85" i="30" s="1"/>
  <c r="GN51" i="30"/>
  <c r="GN85" i="30" s="1"/>
  <c r="BK51" i="30"/>
  <c r="BK85" i="30" s="1"/>
  <c r="GX51" i="30"/>
  <c r="GX85" i="30" s="1"/>
  <c r="BM51" i="30"/>
  <c r="BM85" i="30" s="1"/>
  <c r="CX50" i="30"/>
  <c r="CX84" i="30" s="1"/>
  <c r="BD50" i="30"/>
  <c r="BD84" i="30" s="1"/>
  <c r="DQ50" i="30"/>
  <c r="DQ84" i="30" s="1"/>
  <c r="EX50" i="30"/>
  <c r="EX84" i="30" s="1"/>
  <c r="DV50" i="30"/>
  <c r="DV84" i="30" s="1"/>
  <c r="HG50" i="30"/>
  <c r="HG84" i="30" s="1"/>
  <c r="IP50" i="30"/>
  <c r="IP84" i="30" s="1"/>
  <c r="DG50" i="30"/>
  <c r="DG84" i="30" s="1"/>
  <c r="DH50" i="30"/>
  <c r="DH84" i="30" s="1"/>
  <c r="DX50" i="30"/>
  <c r="DX84" i="30" s="1"/>
  <c r="DQ38" i="30"/>
  <c r="HS38" i="30"/>
  <c r="CE38" i="30"/>
  <c r="DG38" i="30"/>
  <c r="GE51" i="30"/>
  <c r="GE85" i="30" s="1"/>
  <c r="EH51" i="30"/>
  <c r="EH85" i="30" s="1"/>
  <c r="GW51" i="30"/>
  <c r="GW85" i="30" s="1"/>
  <c r="CB51" i="30"/>
  <c r="CB85" i="30" s="1"/>
  <c r="CK51" i="30"/>
  <c r="CK85" i="30" s="1"/>
  <c r="BA51" i="30"/>
  <c r="BA85" i="30" s="1"/>
  <c r="BB51" i="30"/>
  <c r="BB85" i="30" s="1"/>
  <c r="FA50" i="30"/>
  <c r="FA84" i="30" s="1"/>
  <c r="EO50" i="30"/>
  <c r="EO84" i="30" s="1"/>
  <c r="EL50" i="30"/>
  <c r="EL84" i="30" s="1"/>
  <c r="HZ50" i="30"/>
  <c r="HZ84" i="30" s="1"/>
  <c r="CR50" i="30"/>
  <c r="CR84" i="30" s="1"/>
  <c r="GO50" i="30"/>
  <c r="GO84" i="30" s="1"/>
  <c r="GZ50" i="30"/>
  <c r="GZ84" i="30" s="1"/>
  <c r="DM50" i="30"/>
  <c r="DM84" i="30" s="1"/>
  <c r="IA50" i="30"/>
  <c r="IA84" i="30" s="1"/>
  <c r="IT38" i="30"/>
  <c r="GO38" i="30"/>
  <c r="HK38" i="30"/>
  <c r="HK51" i="30"/>
  <c r="HK85" i="30" s="1"/>
  <c r="EJ51" i="30"/>
  <c r="EJ85" i="30" s="1"/>
  <c r="AZ51" i="30"/>
  <c r="AZ85" i="30" s="1"/>
  <c r="EU51" i="30"/>
  <c r="EU85" i="30" s="1"/>
  <c r="GH51" i="30"/>
  <c r="GH85" i="30" s="1"/>
  <c r="HZ51" i="30"/>
  <c r="HZ85" i="30" s="1"/>
  <c r="HO51" i="30"/>
  <c r="HO85" i="30" s="1"/>
  <c r="BT39" i="30"/>
  <c r="BX37" i="30"/>
  <c r="BW37" i="30"/>
  <c r="DY37" i="30"/>
  <c r="EY37" i="30"/>
  <c r="CL37" i="30"/>
  <c r="BH37" i="30"/>
  <c r="GV37" i="30"/>
  <c r="GS37" i="30"/>
  <c r="EG37" i="30"/>
  <c r="FZ37" i="30"/>
  <c r="CY37" i="30"/>
  <c r="ET48" i="30"/>
  <c r="IB48" i="30"/>
  <c r="HT48" i="30"/>
  <c r="DV48" i="30"/>
  <c r="CS48" i="30"/>
  <c r="AZ48" i="30"/>
  <c r="HU48" i="30"/>
  <c r="HX48" i="30"/>
  <c r="CG48" i="30"/>
  <c r="EL48" i="30"/>
  <c r="IV48" i="30"/>
  <c r="BM48" i="30"/>
  <c r="HO48" i="30"/>
  <c r="GU48" i="30"/>
  <c r="IO48" i="30"/>
  <c r="FP48" i="30"/>
  <c r="DY48" i="30"/>
  <c r="FD48" i="30"/>
  <c r="EX48" i="30"/>
  <c r="CY48" i="30"/>
  <c r="HF48" i="30"/>
  <c r="FW48" i="30"/>
  <c r="GB48" i="30"/>
  <c r="FB48" i="30"/>
  <c r="BA48" i="30"/>
  <c r="GE48" i="30"/>
  <c r="BD38" i="30"/>
  <c r="HR38" i="30"/>
  <c r="HO38" i="30"/>
  <c r="BH38" i="30"/>
  <c r="GC38" i="30"/>
  <c r="CW38" i="30"/>
  <c r="HD38" i="30"/>
  <c r="AY38" i="30"/>
  <c r="GP38" i="30"/>
  <c r="FW38" i="30"/>
  <c r="DN38" i="30"/>
  <c r="FD38" i="30"/>
  <c r="DS38" i="30"/>
  <c r="HF51" i="30"/>
  <c r="HF85" i="30" s="1"/>
  <c r="CW51" i="30"/>
  <c r="CW85" i="30" s="1"/>
  <c r="IQ51" i="30"/>
  <c r="IQ85" i="30" s="1"/>
  <c r="IM51" i="30"/>
  <c r="IM85" i="30" s="1"/>
  <c r="IU51" i="30"/>
  <c r="IU85" i="30" s="1"/>
  <c r="CI51" i="30"/>
  <c r="CI85" i="30" s="1"/>
  <c r="EB51" i="30"/>
  <c r="EB85" i="30" s="1"/>
  <c r="EY51" i="30"/>
  <c r="EY85" i="30" s="1"/>
  <c r="BP51" i="30"/>
  <c r="BP85" i="30" s="1"/>
  <c r="GM51" i="30"/>
  <c r="GM85" i="30" s="1"/>
  <c r="DK51" i="30"/>
  <c r="DK85" i="30" s="1"/>
  <c r="HU51" i="30"/>
  <c r="HU85" i="30" s="1"/>
  <c r="FW51" i="30"/>
  <c r="FW85" i="30" s="1"/>
  <c r="CX51" i="30"/>
  <c r="CX85" i="30" s="1"/>
  <c r="HQ51" i="30"/>
  <c r="HQ85" i="30" s="1"/>
  <c r="IJ51" i="30"/>
  <c r="IJ85" i="30" s="1"/>
  <c r="GF51" i="30"/>
  <c r="GF85" i="30" s="1"/>
  <c r="FH51" i="30"/>
  <c r="FH85" i="30" s="1"/>
  <c r="IP51" i="30"/>
  <c r="IP85" i="30" s="1"/>
  <c r="IV51" i="30"/>
  <c r="IV85" i="30" s="1"/>
  <c r="DO51" i="30"/>
  <c r="DO85" i="30" s="1"/>
  <c r="DL51" i="30"/>
  <c r="DL85" i="30" s="1"/>
  <c r="CV51" i="30"/>
  <c r="CV85" i="30" s="1"/>
  <c r="FT51" i="30"/>
  <c r="FT85" i="30" s="1"/>
  <c r="IR51" i="30"/>
  <c r="IR85" i="30" s="1"/>
  <c r="BV51" i="30"/>
  <c r="BV85" i="30" s="1"/>
  <c r="EV39" i="30"/>
  <c r="IK37" i="30"/>
  <c r="DA37" i="30"/>
  <c r="CQ37" i="30"/>
  <c r="BA37" i="30"/>
  <c r="HY37" i="30"/>
  <c r="HR37" i="30"/>
  <c r="GP37" i="30"/>
  <c r="GT37" i="30"/>
  <c r="EJ37" i="30"/>
  <c r="FD37" i="30"/>
  <c r="FV37" i="30"/>
  <c r="DV37" i="30"/>
  <c r="GJ48" i="30"/>
  <c r="BS48" i="30"/>
  <c r="DZ48" i="30"/>
  <c r="IG48" i="30"/>
  <c r="BV48" i="30"/>
  <c r="IS48" i="30"/>
  <c r="CE48" i="30"/>
  <c r="DL48" i="30"/>
  <c r="DF48" i="30"/>
  <c r="HP48" i="30"/>
  <c r="BG48" i="30"/>
  <c r="EH48" i="30"/>
  <c r="EU48" i="30"/>
  <c r="IR48" i="30"/>
  <c r="ID48" i="30"/>
  <c r="HN48" i="30"/>
  <c r="FL48" i="30"/>
  <c r="CI48" i="30"/>
  <c r="BI48" i="30"/>
  <c r="DP48" i="30"/>
  <c r="FM48" i="30"/>
  <c r="CP48" i="30"/>
  <c r="FX48" i="30"/>
  <c r="AX48" i="30"/>
  <c r="II48" i="30"/>
  <c r="ED48" i="30"/>
  <c r="CT38" i="30"/>
  <c r="FO38" i="30"/>
  <c r="CP38" i="30"/>
  <c r="HA38" i="30"/>
  <c r="GV38" i="30"/>
  <c r="FC38" i="30"/>
  <c r="HC38" i="30"/>
  <c r="HY38" i="30"/>
  <c r="DU38" i="30"/>
  <c r="EU38" i="30"/>
  <c r="DZ38" i="30"/>
  <c r="BI38" i="30"/>
  <c r="IR38" i="30"/>
  <c r="GY51" i="30"/>
  <c r="GY85" i="30" s="1"/>
  <c r="EF51" i="30"/>
  <c r="EF85" i="30" s="1"/>
  <c r="IA51" i="30"/>
  <c r="IA85" i="30" s="1"/>
  <c r="ES51" i="30"/>
  <c r="ES85" i="30" s="1"/>
  <c r="II51" i="30"/>
  <c r="II85" i="30" s="1"/>
  <c r="EA51" i="30"/>
  <c r="EA85" i="30" s="1"/>
  <c r="EW51" i="30"/>
  <c r="EW85" i="30" s="1"/>
  <c r="DF51" i="30"/>
  <c r="DF85" i="30" s="1"/>
  <c r="CC51" i="30"/>
  <c r="CC85" i="30" s="1"/>
  <c r="CQ51" i="30"/>
  <c r="CQ85" i="30" s="1"/>
  <c r="EQ51" i="30"/>
  <c r="EQ85" i="30" s="1"/>
  <c r="BG51" i="30"/>
  <c r="BG85" i="30" s="1"/>
  <c r="HC51" i="30"/>
  <c r="HC85" i="30" s="1"/>
  <c r="DA51" i="30"/>
  <c r="DA85" i="30" s="1"/>
  <c r="DN51" i="30"/>
  <c r="DN85" i="30" s="1"/>
  <c r="FJ51" i="30"/>
  <c r="FJ85" i="30" s="1"/>
  <c r="DZ51" i="30"/>
  <c r="DZ85" i="30" s="1"/>
  <c r="BW51" i="30"/>
  <c r="BW85" i="30" s="1"/>
  <c r="BU51" i="30"/>
  <c r="BU85" i="30" s="1"/>
  <c r="GS51" i="30"/>
  <c r="GS85" i="30" s="1"/>
  <c r="CT51" i="30"/>
  <c r="CT85" i="30" s="1"/>
  <c r="HA51" i="30"/>
  <c r="HA85" i="30" s="1"/>
  <c r="CD51" i="30"/>
  <c r="CD85" i="30" s="1"/>
  <c r="GP51" i="30"/>
  <c r="GP85" i="30" s="1"/>
  <c r="FQ51" i="30"/>
  <c r="FQ85" i="30" s="1"/>
  <c r="BF51" i="30"/>
  <c r="BF85" i="30" s="1"/>
  <c r="FH39" i="30"/>
  <c r="IC37" i="30"/>
  <c r="BG37" i="30"/>
  <c r="EK37" i="30"/>
  <c r="FG37" i="30"/>
  <c r="CM37" i="30"/>
  <c r="HW37" i="30"/>
  <c r="H156" i="30"/>
  <c r="DM37" i="30"/>
  <c r="CT37" i="30"/>
  <c r="IP37" i="30"/>
  <c r="CI37" i="30"/>
  <c r="GK37" i="30"/>
  <c r="IN48" i="30"/>
  <c r="CR48" i="30"/>
  <c r="BR48" i="30"/>
  <c r="IC48" i="30"/>
  <c r="GY48" i="30"/>
  <c r="FY48" i="30"/>
  <c r="GN48" i="30"/>
  <c r="DG48" i="30"/>
  <c r="CU48" i="30"/>
  <c r="HI48" i="30"/>
  <c r="FK48" i="30"/>
  <c r="FO48" i="30"/>
  <c r="FC48" i="30"/>
  <c r="HL48" i="30"/>
  <c r="EN48" i="30"/>
  <c r="GL48" i="30"/>
  <c r="FS48" i="30"/>
  <c r="DX48" i="30"/>
  <c r="IU48" i="30"/>
  <c r="DJ48" i="30"/>
  <c r="HD48" i="30"/>
  <c r="HR48" i="30"/>
  <c r="BB48" i="30"/>
  <c r="DI48" i="30"/>
  <c r="EB48" i="30"/>
  <c r="IK38" i="30"/>
  <c r="IO38" i="30"/>
  <c r="HZ38" i="30"/>
  <c r="EO38" i="30"/>
  <c r="FG38" i="30"/>
  <c r="HL38" i="30"/>
  <c r="FT38" i="30"/>
  <c r="BN38" i="30"/>
  <c r="IF38" i="30"/>
  <c r="CA38" i="30"/>
  <c r="II38" i="30"/>
  <c r="ET38" i="30"/>
  <c r="EC38" i="30"/>
  <c r="GR51" i="30"/>
  <c r="GR85" i="30" s="1"/>
  <c r="DE51" i="30"/>
  <c r="DE85" i="30" s="1"/>
  <c r="CN51" i="30"/>
  <c r="CN85" i="30" s="1"/>
  <c r="GC51" i="30"/>
  <c r="GC85" i="30" s="1"/>
  <c r="BJ51" i="30"/>
  <c r="BJ85" i="30" s="1"/>
  <c r="FD51" i="30"/>
  <c r="FD85" i="30" s="1"/>
  <c r="EM51" i="30"/>
  <c r="EM85" i="30" s="1"/>
  <c r="CE51" i="30"/>
  <c r="CE85" i="30" s="1"/>
  <c r="GB51" i="30"/>
  <c r="GB85" i="30" s="1"/>
  <c r="BO51" i="30"/>
  <c r="BO85" i="30" s="1"/>
  <c r="AY51" i="30"/>
  <c r="AY85" i="30" s="1"/>
  <c r="EC51" i="30"/>
  <c r="EC85" i="30" s="1"/>
  <c r="GQ51" i="30"/>
  <c r="GQ85" i="30" s="1"/>
  <c r="GJ51" i="30"/>
  <c r="GJ85" i="30" s="1"/>
  <c r="FI51" i="30"/>
  <c r="FI85" i="30" s="1"/>
  <c r="IN51" i="30"/>
  <c r="IN85" i="30" s="1"/>
  <c r="GG51" i="30"/>
  <c r="GG85" i="30" s="1"/>
  <c r="IB51" i="30"/>
  <c r="IB85" i="30" s="1"/>
  <c r="ET51" i="30"/>
  <c r="ET85" i="30" s="1"/>
  <c r="FC51" i="30"/>
  <c r="FC85" i="30" s="1"/>
  <c r="CR51" i="30"/>
  <c r="CR85" i="30" s="1"/>
  <c r="EO51" i="30"/>
  <c r="EO85" i="30" s="1"/>
  <c r="DR51" i="30"/>
  <c r="DR85" i="30" s="1"/>
  <c r="FS51" i="30"/>
  <c r="FS85" i="30" s="1"/>
  <c r="DH51" i="30"/>
  <c r="DH85" i="30" s="1"/>
  <c r="HR51" i="30"/>
  <c r="HR85" i="30" s="1"/>
  <c r="EF42" i="30"/>
  <c r="EF76" i="30" s="1"/>
  <c r="BV42" i="30"/>
  <c r="BV76" i="30" s="1"/>
  <c r="DX42" i="30"/>
  <c r="DX76" i="30" s="1"/>
  <c r="CJ42" i="30"/>
  <c r="CJ76" i="30" s="1"/>
  <c r="GU42" i="30"/>
  <c r="GU76" i="30" s="1"/>
  <c r="EI42" i="30"/>
  <c r="EI76" i="30" s="1"/>
  <c r="HI42" i="30"/>
  <c r="HI76" i="30" s="1"/>
  <c r="GR42" i="30"/>
  <c r="GR76" i="30" s="1"/>
  <c r="FN42" i="30"/>
  <c r="FN76" i="30" s="1"/>
  <c r="BQ42" i="30"/>
  <c r="BQ76" i="30" s="1"/>
  <c r="FI42" i="30"/>
  <c r="FI76" i="30" s="1"/>
  <c r="DO42" i="30"/>
  <c r="DO76" i="30" s="1"/>
  <c r="BW42" i="30"/>
  <c r="BW76" i="30" s="1"/>
  <c r="IR42" i="30"/>
  <c r="IR76" i="30" s="1"/>
  <c r="FH42" i="30"/>
  <c r="FH76" i="30" s="1"/>
  <c r="DI42" i="30"/>
  <c r="DI76" i="30" s="1"/>
  <c r="HX42" i="30"/>
  <c r="HX76" i="30" s="1"/>
  <c r="CU42" i="30"/>
  <c r="CU76" i="30" s="1"/>
  <c r="HT42" i="30"/>
  <c r="HT76" i="30" s="1"/>
  <c r="BU42" i="30"/>
  <c r="BU76" i="30" s="1"/>
  <c r="EH42" i="30"/>
  <c r="EH76" i="30" s="1"/>
  <c r="ID42" i="30"/>
  <c r="ID76" i="30" s="1"/>
  <c r="BH42" i="30"/>
  <c r="BH76" i="30" s="1"/>
  <c r="II42" i="30"/>
  <c r="II76" i="30" s="1"/>
  <c r="EG42" i="30"/>
  <c r="EG76" i="30" s="1"/>
  <c r="DG42" i="30"/>
  <c r="DG76" i="30" s="1"/>
  <c r="EJ42" i="30"/>
  <c r="EJ76" i="30" s="1"/>
  <c r="EV42" i="30"/>
  <c r="EV76" i="30" s="1"/>
  <c r="BT42" i="30"/>
  <c r="BT76" i="30" s="1"/>
  <c r="HA42" i="30"/>
  <c r="HA76" i="30" s="1"/>
  <c r="AY42" i="30"/>
  <c r="AY76" i="30" s="1"/>
  <c r="EM42" i="30"/>
  <c r="EM76" i="30" s="1"/>
  <c r="GZ42" i="30"/>
  <c r="GZ76" i="30" s="1"/>
  <c r="CQ42" i="30"/>
  <c r="CQ76" i="30" s="1"/>
  <c r="CS42" i="30"/>
  <c r="CS76" i="30" s="1"/>
  <c r="CN42" i="30"/>
  <c r="CN76" i="30" s="1"/>
  <c r="CL42" i="30"/>
  <c r="CL76" i="30" s="1"/>
  <c r="IQ42" i="30"/>
  <c r="IQ76" i="30" s="1"/>
  <c r="HC42" i="30"/>
  <c r="HC76" i="30" s="1"/>
  <c r="HQ42" i="30"/>
  <c r="HQ76" i="30" s="1"/>
  <c r="DT42" i="30"/>
  <c r="DT76" i="30" s="1"/>
  <c r="GT42" i="30"/>
  <c r="GT76" i="30" s="1"/>
  <c r="DD42" i="30"/>
  <c r="DD76" i="30" s="1"/>
  <c r="GK42" i="30"/>
  <c r="GK76" i="30" s="1"/>
  <c r="HU42" i="30"/>
  <c r="HU76" i="30" s="1"/>
  <c r="HK42" i="30"/>
  <c r="HK76" i="30" s="1"/>
  <c r="FD42" i="30"/>
  <c r="FD76" i="30" s="1"/>
  <c r="GQ42" i="30"/>
  <c r="GQ76" i="30" s="1"/>
  <c r="EN42" i="30"/>
  <c r="EN76" i="30" s="1"/>
  <c r="DW42" i="30"/>
  <c r="DW76" i="30" s="1"/>
  <c r="DA42" i="30"/>
  <c r="DA76" i="30" s="1"/>
  <c r="CZ42" i="30"/>
  <c r="CZ76" i="30" s="1"/>
  <c r="GP42" i="30"/>
  <c r="GP76" i="30" s="1"/>
  <c r="FT42" i="30"/>
  <c r="FT76" i="30" s="1"/>
  <c r="IM49" i="30"/>
  <c r="CW49" i="30"/>
  <c r="DK49" i="30"/>
  <c r="BL49" i="30"/>
  <c r="IC49" i="30"/>
  <c r="HV49" i="30"/>
  <c r="GS49" i="30"/>
  <c r="GD49" i="30"/>
  <c r="IN49" i="30"/>
  <c r="DH49" i="30"/>
  <c r="FD49" i="30"/>
  <c r="IB49" i="30"/>
  <c r="EM49" i="30"/>
  <c r="H168" i="30"/>
  <c r="DQ49" i="30"/>
  <c r="BK49" i="30"/>
  <c r="HF49" i="30"/>
  <c r="GF49" i="30"/>
  <c r="FG49" i="30"/>
  <c r="BZ49" i="30"/>
  <c r="CI49" i="30"/>
  <c r="CJ49" i="30"/>
  <c r="GB49" i="30"/>
  <c r="BY49" i="30"/>
  <c r="ES49" i="30"/>
  <c r="BE43" i="30"/>
  <c r="BE77" i="30" s="1"/>
  <c r="DS43" i="30"/>
  <c r="DS77" i="30" s="1"/>
  <c r="IT43" i="30"/>
  <c r="IT77" i="30" s="1"/>
  <c r="EG43" i="30"/>
  <c r="EG77" i="30" s="1"/>
  <c r="FT43" i="30"/>
  <c r="FT77" i="30" s="1"/>
  <c r="EO43" i="30"/>
  <c r="EO77" i="30" s="1"/>
  <c r="BH43" i="30"/>
  <c r="BH77" i="30" s="1"/>
  <c r="HS43" i="30"/>
  <c r="HS77" i="30" s="1"/>
  <c r="IJ43" i="30"/>
  <c r="IJ77" i="30" s="1"/>
  <c r="CA43" i="30"/>
  <c r="CA77" i="30" s="1"/>
  <c r="DG43" i="30"/>
  <c r="DG77" i="30" s="1"/>
  <c r="FK43" i="30"/>
  <c r="FK77" i="30" s="1"/>
  <c r="FO43" i="30"/>
  <c r="FO77" i="30" s="1"/>
  <c r="ID43" i="30"/>
  <c r="ID77" i="30" s="1"/>
  <c r="FF43" i="30"/>
  <c r="FF77" i="30" s="1"/>
  <c r="GM43" i="30"/>
  <c r="GM77" i="30" s="1"/>
  <c r="GC43" i="30"/>
  <c r="GC77" i="30" s="1"/>
  <c r="BQ43" i="30"/>
  <c r="BQ77" i="30" s="1"/>
  <c r="FS43" i="30"/>
  <c r="FS77" i="30" s="1"/>
  <c r="ER43" i="30"/>
  <c r="ER77" i="30" s="1"/>
  <c r="BA43" i="30"/>
  <c r="BA77" i="30" s="1"/>
  <c r="EU43" i="30"/>
  <c r="EU77" i="30" s="1"/>
  <c r="FP43" i="30"/>
  <c r="FP77" i="30" s="1"/>
  <c r="DX43" i="30"/>
  <c r="DX77" i="30" s="1"/>
  <c r="GU43" i="30"/>
  <c r="GU77" i="30" s="1"/>
  <c r="FO45" i="30"/>
  <c r="DW45" i="30"/>
  <c r="ET45" i="30"/>
  <c r="CS45" i="30"/>
  <c r="HM45" i="30"/>
  <c r="DB45" i="30"/>
  <c r="IC45" i="30"/>
  <c r="GQ43" i="30"/>
  <c r="GQ77" i="30" s="1"/>
  <c r="HF43" i="30"/>
  <c r="HF77" i="30" s="1"/>
  <c r="BJ43" i="30"/>
  <c r="BJ77" i="30" s="1"/>
  <c r="DH43" i="30"/>
  <c r="DH77" i="30" s="1"/>
  <c r="DC43" i="30"/>
  <c r="DC77" i="30" s="1"/>
  <c r="GX43" i="30"/>
  <c r="GX77" i="30" s="1"/>
  <c r="BJ45" i="30"/>
  <c r="EW45" i="30"/>
  <c r="GS48" i="30"/>
  <c r="DE48" i="30"/>
  <c r="GF48" i="30"/>
  <c r="FH48" i="30"/>
  <c r="CH48" i="30"/>
  <c r="BW48" i="30"/>
  <c r="IA48" i="30"/>
  <c r="CL48" i="30"/>
  <c r="FU48" i="30"/>
  <c r="BZ48" i="30"/>
  <c r="DS48" i="30"/>
  <c r="EY48" i="30"/>
  <c r="BN48" i="30"/>
  <c r="GR48" i="30"/>
  <c r="EG48" i="30"/>
  <c r="HA48" i="30"/>
  <c r="EA48" i="30"/>
  <c r="GT48" i="30"/>
  <c r="CX48" i="30"/>
  <c r="HK48" i="30"/>
  <c r="IF48" i="30"/>
  <c r="ES48" i="30"/>
  <c r="CJ48" i="30"/>
  <c r="EP48" i="30"/>
  <c r="EQ48" i="30"/>
  <c r="CD48" i="30"/>
  <c r="HJ48" i="30"/>
  <c r="CT48" i="30"/>
  <c r="BU48" i="30"/>
  <c r="GI48" i="30"/>
  <c r="IK48" i="30"/>
  <c r="DH48" i="30"/>
  <c r="BX48" i="30"/>
  <c r="FZ48" i="30"/>
  <c r="GV48" i="30"/>
  <c r="HG48" i="30"/>
  <c r="FG48" i="30"/>
  <c r="CC48" i="30"/>
  <c r="BH48" i="30"/>
  <c r="GZ48" i="30"/>
  <c r="HH48" i="30"/>
  <c r="HY48" i="30"/>
  <c r="EI48" i="30"/>
  <c r="FE48" i="30"/>
  <c r="H167" i="30"/>
  <c r="CV48" i="30"/>
  <c r="DQ48" i="30"/>
  <c r="HQ48" i="30"/>
  <c r="DD48" i="30"/>
  <c r="HB48" i="30"/>
  <c r="CZ48" i="30"/>
  <c r="DA48" i="30"/>
  <c r="IH48" i="30"/>
  <c r="CK48" i="30"/>
  <c r="CM48" i="30"/>
  <c r="AY48" i="30"/>
  <c r="EJ48" i="30"/>
  <c r="DB48" i="30"/>
  <c r="GX48" i="30"/>
  <c r="FA48" i="30"/>
  <c r="FT48" i="30"/>
  <c r="IP48" i="30"/>
  <c r="IJ48" i="30"/>
  <c r="ER48" i="30"/>
  <c r="EE48" i="30"/>
  <c r="BL48" i="30"/>
  <c r="DM48" i="30"/>
  <c r="GG48" i="30"/>
  <c r="GW48" i="30"/>
  <c r="BE48" i="30"/>
  <c r="HV48" i="30"/>
  <c r="FQ48" i="30"/>
  <c r="BD48" i="30"/>
  <c r="DR48" i="30"/>
  <c r="DU48" i="30"/>
  <c r="BJ48" i="30"/>
  <c r="FV48" i="30"/>
  <c r="CB48" i="30"/>
  <c r="CN48" i="30"/>
  <c r="GQ48" i="30"/>
  <c r="FR48" i="30"/>
  <c r="HW48" i="30"/>
  <c r="DO48" i="30"/>
  <c r="EV48" i="30"/>
  <c r="CW48" i="30"/>
  <c r="BQ48" i="30"/>
  <c r="DT48" i="30"/>
  <c r="GP48" i="30"/>
  <c r="EZ48" i="30"/>
  <c r="IQ48" i="30"/>
  <c r="BK48" i="30"/>
  <c r="CA48" i="30"/>
  <c r="GH48" i="30"/>
  <c r="GM48" i="30"/>
  <c r="HE48" i="30"/>
  <c r="BO48" i="30"/>
  <c r="HC48" i="30"/>
  <c r="HZ48" i="30"/>
  <c r="DW48" i="30"/>
  <c r="GK48" i="30"/>
  <c r="DN48" i="30"/>
  <c r="DK48" i="30"/>
  <c r="GD48" i="30"/>
  <c r="CO48" i="30"/>
  <c r="IG46" i="30"/>
  <c r="CD46" i="30"/>
  <c r="IN46" i="30"/>
  <c r="GG46" i="30"/>
  <c r="BO46" i="30"/>
  <c r="GD46" i="30"/>
  <c r="DB49" i="30"/>
  <c r="FM49" i="30"/>
  <c r="DG49" i="30"/>
  <c r="DD49" i="30"/>
  <c r="GG49" i="30"/>
  <c r="BO49" i="30"/>
  <c r="GE49" i="30"/>
  <c r="FQ43" i="30"/>
  <c r="FQ77" i="30" s="1"/>
  <c r="BX43" i="30"/>
  <c r="BX77" i="30" s="1"/>
  <c r="CF43" i="30"/>
  <c r="CF77" i="30" s="1"/>
  <c r="DW43" i="30"/>
  <c r="DW77" i="30" s="1"/>
  <c r="GJ43" i="30"/>
  <c r="GJ77" i="30" s="1"/>
  <c r="EL43" i="30"/>
  <c r="EL77" i="30" s="1"/>
  <c r="GK45" i="30"/>
  <c r="HD43" i="30"/>
  <c r="HD77" i="30" s="1"/>
  <c r="FN53" i="30"/>
  <c r="FN87" i="30" s="1"/>
  <c r="EM53" i="30"/>
  <c r="EM87" i="30" s="1"/>
  <c r="DC53" i="30"/>
  <c r="DC87" i="30" s="1"/>
  <c r="EW53" i="30"/>
  <c r="EW87" i="30" s="1"/>
  <c r="DP53" i="30"/>
  <c r="DP87" i="30" s="1"/>
  <c r="BQ53" i="30"/>
  <c r="BQ87" i="30" s="1"/>
  <c r="BX53" i="30"/>
  <c r="BX87" i="30" s="1"/>
  <c r="GZ53" i="30"/>
  <c r="GZ87" i="30" s="1"/>
  <c r="IE53" i="30"/>
  <c r="IE87" i="30" s="1"/>
  <c r="EA53" i="30"/>
  <c r="EA87" i="30" s="1"/>
  <c r="IS53" i="30"/>
  <c r="IS87" i="30" s="1"/>
  <c r="HM53" i="30"/>
  <c r="HM87" i="30" s="1"/>
  <c r="DY53" i="30"/>
  <c r="DY87" i="30" s="1"/>
  <c r="HI50" i="30"/>
  <c r="HI84" i="30" s="1"/>
  <c r="IV50" i="30"/>
  <c r="IV84" i="30" s="1"/>
  <c r="BP50" i="30"/>
  <c r="BP84" i="30" s="1"/>
  <c r="BA50" i="30"/>
  <c r="BA84" i="30" s="1"/>
  <c r="BE50" i="30"/>
  <c r="BE84" i="30" s="1"/>
  <c r="BJ50" i="30"/>
  <c r="BJ84" i="30" s="1"/>
  <c r="FJ50" i="30"/>
  <c r="FJ84" i="30" s="1"/>
  <c r="DD50" i="30"/>
  <c r="DD84" i="30" s="1"/>
  <c r="GF50" i="30"/>
  <c r="GF84" i="30" s="1"/>
  <c r="EA50" i="30"/>
  <c r="EA84" i="30" s="1"/>
  <c r="FE50" i="30"/>
  <c r="FE84" i="30" s="1"/>
  <c r="EW50" i="30"/>
  <c r="EW84" i="30" s="1"/>
  <c r="GV50" i="30"/>
  <c r="GV84" i="30" s="1"/>
  <c r="EZ50" i="30"/>
  <c r="EZ84" i="30" s="1"/>
  <c r="FO50" i="30"/>
  <c r="FO84" i="30" s="1"/>
  <c r="GR50" i="30"/>
  <c r="GR84" i="30" s="1"/>
  <c r="FI50" i="30"/>
  <c r="FI84" i="30" s="1"/>
  <c r="BI50" i="30"/>
  <c r="BI84" i="30" s="1"/>
  <c r="AY50" i="30"/>
  <c r="AY84" i="30" s="1"/>
  <c r="GI51" i="30"/>
  <c r="GI85" i="30" s="1"/>
  <c r="FU51" i="30"/>
  <c r="FU85" i="30" s="1"/>
  <c r="GO51" i="30"/>
  <c r="GO85" i="30" s="1"/>
  <c r="HX51" i="30"/>
  <c r="HX85" i="30" s="1"/>
  <c r="DP51" i="30"/>
  <c r="DP85" i="30" s="1"/>
  <c r="CU51" i="30"/>
  <c r="CU85" i="30" s="1"/>
  <c r="DC51" i="30"/>
  <c r="DC85" i="30" s="1"/>
  <c r="BN51" i="30"/>
  <c r="BN85" i="30" s="1"/>
  <c r="IT51" i="30"/>
  <c r="IT85" i="30" s="1"/>
  <c r="DJ51" i="30"/>
  <c r="DJ85" i="30" s="1"/>
  <c r="FB51" i="30"/>
  <c r="FB85" i="30" s="1"/>
  <c r="BY51" i="30"/>
  <c r="BY85" i="30" s="1"/>
  <c r="IF51" i="30"/>
  <c r="IF85" i="30" s="1"/>
  <c r="HL51" i="30"/>
  <c r="HL85" i="30" s="1"/>
  <c r="BR51" i="30"/>
  <c r="BR85" i="30" s="1"/>
  <c r="HP51" i="30"/>
  <c r="HP85" i="30" s="1"/>
  <c r="EV51" i="30"/>
  <c r="EV85" i="30" s="1"/>
  <c r="DG51" i="30"/>
  <c r="DG85" i="30" s="1"/>
  <c r="IL51" i="30"/>
  <c r="IL85" i="30" s="1"/>
  <c r="EG51" i="30"/>
  <c r="EG85" i="30" s="1"/>
  <c r="EX51" i="30"/>
  <c r="EX85" i="30" s="1"/>
  <c r="GK51" i="30"/>
  <c r="GK85" i="30" s="1"/>
  <c r="HB51" i="30"/>
  <c r="HB85" i="30" s="1"/>
  <c r="HE51" i="30"/>
  <c r="HE85" i="30" s="1"/>
  <c r="H170" i="30"/>
  <c r="ER51" i="30"/>
  <c r="ER85" i="30" s="1"/>
  <c r="FE51" i="30"/>
  <c r="FE85" i="30" s="1"/>
  <c r="GT51" i="30"/>
  <c r="GT85" i="30" s="1"/>
  <c r="FM51" i="30"/>
  <c r="FM85" i="30" s="1"/>
  <c r="FZ51" i="30"/>
  <c r="FZ85" i="30" s="1"/>
  <c r="DW51" i="30"/>
  <c r="DW85" i="30" s="1"/>
  <c r="IS51" i="30"/>
  <c r="IS85" i="30" s="1"/>
  <c r="DB51" i="30"/>
  <c r="DB85" i="30" s="1"/>
  <c r="CA51" i="30"/>
  <c r="CA85" i="30" s="1"/>
  <c r="HW51" i="30"/>
  <c r="HW85" i="30" s="1"/>
  <c r="DD51" i="30"/>
  <c r="DD85" i="30" s="1"/>
  <c r="EN51" i="30"/>
  <c r="EN85" i="30" s="1"/>
  <c r="CM51" i="30"/>
  <c r="CM85" i="30" s="1"/>
  <c r="CS51" i="30"/>
  <c r="CS85" i="30" s="1"/>
  <c r="ED51" i="30"/>
  <c r="ED85" i="30" s="1"/>
  <c r="HN51" i="30"/>
  <c r="HN85" i="30" s="1"/>
  <c r="GA51" i="30"/>
  <c r="GA85" i="30" s="1"/>
  <c r="HM51" i="30"/>
  <c r="HM85" i="30" s="1"/>
  <c r="BC51" i="30"/>
  <c r="BC85" i="30" s="1"/>
  <c r="FG51" i="30"/>
  <c r="FG85" i="30" s="1"/>
  <c r="FV51" i="30"/>
  <c r="FV85" i="30" s="1"/>
  <c r="HJ51" i="30"/>
  <c r="HJ85" i="30" s="1"/>
  <c r="DX51" i="30"/>
  <c r="DX85" i="30" s="1"/>
  <c r="BS51" i="30"/>
  <c r="BS85" i="30" s="1"/>
  <c r="FF51" i="30"/>
  <c r="FF85" i="30" s="1"/>
  <c r="BL51" i="30"/>
  <c r="BL85" i="30" s="1"/>
  <c r="CO50" i="30"/>
  <c r="CO84" i="30" s="1"/>
  <c r="EV50" i="30"/>
  <c r="EV84" i="30" s="1"/>
  <c r="HK50" i="30"/>
  <c r="HK84" i="30" s="1"/>
  <c r="CB50" i="30"/>
  <c r="CB84" i="30" s="1"/>
  <c r="EK50" i="30"/>
  <c r="EK84" i="30" s="1"/>
  <c r="HU50" i="30"/>
  <c r="HU84" i="30" s="1"/>
  <c r="FX50" i="30"/>
  <c r="FX84" i="30" s="1"/>
  <c r="BL50" i="30"/>
  <c r="BL84" i="30" s="1"/>
  <c r="DP50" i="30"/>
  <c r="DP84" i="30" s="1"/>
  <c r="FV50" i="30"/>
  <c r="FV84" i="30" s="1"/>
  <c r="DE50" i="30"/>
  <c r="DE84" i="30" s="1"/>
  <c r="IQ50" i="30"/>
  <c r="IQ84" i="30" s="1"/>
  <c r="BN50" i="30"/>
  <c r="BN84" i="30" s="1"/>
  <c r="DW50" i="30"/>
  <c r="DW84" i="30" s="1"/>
  <c r="ET50" i="30"/>
  <c r="ET84" i="30" s="1"/>
  <c r="HJ50" i="30"/>
  <c r="HJ84" i="30" s="1"/>
  <c r="CZ50" i="30"/>
  <c r="CZ84" i="30" s="1"/>
  <c r="HV50" i="30"/>
  <c r="HV84" i="30" s="1"/>
  <c r="HY51" i="30"/>
  <c r="HY85" i="30" s="1"/>
  <c r="DV51" i="30"/>
  <c r="DV85" i="30" s="1"/>
  <c r="FA51" i="30"/>
  <c r="FA85" i="30" s="1"/>
  <c r="DY51" i="30"/>
  <c r="DY85" i="30" s="1"/>
  <c r="BI51" i="30"/>
  <c r="BI85" i="30" s="1"/>
  <c r="FN51" i="30"/>
  <c r="FN85" i="30" s="1"/>
  <c r="HV51" i="30"/>
  <c r="HV85" i="30" s="1"/>
  <c r="HI51" i="30"/>
  <c r="HI85" i="30" s="1"/>
  <c r="BH51" i="30"/>
  <c r="BH85" i="30" s="1"/>
  <c r="IC51" i="30"/>
  <c r="IC85" i="30" s="1"/>
  <c r="EZ51" i="30"/>
  <c r="EZ85" i="30" s="1"/>
  <c r="BX51" i="30"/>
  <c r="BX85" i="30" s="1"/>
  <c r="ID51" i="30"/>
  <c r="ID85" i="30" s="1"/>
  <c r="GU51" i="30"/>
  <c r="GU85" i="30" s="1"/>
  <c r="FK51" i="30"/>
  <c r="FK85" i="30" s="1"/>
  <c r="FX51" i="30"/>
  <c r="FX85" i="30" s="1"/>
  <c r="FO51" i="30"/>
  <c r="FO85" i="30" s="1"/>
  <c r="EL51" i="30"/>
  <c r="EL85" i="30" s="1"/>
  <c r="CF51" i="30"/>
  <c r="CF85" i="30" s="1"/>
  <c r="GD51" i="30"/>
  <c r="GD85" i="30" s="1"/>
  <c r="EI51" i="30"/>
  <c r="EI85" i="30" s="1"/>
  <c r="FL51" i="30"/>
  <c r="FL85" i="30" s="1"/>
  <c r="DI51" i="30"/>
  <c r="DI85" i="30" s="1"/>
  <c r="DM51" i="30"/>
  <c r="DM85" i="30" s="1"/>
  <c r="CO51" i="30"/>
  <c r="CO85" i="30" s="1"/>
  <c r="IE51" i="30"/>
  <c r="IE85" i="30" s="1"/>
  <c r="GV51" i="30"/>
  <c r="GV85" i="30" s="1"/>
  <c r="BZ51" i="30"/>
  <c r="BZ85" i="30" s="1"/>
  <c r="EP51" i="30"/>
  <c r="EP85" i="30" s="1"/>
  <c r="IH51" i="30"/>
  <c r="IH85" i="30" s="1"/>
  <c r="IO51" i="30"/>
  <c r="IO85" i="30" s="1"/>
  <c r="BT51" i="30"/>
  <c r="BT85" i="30" s="1"/>
  <c r="CL51" i="30"/>
  <c r="CL85" i="30" s="1"/>
  <c r="GZ51" i="30"/>
  <c r="GZ85" i="30" s="1"/>
  <c r="HT51" i="30"/>
  <c r="HT85" i="30" s="1"/>
  <c r="CJ51" i="30"/>
  <c r="CJ85" i="30" s="1"/>
  <c r="HH51" i="30"/>
  <c r="HH85" i="30" s="1"/>
  <c r="FR51" i="30"/>
  <c r="FR85" i="30" s="1"/>
  <c r="BQ51" i="30"/>
  <c r="BQ85" i="30" s="1"/>
  <c r="CP51" i="30"/>
  <c r="CP85" i="30" s="1"/>
  <c r="EE51" i="30"/>
  <c r="EE85" i="30" s="1"/>
  <c r="DT51" i="30"/>
  <c r="DT85" i="30" s="1"/>
  <c r="FP51" i="30"/>
  <c r="FP85" i="30" s="1"/>
  <c r="AX51" i="30"/>
  <c r="AX85" i="30" s="1"/>
  <c r="IG51" i="30"/>
  <c r="IG85" i="30" s="1"/>
  <c r="DQ51" i="30"/>
  <c r="DQ85" i="30" s="1"/>
  <c r="CG51" i="30"/>
  <c r="CG85" i="30" s="1"/>
  <c r="DU51" i="30"/>
  <c r="DU85" i="30" s="1"/>
  <c r="CY51" i="30"/>
  <c r="CY85" i="30" s="1"/>
  <c r="EK51" i="30"/>
  <c r="EK85" i="30" s="1"/>
  <c r="DS51" i="30"/>
  <c r="DS85" i="30" s="1"/>
  <c r="HD51" i="30"/>
  <c r="HD85" i="30" s="1"/>
  <c r="DI49" i="30"/>
  <c r="FA49" i="30"/>
  <c r="IV49" i="30"/>
  <c r="FS49" i="30"/>
  <c r="EU49" i="30"/>
  <c r="IJ49" i="30"/>
  <c r="CE49" i="30"/>
  <c r="CR49" i="30"/>
  <c r="BS49" i="30"/>
  <c r="GY49" i="30"/>
  <c r="BC49" i="30"/>
  <c r="FC49" i="30"/>
  <c r="BT49" i="30"/>
  <c r="HA49" i="30"/>
  <c r="FF49" i="30"/>
  <c r="GX49" i="30"/>
  <c r="ID49" i="30"/>
  <c r="CS49" i="30"/>
  <c r="HN49" i="30"/>
  <c r="IH49" i="30"/>
  <c r="GZ49" i="30"/>
  <c r="DE49" i="30"/>
  <c r="GO49" i="30"/>
  <c r="FT49" i="30"/>
  <c r="DA49" i="30"/>
  <c r="EO49" i="30"/>
  <c r="DS49" i="30"/>
  <c r="IP49" i="30"/>
  <c r="CL49" i="30"/>
  <c r="GK49" i="30"/>
  <c r="FY49" i="30"/>
  <c r="FX49" i="30"/>
  <c r="DY49" i="30"/>
  <c r="CM49" i="30"/>
  <c r="CP49" i="30"/>
  <c r="BX49" i="30"/>
  <c r="EF49" i="30"/>
  <c r="DL49" i="30"/>
  <c r="HG49" i="30"/>
  <c r="ER49" i="30"/>
  <c r="FL49" i="30"/>
  <c r="FO49" i="30"/>
  <c r="CC49" i="30"/>
  <c r="BW49" i="30"/>
  <c r="EK49" i="30"/>
  <c r="GM49" i="30"/>
  <c r="GR49" i="30"/>
  <c r="HW49" i="30"/>
  <c r="CX49" i="30"/>
  <c r="IR49" i="30"/>
  <c r="IO49" i="30"/>
  <c r="BP49" i="30"/>
  <c r="DM49" i="30"/>
  <c r="IF49" i="30"/>
  <c r="EA49" i="30"/>
  <c r="IG49" i="30"/>
  <c r="FH49" i="30"/>
  <c r="HM49" i="30"/>
  <c r="EJ49" i="30"/>
  <c r="DR49" i="30"/>
  <c r="GJ49" i="30"/>
  <c r="DO49" i="30"/>
  <c r="EH49" i="30"/>
  <c r="BQ49" i="30"/>
  <c r="GT49" i="30"/>
  <c r="BE49" i="30"/>
  <c r="IS49" i="30"/>
  <c r="HB49" i="30"/>
  <c r="GI49" i="30"/>
  <c r="BG49" i="30"/>
  <c r="CA49" i="30"/>
  <c r="BH49" i="30"/>
  <c r="HK49" i="30"/>
  <c r="HX49" i="30"/>
  <c r="BV49" i="30"/>
  <c r="CD49" i="30"/>
  <c r="IE49" i="30"/>
  <c r="BI49" i="30"/>
  <c r="CY49" i="30"/>
  <c r="HL49" i="30"/>
  <c r="CZ49" i="30"/>
  <c r="HP49" i="30"/>
  <c r="EI49" i="30"/>
  <c r="IA49" i="30"/>
  <c r="EB49" i="30"/>
  <c r="IK49" i="30"/>
  <c r="BJ49" i="30"/>
  <c r="FK49" i="30"/>
  <c r="HJ49" i="30"/>
  <c r="EX49" i="30"/>
  <c r="FU49" i="30"/>
  <c r="FI49" i="30"/>
  <c r="DZ49" i="30"/>
  <c r="EV49" i="30"/>
  <c r="FB49" i="30"/>
  <c r="GV49" i="30"/>
  <c r="CT49" i="30"/>
  <c r="EZ49" i="30"/>
  <c r="EC49" i="30"/>
  <c r="CF49" i="30"/>
  <c r="CG49" i="30"/>
  <c r="AX49" i="30"/>
  <c r="EL49" i="30"/>
  <c r="FR49" i="30"/>
  <c r="GH49" i="30"/>
  <c r="DV49" i="30"/>
  <c r="EY49" i="30"/>
  <c r="CU49" i="30"/>
  <c r="HC49" i="30"/>
  <c r="GA49" i="30"/>
  <c r="CN49" i="30"/>
  <c r="FE49" i="30"/>
  <c r="ED49" i="30"/>
  <c r="BF49" i="30"/>
  <c r="CQ49" i="30"/>
  <c r="II49" i="30"/>
  <c r="GC49" i="30"/>
  <c r="AY49" i="30"/>
  <c r="DP49" i="30"/>
  <c r="FJ49" i="30"/>
  <c r="CV49" i="30"/>
  <c r="BU49" i="30"/>
  <c r="EQ49" i="30"/>
  <c r="FZ49" i="30"/>
  <c r="CH49" i="30"/>
  <c r="DT49" i="30"/>
  <c r="AZ49" i="30"/>
  <c r="BM49" i="30"/>
  <c r="HI49" i="30"/>
  <c r="GL49" i="30"/>
  <c r="CO49" i="30"/>
  <c r="BN49" i="30"/>
  <c r="GQ49" i="30"/>
  <c r="ET49" i="30"/>
  <c r="GP49" i="30"/>
  <c r="FW49" i="30"/>
  <c r="EE49" i="30"/>
  <c r="DX49" i="30"/>
  <c r="HS49" i="30"/>
  <c r="FP49" i="30"/>
  <c r="HO49" i="30"/>
  <c r="DF49" i="30"/>
  <c r="HQ49" i="30"/>
  <c r="IU49" i="30"/>
  <c r="GN49" i="30"/>
  <c r="HY49" i="30"/>
  <c r="HZ49" i="30"/>
  <c r="CK49" i="30"/>
  <c r="EG49" i="30"/>
  <c r="EP49" i="30"/>
  <c r="BR49" i="30"/>
  <c r="DU49" i="30"/>
  <c r="BD49" i="30"/>
  <c r="FN49" i="30"/>
  <c r="HR49" i="30"/>
  <c r="CO43" i="30"/>
  <c r="CO77" i="30" s="1"/>
  <c r="GF43" i="30"/>
  <c r="GF77" i="30" s="1"/>
  <c r="EB43" i="30"/>
  <c r="EB77" i="30" s="1"/>
  <c r="CO42" i="30"/>
  <c r="CO76" i="30" s="1"/>
  <c r="HO42" i="30"/>
  <c r="HO76" i="30" s="1"/>
  <c r="CM42" i="30"/>
  <c r="CM76" i="30" s="1"/>
  <c r="CX42" i="30"/>
  <c r="CX76" i="30" s="1"/>
  <c r="HH42" i="30"/>
  <c r="HH76" i="30" s="1"/>
  <c r="GX42" i="30"/>
  <c r="GX76" i="30" s="1"/>
  <c r="DP42" i="30"/>
  <c r="DP76" i="30" s="1"/>
  <c r="H161" i="30"/>
  <c r="IJ42" i="30"/>
  <c r="IJ76" i="30" s="1"/>
  <c r="EB42" i="30"/>
  <c r="EB76" i="30" s="1"/>
  <c r="EA42" i="30"/>
  <c r="EA76" i="30" s="1"/>
  <c r="IK42" i="30"/>
  <c r="IK76" i="30" s="1"/>
  <c r="DY42" i="30"/>
  <c r="DY76" i="30" s="1"/>
  <c r="HN42" i="30"/>
  <c r="HN76" i="30" s="1"/>
  <c r="BL42" i="30"/>
  <c r="BL76" i="30" s="1"/>
  <c r="CH42" i="30"/>
  <c r="CH76" i="30" s="1"/>
  <c r="DL42" i="30"/>
  <c r="DL76" i="30" s="1"/>
  <c r="DB42" i="30"/>
  <c r="DB76" i="30" s="1"/>
  <c r="EX42" i="30"/>
  <c r="EX76" i="30" s="1"/>
  <c r="BD42" i="30"/>
  <c r="BD76" i="30" s="1"/>
  <c r="FL42" i="30"/>
  <c r="FL76" i="30" s="1"/>
  <c r="AZ42" i="30"/>
  <c r="AZ76" i="30" s="1"/>
  <c r="EZ42" i="30"/>
  <c r="EZ76" i="30" s="1"/>
  <c r="CG42" i="30"/>
  <c r="CG76" i="30" s="1"/>
  <c r="CK42" i="30"/>
  <c r="CK76" i="30" s="1"/>
  <c r="CW42" i="30"/>
  <c r="CW76" i="30" s="1"/>
  <c r="EY42" i="30"/>
  <c r="EY76" i="30" s="1"/>
  <c r="CE42" i="30"/>
  <c r="CE76" i="30" s="1"/>
  <c r="IS42" i="30"/>
  <c r="IS76" i="30" s="1"/>
  <c r="BR42" i="30"/>
  <c r="BR76" i="30" s="1"/>
  <c r="HW42" i="30"/>
  <c r="HW76" i="30" s="1"/>
  <c r="IH42" i="30"/>
  <c r="IH76" i="30" s="1"/>
  <c r="EL42" i="30"/>
  <c r="EL76" i="30" s="1"/>
  <c r="FE42" i="30"/>
  <c r="FE76" i="30" s="1"/>
  <c r="IT42" i="30"/>
  <c r="IT76" i="30" s="1"/>
  <c r="EP42" i="30"/>
  <c r="EP76" i="30" s="1"/>
  <c r="AX42" i="30"/>
  <c r="AX76" i="30" s="1"/>
  <c r="CR42" i="30"/>
  <c r="CR76" i="30" s="1"/>
  <c r="GN42" i="30"/>
  <c r="GN76" i="30" s="1"/>
  <c r="IO42" i="30"/>
  <c r="IO76" i="30" s="1"/>
  <c r="IP42" i="30"/>
  <c r="IP76" i="30" s="1"/>
  <c r="BK42" i="30"/>
  <c r="BK76" i="30" s="1"/>
  <c r="CT42" i="30"/>
  <c r="CT76" i="30" s="1"/>
  <c r="FK42" i="30"/>
  <c r="FK76" i="30" s="1"/>
  <c r="BZ42" i="30"/>
  <c r="BZ76" i="30" s="1"/>
  <c r="FA42" i="30"/>
  <c r="FA76" i="30" s="1"/>
  <c r="GO42" i="30"/>
  <c r="GO76" i="30" s="1"/>
  <c r="FZ42" i="30"/>
  <c r="FZ76" i="30" s="1"/>
  <c r="DN42" i="30"/>
  <c r="DN76" i="30" s="1"/>
  <c r="CI42" i="30"/>
  <c r="CI76" i="30" s="1"/>
  <c r="GI42" i="30"/>
  <c r="GI76" i="30" s="1"/>
  <c r="IC42" i="30"/>
  <c r="IC76" i="30" s="1"/>
  <c r="IB42" i="30"/>
  <c r="IB76" i="30" s="1"/>
  <c r="IF42" i="30"/>
  <c r="IF76" i="30" s="1"/>
  <c r="FQ42" i="30"/>
  <c r="FQ76" i="30" s="1"/>
  <c r="HZ42" i="30"/>
  <c r="HZ76" i="30" s="1"/>
  <c r="IU42" i="30"/>
  <c r="IU76" i="30" s="1"/>
  <c r="EO42" i="30"/>
  <c r="EO76" i="30" s="1"/>
  <c r="GW42" i="30"/>
  <c r="GW76" i="30" s="1"/>
  <c r="DC42" i="30"/>
  <c r="DC76" i="30" s="1"/>
  <c r="FR42" i="30"/>
  <c r="FR76" i="30" s="1"/>
  <c r="GJ42" i="30"/>
  <c r="GJ76" i="30" s="1"/>
  <c r="FW42" i="30"/>
  <c r="FW76" i="30" s="1"/>
  <c r="DE42" i="30"/>
  <c r="DE76" i="30" s="1"/>
  <c r="BN42" i="30"/>
  <c r="BN76" i="30" s="1"/>
  <c r="FF42" i="30"/>
  <c r="FF76" i="30" s="1"/>
  <c r="HR42" i="30"/>
  <c r="HR76" i="30" s="1"/>
  <c r="HM42" i="30"/>
  <c r="HM76" i="30" s="1"/>
  <c r="FV42" i="30"/>
  <c r="FV76" i="30" s="1"/>
  <c r="IV42" i="30"/>
  <c r="IV76" i="30" s="1"/>
  <c r="GM42" i="30"/>
  <c r="GM76" i="30" s="1"/>
  <c r="FO42" i="30"/>
  <c r="FO76" i="30" s="1"/>
  <c r="CC42" i="30"/>
  <c r="CC76" i="30" s="1"/>
  <c r="CD42" i="30"/>
  <c r="CD76" i="30" s="1"/>
  <c r="HF42" i="30"/>
  <c r="HF76" i="30" s="1"/>
  <c r="CB42" i="30"/>
  <c r="CB76" i="30" s="1"/>
  <c r="HG42" i="30"/>
  <c r="HG76" i="30" s="1"/>
  <c r="CA42" i="30"/>
  <c r="CA76" i="30" s="1"/>
  <c r="HA43" i="30"/>
  <c r="HA77" i="30" s="1"/>
  <c r="GZ43" i="30"/>
  <c r="GZ77" i="30" s="1"/>
  <c r="CG43" i="30"/>
  <c r="CG77" i="30" s="1"/>
  <c r="FV43" i="30"/>
  <c r="FV77" i="30" s="1"/>
  <c r="EX43" i="30"/>
  <c r="EX77" i="30" s="1"/>
  <c r="IE43" i="30"/>
  <c r="IE77" i="30" s="1"/>
  <c r="CW43" i="30"/>
  <c r="CW77" i="30" s="1"/>
  <c r="ED43" i="30"/>
  <c r="ED77" i="30" s="1"/>
  <c r="EM43" i="30"/>
  <c r="EM77" i="30" s="1"/>
  <c r="EJ43" i="30"/>
  <c r="EJ77" i="30" s="1"/>
  <c r="EC43" i="30"/>
  <c r="EC77" i="30" s="1"/>
  <c r="IO43" i="30"/>
  <c r="IO77" i="30" s="1"/>
  <c r="HC43" i="30"/>
  <c r="HC77" i="30" s="1"/>
  <c r="IL43" i="30"/>
  <c r="IL77" i="30" s="1"/>
  <c r="BY43" i="30"/>
  <c r="BY77" i="30" s="1"/>
  <c r="BB43" i="30"/>
  <c r="BB77" i="30" s="1"/>
  <c r="DO43" i="30"/>
  <c r="DO77" i="30" s="1"/>
  <c r="FX43" i="30"/>
  <c r="FX77" i="30" s="1"/>
  <c r="GO43" i="30"/>
  <c r="GO77" i="30" s="1"/>
  <c r="AY43" i="30"/>
  <c r="AY77" i="30" s="1"/>
  <c r="FZ43" i="30"/>
  <c r="FZ77" i="30" s="1"/>
  <c r="IQ43" i="30"/>
  <c r="IQ77" i="30" s="1"/>
  <c r="BU43" i="30"/>
  <c r="BU77" i="30" s="1"/>
  <c r="IH43" i="30"/>
  <c r="IH77" i="30" s="1"/>
  <c r="GV43" i="30"/>
  <c r="GV77" i="30" s="1"/>
  <c r="CB43" i="30"/>
  <c r="CB77" i="30" s="1"/>
  <c r="FB43" i="30"/>
  <c r="FB77" i="30" s="1"/>
  <c r="BL43" i="30"/>
  <c r="BL77" i="30" s="1"/>
  <c r="IK43" i="30"/>
  <c r="IK77" i="30" s="1"/>
  <c r="DA43" i="30"/>
  <c r="DA77" i="30" s="1"/>
  <c r="EQ43" i="30"/>
  <c r="EQ77" i="30" s="1"/>
  <c r="CI43" i="30"/>
  <c r="CI77" i="30" s="1"/>
  <c r="DM43" i="30"/>
  <c r="DM77" i="30" s="1"/>
  <c r="GL43" i="30"/>
  <c r="GL77" i="30" s="1"/>
  <c r="DZ43" i="30"/>
  <c r="DZ77" i="30" s="1"/>
  <c r="DV43" i="30"/>
  <c r="DV77" i="30" s="1"/>
  <c r="DN43" i="30"/>
  <c r="DN77" i="30" s="1"/>
  <c r="HO43" i="30"/>
  <c r="HO77" i="30" s="1"/>
  <c r="GG43" i="30"/>
  <c r="GG77" i="30" s="1"/>
  <c r="BT43" i="30"/>
  <c r="BT77" i="30" s="1"/>
  <c r="HP43" i="30"/>
  <c r="HP77" i="30" s="1"/>
  <c r="GP43" i="30"/>
  <c r="GP77" i="30" s="1"/>
  <c r="IF43" i="30"/>
  <c r="IF77" i="30" s="1"/>
  <c r="GR43" i="30"/>
  <c r="GR77" i="30" s="1"/>
  <c r="AZ43" i="30"/>
  <c r="AZ77" i="30" s="1"/>
  <c r="CE43" i="30"/>
  <c r="CE77" i="30" s="1"/>
  <c r="HK43" i="30"/>
  <c r="HK77" i="30" s="1"/>
  <c r="CT43" i="30"/>
  <c r="CT77" i="30" s="1"/>
  <c r="GY43" i="30"/>
  <c r="GY77" i="30" s="1"/>
  <c r="HG43" i="30"/>
  <c r="HG77" i="30" s="1"/>
  <c r="BR43" i="30"/>
  <c r="BR77" i="30" s="1"/>
  <c r="HT43" i="30"/>
  <c r="HT77" i="30" s="1"/>
  <c r="DF43" i="30"/>
  <c r="DF77" i="30" s="1"/>
  <c r="DY43" i="30"/>
  <c r="DY77" i="30" s="1"/>
  <c r="DT43" i="30"/>
  <c r="DT77" i="30" s="1"/>
  <c r="FC43" i="30"/>
  <c r="FC77" i="30" s="1"/>
  <c r="FE43" i="30"/>
  <c r="FE77" i="30" s="1"/>
  <c r="FD43" i="30"/>
  <c r="FD77" i="30" s="1"/>
  <c r="EY43" i="30"/>
  <c r="EY77" i="30" s="1"/>
  <c r="GA43" i="30"/>
  <c r="GA77" i="30" s="1"/>
  <c r="BG43" i="30"/>
  <c r="BG77" i="30" s="1"/>
  <c r="CY43" i="30"/>
  <c r="CY77" i="30" s="1"/>
  <c r="ET43" i="30"/>
  <c r="ET77" i="30" s="1"/>
  <c r="H162" i="30"/>
  <c r="HX43" i="30"/>
  <c r="HX77" i="30" s="1"/>
  <c r="DJ43" i="30"/>
  <c r="DJ77" i="30" s="1"/>
  <c r="DU43" i="30"/>
  <c r="DU77" i="30" s="1"/>
  <c r="HH43" i="30"/>
  <c r="HH77" i="30" s="1"/>
  <c r="IM43" i="30"/>
  <c r="IM77" i="30" s="1"/>
  <c r="FM43" i="30"/>
  <c r="FM77" i="30" s="1"/>
  <c r="CQ43" i="30"/>
  <c r="CQ77" i="30" s="1"/>
  <c r="FR43" i="30"/>
  <c r="FR77" i="30" s="1"/>
  <c r="FG43" i="30"/>
  <c r="FG77" i="30" s="1"/>
  <c r="CM43" i="30"/>
  <c r="CM77" i="30" s="1"/>
  <c r="CN43" i="30"/>
  <c r="CN77" i="30" s="1"/>
  <c r="BC43" i="30"/>
  <c r="BC77" i="30" s="1"/>
  <c r="BP43" i="30"/>
  <c r="BP77" i="30" s="1"/>
  <c r="HZ43" i="30"/>
  <c r="HZ77" i="30" s="1"/>
  <c r="EW43" i="30"/>
  <c r="EW77" i="30" s="1"/>
  <c r="CL43" i="30"/>
  <c r="CL77" i="30" s="1"/>
  <c r="GN43" i="30"/>
  <c r="GN77" i="30" s="1"/>
  <c r="GK43" i="30"/>
  <c r="GK77" i="30" s="1"/>
  <c r="DE43" i="30"/>
  <c r="DE77" i="30" s="1"/>
  <c r="DI43" i="30"/>
  <c r="DI77" i="30" s="1"/>
  <c r="BD43" i="30"/>
  <c r="BD77" i="30" s="1"/>
  <c r="HM43" i="30"/>
  <c r="HM77" i="30" s="1"/>
  <c r="GH43" i="30"/>
  <c r="GH77" i="30" s="1"/>
  <c r="EK43" i="30"/>
  <c r="EK77" i="30" s="1"/>
  <c r="HL43" i="30"/>
  <c r="HL77" i="30" s="1"/>
  <c r="FA43" i="30"/>
  <c r="FA77" i="30" s="1"/>
  <c r="HJ43" i="30"/>
  <c r="HJ77" i="30" s="1"/>
  <c r="GW43" i="30"/>
  <c r="GW77" i="30" s="1"/>
  <c r="BV43" i="30"/>
  <c r="BV77" i="30" s="1"/>
  <c r="BS43" i="30"/>
  <c r="BS77" i="30" s="1"/>
  <c r="FJ43" i="30"/>
  <c r="FJ77" i="30" s="1"/>
  <c r="DL43" i="30"/>
  <c r="DL77" i="30" s="1"/>
  <c r="FH43" i="30"/>
  <c r="FH77" i="30" s="1"/>
  <c r="DK43" i="30"/>
  <c r="DK77" i="30" s="1"/>
  <c r="DB43" i="30"/>
  <c r="DB77" i="30" s="1"/>
  <c r="HI43" i="30"/>
  <c r="HI77" i="30" s="1"/>
  <c r="BF43" i="30"/>
  <c r="BF77" i="30" s="1"/>
  <c r="CU43" i="30"/>
  <c r="CU77" i="30" s="1"/>
  <c r="IS43" i="30"/>
  <c r="IS77" i="30" s="1"/>
  <c r="GD43" i="30"/>
  <c r="GD77" i="30" s="1"/>
  <c r="CC43" i="30"/>
  <c r="CC77" i="30" s="1"/>
  <c r="BW43" i="30"/>
  <c r="BW77" i="30" s="1"/>
  <c r="IN43" i="30"/>
  <c r="IN77" i="30" s="1"/>
  <c r="FI43" i="30"/>
  <c r="FI77" i="30" s="1"/>
  <c r="AX43" i="30"/>
  <c r="AX77" i="30" s="1"/>
  <c r="BM43" i="30"/>
  <c r="BM77" i="30" s="1"/>
  <c r="IR43" i="30"/>
  <c r="IR77" i="30" s="1"/>
  <c r="IV43" i="30"/>
  <c r="IV77" i="30" s="1"/>
  <c r="HN43" i="30"/>
  <c r="HN77" i="30" s="1"/>
  <c r="EV43" i="30"/>
  <c r="EV77" i="30" s="1"/>
  <c r="CP43" i="30"/>
  <c r="CP77" i="30" s="1"/>
  <c r="IA43" i="30"/>
  <c r="IA77" i="30" s="1"/>
  <c r="GT43" i="30"/>
  <c r="GT77" i="30" s="1"/>
  <c r="EP43" i="30"/>
  <c r="EP77" i="30" s="1"/>
  <c r="HV43" i="30"/>
  <c r="HV77" i="30" s="1"/>
  <c r="FL43" i="30"/>
  <c r="FL77" i="30" s="1"/>
  <c r="EN43" i="30"/>
  <c r="EN77" i="30" s="1"/>
  <c r="BI43" i="30"/>
  <c r="BI77" i="30" s="1"/>
  <c r="FY43" i="30"/>
  <c r="FY77" i="30" s="1"/>
  <c r="CK43" i="30"/>
  <c r="CK77" i="30" s="1"/>
  <c r="II43" i="30"/>
  <c r="II77" i="30" s="1"/>
  <c r="CS43" i="30"/>
  <c r="CS77" i="30" s="1"/>
  <c r="CD43" i="30"/>
  <c r="CD77" i="30" s="1"/>
  <c r="BS42" i="30"/>
  <c r="BS76" i="30" s="1"/>
  <c r="GE42" i="30"/>
  <c r="GE76" i="30" s="1"/>
  <c r="DZ42" i="30"/>
  <c r="DZ76" i="30" s="1"/>
  <c r="BP42" i="30"/>
  <c r="BP76" i="30" s="1"/>
  <c r="HV42" i="30"/>
  <c r="HV76" i="30" s="1"/>
  <c r="BJ42" i="30"/>
  <c r="BJ76" i="30" s="1"/>
  <c r="ER42" i="30"/>
  <c r="ER76" i="30" s="1"/>
  <c r="HE42" i="30"/>
  <c r="HE76" i="30" s="1"/>
  <c r="DJ42" i="30"/>
  <c r="DJ76" i="30" s="1"/>
  <c r="GG42" i="30"/>
  <c r="GG76" i="30" s="1"/>
  <c r="DS42" i="30"/>
  <c r="DS76" i="30" s="1"/>
  <c r="FU42" i="30"/>
  <c r="FU76" i="30" s="1"/>
  <c r="FM42" i="30"/>
  <c r="FM76" i="30" s="1"/>
  <c r="EW42" i="30"/>
  <c r="EW76" i="30" s="1"/>
  <c r="GL42" i="30"/>
  <c r="GL76" i="30" s="1"/>
  <c r="HP42" i="30"/>
  <c r="HP76" i="30" s="1"/>
  <c r="GY42" i="30"/>
  <c r="GY76" i="30" s="1"/>
  <c r="IA42" i="30"/>
  <c r="IA76" i="30" s="1"/>
  <c r="HJ42" i="30"/>
  <c r="HJ76" i="30" s="1"/>
  <c r="HE43" i="30"/>
  <c r="HE77" i="30" s="1"/>
  <c r="DK42" i="30"/>
  <c r="DK76" i="30" s="1"/>
  <c r="BE42" i="30"/>
  <c r="BE76" i="30" s="1"/>
  <c r="DV42" i="30"/>
  <c r="DV76" i="30" s="1"/>
  <c r="BM42" i="30"/>
  <c r="BM76" i="30" s="1"/>
  <c r="FJ42" i="30"/>
  <c r="FJ76" i="30" s="1"/>
  <c r="GS42" i="30"/>
  <c r="GS76" i="30" s="1"/>
  <c r="CY42" i="30"/>
  <c r="CY76" i="30" s="1"/>
  <c r="BG42" i="30"/>
  <c r="BG76" i="30" s="1"/>
  <c r="FS42" i="30"/>
  <c r="FS76" i="30" s="1"/>
  <c r="ES42" i="30"/>
  <c r="ES76" i="30" s="1"/>
  <c r="CP42" i="30"/>
  <c r="CP76" i="30" s="1"/>
  <c r="BB42" i="30"/>
  <c r="BB76" i="30" s="1"/>
  <c r="GV42" i="30"/>
  <c r="GV76" i="30" s="1"/>
  <c r="GC42" i="30"/>
  <c r="GC76" i="30" s="1"/>
  <c r="EC42" i="30"/>
  <c r="EC76" i="30" s="1"/>
  <c r="BI42" i="30"/>
  <c r="BI76" i="30" s="1"/>
  <c r="GF42" i="30"/>
  <c r="GF76" i="30" s="1"/>
  <c r="GD42" i="30"/>
  <c r="GD76" i="30" s="1"/>
  <c r="BX42" i="30"/>
  <c r="BX76" i="30" s="1"/>
  <c r="IG42" i="30"/>
  <c r="IG76" i="30" s="1"/>
  <c r="IL42" i="30"/>
  <c r="IL76" i="30" s="1"/>
  <c r="ED42" i="30"/>
  <c r="ED76" i="30" s="1"/>
  <c r="DU42" i="30"/>
  <c r="DU76" i="30" s="1"/>
  <c r="BA42" i="30"/>
  <c r="BA76" i="30" s="1"/>
  <c r="EQ42" i="30"/>
  <c r="EQ76" i="30" s="1"/>
  <c r="DF42" i="30"/>
  <c r="DF76" i="30" s="1"/>
  <c r="HL42" i="30"/>
  <c r="HL76" i="30" s="1"/>
  <c r="GA42" i="30"/>
  <c r="GA76" i="30" s="1"/>
  <c r="BC42" i="30"/>
  <c r="BC76" i="30" s="1"/>
  <c r="EU42" i="30"/>
  <c r="EU76" i="30" s="1"/>
  <c r="FX42" i="30"/>
  <c r="FX76" i="30" s="1"/>
  <c r="BO42" i="30"/>
  <c r="BO76" i="30" s="1"/>
  <c r="DM42" i="30"/>
  <c r="DM76" i="30" s="1"/>
  <c r="FY42" i="30"/>
  <c r="FY76" i="30" s="1"/>
  <c r="CF42" i="30"/>
  <c r="CF76" i="30" s="1"/>
  <c r="GB42" i="30"/>
  <c r="GB76" i="30" s="1"/>
  <c r="ET42" i="30"/>
  <c r="ET76" i="30" s="1"/>
  <c r="EA43" i="30"/>
  <c r="EA77" i="30" s="1"/>
  <c r="HU43" i="30"/>
  <c r="HU77" i="30" s="1"/>
  <c r="GE43" i="30"/>
  <c r="GE77" i="30" s="1"/>
  <c r="ES43" i="30"/>
  <c r="ES77" i="30" s="1"/>
  <c r="CJ43" i="30"/>
  <c r="CJ77" i="30" s="1"/>
  <c r="BN43" i="30"/>
  <c r="BN77" i="30" s="1"/>
  <c r="IC43" i="30"/>
  <c r="IC77" i="30" s="1"/>
  <c r="DR43" i="30"/>
  <c r="DR77" i="30" s="1"/>
  <c r="GS43" i="30"/>
  <c r="GS77" i="30" s="1"/>
  <c r="GB43" i="30"/>
  <c r="GB77" i="30" s="1"/>
  <c r="HW43" i="30"/>
  <c r="HW77" i="30" s="1"/>
  <c r="IG43" i="30"/>
  <c r="IG77" i="30" s="1"/>
  <c r="CX43" i="30"/>
  <c r="CX77" i="30" s="1"/>
  <c r="BO43" i="30"/>
  <c r="BO77" i="30" s="1"/>
  <c r="HQ43" i="30"/>
  <c r="HQ77" i="30" s="1"/>
  <c r="CH43" i="30"/>
  <c r="CH77" i="30" s="1"/>
  <c r="CR43" i="30"/>
  <c r="CR77" i="30" s="1"/>
  <c r="FU43" i="30"/>
  <c r="FU77" i="30" s="1"/>
  <c r="CV43" i="30"/>
  <c r="CV77" i="30" s="1"/>
  <c r="GI43" i="30"/>
  <c r="GI77" i="30" s="1"/>
  <c r="HY43" i="30"/>
  <c r="HY77" i="30" s="1"/>
  <c r="HR43" i="30"/>
  <c r="HR77" i="30" s="1"/>
  <c r="EE43" i="30"/>
  <c r="EE77" i="30" s="1"/>
  <c r="BZ43" i="30"/>
  <c r="BZ77" i="30" s="1"/>
  <c r="EI43" i="30"/>
  <c r="EI77" i="30" s="1"/>
  <c r="CZ43" i="30"/>
  <c r="CZ77" i="30" s="1"/>
  <c r="HS39" i="30"/>
  <c r="DX39" i="30"/>
  <c r="HK39" i="30"/>
  <c r="DM39" i="30"/>
  <c r="BY39" i="30"/>
  <c r="FX39" i="30"/>
  <c r="BF39" i="30"/>
  <c r="BN39" i="30"/>
  <c r="DI39" i="30"/>
  <c r="HR39" i="30"/>
  <c r="HP37" i="30"/>
  <c r="HK37" i="30"/>
  <c r="BP37" i="30"/>
  <c r="IQ37" i="30"/>
  <c r="GO37" i="30"/>
  <c r="HD37" i="30"/>
  <c r="ER37" i="30"/>
  <c r="GN37" i="30"/>
  <c r="DD37" i="30"/>
  <c r="HM37" i="30"/>
  <c r="GW37" i="30"/>
  <c r="DO37" i="30"/>
  <c r="BI37" i="30"/>
  <c r="ED37" i="30"/>
  <c r="IF37" i="30"/>
  <c r="BK37" i="30"/>
  <c r="DP37" i="30"/>
  <c r="GB37" i="30"/>
  <c r="HO37" i="30"/>
  <c r="FC37" i="30"/>
  <c r="DU37" i="30"/>
  <c r="FF37" i="30"/>
  <c r="IG37" i="30"/>
  <c r="DZ37" i="30"/>
  <c r="CK37" i="30"/>
  <c r="DW37" i="30"/>
  <c r="EM37" i="30"/>
  <c r="IL37" i="30"/>
  <c r="CB37" i="30"/>
  <c r="CZ37" i="30"/>
  <c r="GQ37" i="30"/>
  <c r="EQ37" i="30"/>
  <c r="EN37" i="30"/>
  <c r="HL37" i="30"/>
  <c r="DT37" i="30"/>
  <c r="AY37" i="30"/>
  <c r="CJ37" i="30"/>
  <c r="ES37" i="30"/>
  <c r="HS37" i="30"/>
  <c r="CA37" i="30"/>
  <c r="FX37" i="30"/>
  <c r="CV37" i="30"/>
  <c r="EA37" i="30"/>
  <c r="CG37" i="30"/>
  <c r="FB37" i="30"/>
  <c r="IR37" i="30"/>
  <c r="IP52" i="30"/>
  <c r="GA52" i="30"/>
  <c r="FU52" i="30"/>
  <c r="FQ52" i="30"/>
  <c r="IR52" i="30"/>
  <c r="CV50" i="30"/>
  <c r="CV84" i="30" s="1"/>
  <c r="H169" i="30"/>
  <c r="BB50" i="30"/>
  <c r="BB84" i="30" s="1"/>
  <c r="CY50" i="30"/>
  <c r="CY84" i="30" s="1"/>
  <c r="HW50" i="30"/>
  <c r="HW84" i="30" s="1"/>
  <c r="BK50" i="30"/>
  <c r="BK84" i="30" s="1"/>
  <c r="FG50" i="30"/>
  <c r="FG84" i="30" s="1"/>
  <c r="DL50" i="30"/>
  <c r="DL84" i="30" s="1"/>
  <c r="BZ50" i="30"/>
  <c r="BZ84" i="30" s="1"/>
  <c r="CE50" i="30"/>
  <c r="CE84" i="30" s="1"/>
  <c r="FW50" i="30"/>
  <c r="FW84" i="30" s="1"/>
  <c r="CW50" i="30"/>
  <c r="CW84" i="30" s="1"/>
  <c r="GH50" i="30"/>
  <c r="GH84" i="30" s="1"/>
  <c r="IK50" i="30"/>
  <c r="IK84" i="30" s="1"/>
  <c r="CU50" i="30"/>
  <c r="CU84" i="30" s="1"/>
  <c r="HL50" i="30"/>
  <c r="HL84" i="30" s="1"/>
  <c r="CD50" i="30"/>
  <c r="CD84" i="30" s="1"/>
  <c r="ER50" i="30"/>
  <c r="ER84" i="30" s="1"/>
  <c r="BF50" i="30"/>
  <c r="BF84" i="30" s="1"/>
  <c r="GY50" i="30"/>
  <c r="GY84" i="30" s="1"/>
  <c r="BS50" i="30"/>
  <c r="BS84" i="30" s="1"/>
  <c r="CQ50" i="30"/>
  <c r="CQ84" i="30" s="1"/>
  <c r="FT50" i="30"/>
  <c r="FT84" i="30" s="1"/>
  <c r="GS50" i="30"/>
  <c r="GS84" i="30" s="1"/>
  <c r="BT50" i="30"/>
  <c r="BT84" i="30" s="1"/>
  <c r="HA50" i="30"/>
  <c r="HA84" i="30" s="1"/>
  <c r="FZ50" i="30"/>
  <c r="FZ84" i="30" s="1"/>
  <c r="HF50" i="30"/>
  <c r="HF84" i="30" s="1"/>
  <c r="BC50" i="30"/>
  <c r="BC84" i="30" s="1"/>
  <c r="DO50" i="30"/>
  <c r="DO84" i="30" s="1"/>
  <c r="IF50" i="30"/>
  <c r="IF84" i="30" s="1"/>
  <c r="BW50" i="30"/>
  <c r="BW84" i="30" s="1"/>
  <c r="EJ50" i="30"/>
  <c r="EJ84" i="30" s="1"/>
  <c r="FP50" i="30"/>
  <c r="FP84" i="30" s="1"/>
  <c r="EM50" i="30"/>
  <c r="EM84" i="30" s="1"/>
  <c r="EC50" i="30"/>
  <c r="EC84" i="30" s="1"/>
  <c r="GJ50" i="30"/>
  <c r="GJ84" i="30" s="1"/>
  <c r="ED50" i="30"/>
  <c r="ED84" i="30" s="1"/>
  <c r="GM50" i="30"/>
  <c r="GM84" i="30" s="1"/>
  <c r="FB50" i="30"/>
  <c r="FB84" i="30" s="1"/>
  <c r="HT50" i="30"/>
  <c r="HT84" i="30" s="1"/>
  <c r="GX50" i="30"/>
  <c r="GX84" i="30" s="1"/>
  <c r="HE50" i="30"/>
  <c r="HE84" i="30" s="1"/>
  <c r="GC50" i="30"/>
  <c r="GC84" i="30" s="1"/>
  <c r="IR50" i="30"/>
  <c r="IR84" i="30" s="1"/>
  <c r="IC50" i="30"/>
  <c r="IC84" i="30" s="1"/>
  <c r="EN50" i="30"/>
  <c r="EN84" i="30" s="1"/>
  <c r="DZ50" i="30"/>
  <c r="DZ84" i="30" s="1"/>
  <c r="FF50" i="30"/>
  <c r="FF84" i="30" s="1"/>
  <c r="IO50" i="30"/>
  <c r="IO84" i="30" s="1"/>
  <c r="GT50" i="30"/>
  <c r="GT84" i="30" s="1"/>
  <c r="GB50" i="30"/>
  <c r="GB84" i="30" s="1"/>
  <c r="DU50" i="30"/>
  <c r="DU84" i="30" s="1"/>
  <c r="FK50" i="30"/>
  <c r="FK84" i="30" s="1"/>
  <c r="IS50" i="30"/>
  <c r="IS84" i="30" s="1"/>
  <c r="GI50" i="30"/>
  <c r="GI84" i="30" s="1"/>
  <c r="HQ50" i="30"/>
  <c r="HQ84" i="30" s="1"/>
  <c r="EH50" i="30"/>
  <c r="EH84" i="30" s="1"/>
  <c r="EU50" i="30"/>
  <c r="EU84" i="30" s="1"/>
  <c r="BY50" i="30"/>
  <c r="BY84" i="30" s="1"/>
  <c r="HP50" i="30"/>
  <c r="HP84" i="30" s="1"/>
  <c r="GD50" i="30"/>
  <c r="GD84" i="30" s="1"/>
  <c r="GG50" i="30"/>
  <c r="GG84" i="30" s="1"/>
  <c r="IN50" i="30"/>
  <c r="IN84" i="30" s="1"/>
  <c r="DS50" i="30"/>
  <c r="DS84" i="30" s="1"/>
  <c r="BU50" i="30"/>
  <c r="BU84" i="30" s="1"/>
  <c r="HH50" i="30"/>
  <c r="HH84" i="30" s="1"/>
  <c r="CJ50" i="30"/>
  <c r="CJ84" i="30" s="1"/>
  <c r="CM50" i="30"/>
  <c r="CM84" i="30" s="1"/>
  <c r="CN50" i="30"/>
  <c r="CN84" i="30" s="1"/>
  <c r="IG50" i="30"/>
  <c r="IG84" i="30" s="1"/>
  <c r="EB50" i="30"/>
  <c r="EB84" i="30" s="1"/>
  <c r="IB50" i="30"/>
  <c r="IB84" i="30" s="1"/>
  <c r="IU50" i="30"/>
  <c r="IU84" i="30" s="1"/>
  <c r="GP50" i="30"/>
  <c r="GP84" i="30" s="1"/>
  <c r="EE50" i="30"/>
  <c r="EE84" i="30" s="1"/>
  <c r="HM50" i="30"/>
  <c r="HM84" i="30" s="1"/>
  <c r="FQ50" i="30"/>
  <c r="FQ84" i="30" s="1"/>
  <c r="EF50" i="30"/>
  <c r="EF84" i="30" s="1"/>
  <c r="DK50" i="30"/>
  <c r="DK84" i="30" s="1"/>
  <c r="FH50" i="30"/>
  <c r="FH84" i="30" s="1"/>
  <c r="CH50" i="30"/>
  <c r="CH84" i="30" s="1"/>
  <c r="CT50" i="30"/>
  <c r="CT84" i="30" s="1"/>
  <c r="IT50" i="30"/>
  <c r="IT84" i="30" s="1"/>
  <c r="IE50" i="30"/>
  <c r="IE84" i="30" s="1"/>
  <c r="CL50" i="30"/>
  <c r="CL84" i="30" s="1"/>
  <c r="DI50" i="30"/>
  <c r="DI84" i="30" s="1"/>
  <c r="HR50" i="30"/>
  <c r="HR84" i="30" s="1"/>
  <c r="FS50" i="30"/>
  <c r="FS84" i="30" s="1"/>
  <c r="IJ50" i="30"/>
  <c r="IJ84" i="30" s="1"/>
  <c r="BV50" i="30"/>
  <c r="BV84" i="30" s="1"/>
  <c r="DJ50" i="30"/>
  <c r="DJ84" i="30" s="1"/>
  <c r="HO50" i="30"/>
  <c r="HO84" i="30" s="1"/>
  <c r="CG50" i="30"/>
  <c r="CG84" i="30" s="1"/>
  <c r="CA50" i="30"/>
  <c r="CA84" i="30" s="1"/>
  <c r="HX50" i="30"/>
  <c r="HX84" i="30" s="1"/>
  <c r="FR50" i="30"/>
  <c r="FR84" i="30" s="1"/>
  <c r="FN50" i="30"/>
  <c r="FN84" i="30" s="1"/>
  <c r="IH50" i="30"/>
  <c r="IH84" i="30" s="1"/>
  <c r="EQ50" i="30"/>
  <c r="EQ84" i="30" s="1"/>
  <c r="HY50" i="30"/>
  <c r="HY84" i="30" s="1"/>
  <c r="GE50" i="30"/>
  <c r="GE84" i="30" s="1"/>
  <c r="GA50" i="30"/>
  <c r="GA84" i="30" s="1"/>
  <c r="CK50" i="30"/>
  <c r="CK84" i="30" s="1"/>
  <c r="BG50" i="30"/>
  <c r="BG84" i="30" s="1"/>
  <c r="FC50" i="30"/>
  <c r="FC84" i="30" s="1"/>
  <c r="GN50" i="30"/>
  <c r="GN84" i="30" s="1"/>
  <c r="HN50" i="30"/>
  <c r="HN84" i="30" s="1"/>
  <c r="BX50" i="30"/>
  <c r="BX84" i="30" s="1"/>
  <c r="FL50" i="30"/>
  <c r="FL84" i="30" s="1"/>
  <c r="ES50" i="30"/>
  <c r="ES84" i="30" s="1"/>
  <c r="GU50" i="30"/>
  <c r="GU84" i="30" s="1"/>
  <c r="EY50" i="30"/>
  <c r="EY84" i="30" s="1"/>
  <c r="DA50" i="30"/>
  <c r="DA84" i="30" s="1"/>
  <c r="BH50" i="30"/>
  <c r="BH84" i="30" s="1"/>
  <c r="HD50" i="30"/>
  <c r="HD84" i="30" s="1"/>
  <c r="HS50" i="30"/>
  <c r="HS84" i="30" s="1"/>
  <c r="EP50" i="30"/>
  <c r="EP84" i="30" s="1"/>
  <c r="GK50" i="30"/>
  <c r="GK84" i="30" s="1"/>
  <c r="IL50" i="30"/>
  <c r="IL84" i="30" s="1"/>
  <c r="II50" i="30"/>
  <c r="II84" i="30" s="1"/>
  <c r="GQ50" i="30"/>
  <c r="GQ84" i="30" s="1"/>
  <c r="GW50" i="30"/>
  <c r="GW84" i="30" s="1"/>
  <c r="HC50" i="30"/>
  <c r="HC84" i="30" s="1"/>
  <c r="AX50" i="30"/>
  <c r="AX84" i="30" s="1"/>
  <c r="IM50" i="30"/>
  <c r="IM84" i="30" s="1"/>
  <c r="CS50" i="30"/>
  <c r="CS84" i="30" s="1"/>
  <c r="GL50" i="30"/>
  <c r="GL84" i="30" s="1"/>
  <c r="DN50" i="30"/>
  <c r="DN84" i="30" s="1"/>
  <c r="CP50" i="30"/>
  <c r="CP84" i="30" s="1"/>
  <c r="AZ50" i="30"/>
  <c r="AZ84" i="30" s="1"/>
  <c r="FU50" i="30"/>
  <c r="FU84" i="30" s="1"/>
  <c r="BQ50" i="30"/>
  <c r="BQ84" i="30" s="1"/>
  <c r="DY52" i="30"/>
  <c r="IM53" i="30"/>
  <c r="IM87" i="30" s="1"/>
  <c r="BI53" i="30"/>
  <c r="BI87" i="30" s="1"/>
  <c r="CN53" i="30"/>
  <c r="CN87" i="30" s="1"/>
  <c r="EH53" i="30"/>
  <c r="EH87" i="30" s="1"/>
  <c r="GO53" i="30"/>
  <c r="GO87" i="30" s="1"/>
  <c r="GU53" i="30"/>
  <c r="GU87" i="30" s="1"/>
  <c r="GE53" i="30"/>
  <c r="GE87" i="30" s="1"/>
  <c r="DB53" i="30"/>
  <c r="DB87" i="30" s="1"/>
  <c r="BO53" i="30"/>
  <c r="BO87" i="30" s="1"/>
  <c r="BA53" i="30"/>
  <c r="BA87" i="30" s="1"/>
  <c r="DD53" i="30"/>
  <c r="DD87" i="30" s="1"/>
  <c r="IH53" i="30"/>
  <c r="IH87" i="30" s="1"/>
  <c r="CK53" i="30"/>
  <c r="CK87" i="30" s="1"/>
  <c r="FW53" i="30"/>
  <c r="FW87" i="30" s="1"/>
  <c r="EV53" i="30"/>
  <c r="EV87" i="30" s="1"/>
  <c r="HG53" i="30"/>
  <c r="HG87" i="30" s="1"/>
  <c r="BU53" i="30"/>
  <c r="BU87" i="30" s="1"/>
  <c r="BM53" i="30"/>
  <c r="BM87" i="30" s="1"/>
  <c r="HF53" i="30"/>
  <c r="HF87" i="30" s="1"/>
  <c r="GR53" i="30"/>
  <c r="GR87" i="30" s="1"/>
  <c r="ET53" i="30"/>
  <c r="ET87" i="30" s="1"/>
  <c r="FJ53" i="30"/>
  <c r="FJ87" i="30" s="1"/>
  <c r="EZ53" i="30"/>
  <c r="EZ87" i="30" s="1"/>
  <c r="HI53" i="30"/>
  <c r="HI87" i="30" s="1"/>
  <c r="HE53" i="30"/>
  <c r="HE87" i="30" s="1"/>
  <c r="GJ53" i="30"/>
  <c r="GJ87" i="30" s="1"/>
  <c r="CV53" i="30"/>
  <c r="CV87" i="30" s="1"/>
  <c r="GB53" i="30"/>
  <c r="GB87" i="30" s="1"/>
  <c r="BB53" i="30"/>
  <c r="BB87" i="30" s="1"/>
  <c r="HQ53" i="30"/>
  <c r="HQ87" i="30" s="1"/>
  <c r="EJ53" i="30"/>
  <c r="EJ87" i="30" s="1"/>
  <c r="EK53" i="30"/>
  <c r="EK87" i="30" s="1"/>
  <c r="CP53" i="30"/>
  <c r="CP87" i="30" s="1"/>
  <c r="HX53" i="30"/>
  <c r="HX87" i="30" s="1"/>
  <c r="GN53" i="30"/>
  <c r="GN87" i="30" s="1"/>
  <c r="CA53" i="30"/>
  <c r="CA87" i="30" s="1"/>
  <c r="FI53" i="30"/>
  <c r="FI87" i="30" s="1"/>
  <c r="BJ53" i="30"/>
  <c r="BJ87" i="30" s="1"/>
  <c r="FZ53" i="30"/>
  <c r="FZ87" i="30" s="1"/>
  <c r="FU53" i="30"/>
  <c r="FU87" i="30" s="1"/>
  <c r="GX53" i="30"/>
  <c r="GX87" i="30" s="1"/>
  <c r="DM53" i="30"/>
  <c r="DM87" i="30" s="1"/>
  <c r="GM53" i="30"/>
  <c r="GM87" i="30" s="1"/>
  <c r="GH53" i="30"/>
  <c r="GH87" i="30" s="1"/>
  <c r="GW53" i="30"/>
  <c r="GW87" i="30" s="1"/>
  <c r="DZ53" i="30"/>
  <c r="DZ87" i="30" s="1"/>
  <c r="IN53" i="30"/>
  <c r="IN87" i="30" s="1"/>
  <c r="CL53" i="30"/>
  <c r="CL87" i="30" s="1"/>
  <c r="FH53" i="30"/>
  <c r="FH87" i="30" s="1"/>
  <c r="FF53" i="30"/>
  <c r="FF87" i="30" s="1"/>
  <c r="GF53" i="30"/>
  <c r="GF87" i="30" s="1"/>
  <c r="BK53" i="30"/>
  <c r="BK87" i="30" s="1"/>
  <c r="GY53" i="30"/>
  <c r="GY87" i="30" s="1"/>
  <c r="CW53" i="30"/>
  <c r="CW87" i="30" s="1"/>
  <c r="CE53" i="30"/>
  <c r="CE87" i="30" s="1"/>
  <c r="IJ53" i="30"/>
  <c r="IJ87" i="30" s="1"/>
  <c r="EQ53" i="30"/>
  <c r="EQ87" i="30" s="1"/>
  <c r="GL53" i="30"/>
  <c r="GL87" i="30" s="1"/>
  <c r="FQ53" i="30"/>
  <c r="FQ87" i="30" s="1"/>
  <c r="CT53" i="30"/>
  <c r="CT87" i="30" s="1"/>
  <c r="FP53" i="30"/>
  <c r="FP87" i="30" s="1"/>
  <c r="HK53" i="30"/>
  <c r="HK87" i="30" s="1"/>
  <c r="IG53" i="30"/>
  <c r="IG87" i="30" s="1"/>
  <c r="FM53" i="30"/>
  <c r="FM87" i="30" s="1"/>
  <c r="IO53" i="30"/>
  <c r="IO87" i="30" s="1"/>
  <c r="II53" i="30"/>
  <c r="II87" i="30" s="1"/>
  <c r="CX53" i="30"/>
  <c r="CX87" i="30" s="1"/>
  <c r="CS53" i="30"/>
  <c r="CS87" i="30" s="1"/>
  <c r="IF53" i="30"/>
  <c r="IF87" i="30" s="1"/>
  <c r="FY53" i="30"/>
  <c r="FY87" i="30" s="1"/>
  <c r="BP53" i="30"/>
  <c r="BP87" i="30" s="1"/>
  <c r="FR53" i="30"/>
  <c r="FR87" i="30" s="1"/>
  <c r="IU53" i="30"/>
  <c r="IU87" i="30" s="1"/>
  <c r="CH53" i="30"/>
  <c r="CH87" i="30" s="1"/>
  <c r="DO53" i="30"/>
  <c r="DO87" i="30" s="1"/>
  <c r="EI53" i="30"/>
  <c r="EI87" i="30" s="1"/>
  <c r="BG53" i="30"/>
  <c r="BG87" i="30" s="1"/>
  <c r="FL53" i="30"/>
  <c r="FL87" i="30" s="1"/>
  <c r="HV53" i="30"/>
  <c r="HV87" i="30" s="1"/>
  <c r="HA53" i="30"/>
  <c r="HA87" i="30" s="1"/>
  <c r="CJ53" i="30"/>
  <c r="CJ87" i="30" s="1"/>
  <c r="CI53" i="30"/>
  <c r="CI87" i="30" s="1"/>
  <c r="HY53" i="30"/>
  <c r="HY87" i="30" s="1"/>
  <c r="GI53" i="30"/>
  <c r="GI87" i="30" s="1"/>
  <c r="BF53" i="30"/>
  <c r="BF87" i="30" s="1"/>
  <c r="CD53" i="30"/>
  <c r="CD87" i="30" s="1"/>
  <c r="HP53" i="30"/>
  <c r="HP87" i="30" s="1"/>
  <c r="DK53" i="30"/>
  <c r="DK87" i="30" s="1"/>
  <c r="FE53" i="30"/>
  <c r="FE87" i="30" s="1"/>
  <c r="IT53" i="30"/>
  <c r="IT87" i="30" s="1"/>
  <c r="CU53" i="30"/>
  <c r="CU87" i="30" s="1"/>
  <c r="HL53" i="30"/>
  <c r="HL87" i="30" s="1"/>
  <c r="CY53" i="30"/>
  <c r="CY87" i="30" s="1"/>
  <c r="BW53" i="30"/>
  <c r="BW87" i="30" s="1"/>
  <c r="FD53" i="30"/>
  <c r="FD87" i="30" s="1"/>
  <c r="BZ53" i="30"/>
  <c r="BZ87" i="30" s="1"/>
  <c r="IK53" i="30"/>
  <c r="IK87" i="30" s="1"/>
  <c r="BL53" i="30"/>
  <c r="BL87" i="30" s="1"/>
  <c r="DI53" i="30"/>
  <c r="DI87" i="30" s="1"/>
  <c r="DV53" i="30"/>
  <c r="DV87" i="30" s="1"/>
  <c r="DE53" i="30"/>
  <c r="DE87" i="30" s="1"/>
  <c r="EL53" i="30"/>
  <c r="EL87" i="30" s="1"/>
  <c r="IR53" i="30"/>
  <c r="IR87" i="30" s="1"/>
  <c r="BR53" i="30"/>
  <c r="BR87" i="30" s="1"/>
  <c r="DF53" i="30"/>
  <c r="DF87" i="30" s="1"/>
  <c r="BC53" i="30"/>
  <c r="BC87" i="30" s="1"/>
  <c r="FS53" i="30"/>
  <c r="FS87" i="30" s="1"/>
  <c r="CF53" i="30"/>
  <c r="CF87" i="30" s="1"/>
  <c r="FG53" i="30"/>
  <c r="FG87" i="30" s="1"/>
  <c r="IQ53" i="30"/>
  <c r="IQ87" i="30" s="1"/>
  <c r="EE53" i="30"/>
  <c r="EE87" i="30" s="1"/>
  <c r="R154" i="30"/>
  <c r="EL52" i="30"/>
  <c r="FP52" i="30"/>
  <c r="IU52" i="30"/>
  <c r="BO52" i="30"/>
  <c r="AY52" i="30"/>
  <c r="EB52" i="30"/>
  <c r="CU52" i="30"/>
  <c r="GF52" i="30"/>
  <c r="EO52" i="30"/>
  <c r="H171" i="30"/>
  <c r="CO52" i="30"/>
  <c r="DL52" i="30"/>
  <c r="FC52" i="30"/>
  <c r="CA52" i="30"/>
  <c r="IH52" i="30"/>
  <c r="HT52" i="30"/>
  <c r="DO52" i="30"/>
  <c r="HY52" i="30"/>
  <c r="HG52" i="30"/>
  <c r="DS52" i="30"/>
  <c r="GN52" i="30"/>
  <c r="FB52" i="30"/>
  <c r="DV52" i="30"/>
  <c r="CL52" i="30"/>
  <c r="HQ52" i="30"/>
  <c r="HL52" i="30"/>
  <c r="FO52" i="30"/>
  <c r="BB52" i="30"/>
  <c r="AZ52" i="30"/>
  <c r="CC52" i="30"/>
  <c r="CV52" i="30"/>
  <c r="DR52" i="30"/>
  <c r="GC52" i="30"/>
  <c r="FI52" i="30"/>
  <c r="CQ52" i="30"/>
  <c r="FH52" i="30"/>
  <c r="HI52" i="30"/>
  <c r="IF52" i="30"/>
  <c r="CJ52" i="30"/>
  <c r="BC52" i="30"/>
  <c r="DJ52" i="30"/>
  <c r="HS52" i="30"/>
  <c r="EJ52" i="30"/>
  <c r="GQ52" i="30"/>
  <c r="EK52" i="30"/>
  <c r="FX52" i="30"/>
  <c r="HO52" i="30"/>
  <c r="BG52" i="30"/>
  <c r="CT52" i="30"/>
  <c r="FD52" i="30"/>
  <c r="BQ52" i="30"/>
  <c r="IA52" i="30"/>
  <c r="CY52" i="30"/>
  <c r="EU52" i="30"/>
  <c r="DI52" i="30"/>
  <c r="FA52" i="30"/>
  <c r="CH52" i="30"/>
  <c r="IT52" i="30"/>
  <c r="GW52" i="30"/>
  <c r="FY52" i="30"/>
  <c r="GD52" i="30"/>
  <c r="IQ52" i="30"/>
  <c r="IN52" i="30"/>
  <c r="BP52" i="30"/>
  <c r="GU52" i="30"/>
  <c r="CF52" i="30"/>
  <c r="FG52" i="30"/>
  <c r="CB52" i="30"/>
  <c r="DG52" i="30"/>
  <c r="IB52" i="30"/>
  <c r="BH52" i="30"/>
  <c r="EX52" i="30"/>
  <c r="EM52" i="30"/>
  <c r="BS52" i="30"/>
  <c r="CS52" i="30"/>
  <c r="DN52" i="30"/>
  <c r="BE52" i="30"/>
  <c r="GI52" i="30"/>
  <c r="GK52" i="30"/>
  <c r="GP52" i="30"/>
  <c r="HB52" i="30"/>
  <c r="BW52" i="30"/>
  <c r="IG52" i="30"/>
  <c r="EQ52" i="30"/>
  <c r="FE52" i="30"/>
  <c r="BZ52" i="30"/>
  <c r="CG52" i="30"/>
  <c r="EV52" i="30"/>
  <c r="ED52" i="30"/>
  <c r="EE52" i="30"/>
  <c r="FL52" i="30"/>
  <c r="FF52" i="30"/>
  <c r="FK52" i="30"/>
  <c r="FV52" i="30"/>
  <c r="DT52" i="30"/>
  <c r="GM52" i="30"/>
  <c r="FM52" i="30"/>
  <c r="DU52" i="30"/>
  <c r="DC52" i="30"/>
  <c r="FW52" i="30"/>
  <c r="GV52" i="30"/>
  <c r="ES52" i="30"/>
  <c r="EF52" i="30"/>
  <c r="EW52" i="30"/>
  <c r="HC52" i="30"/>
  <c r="HE52" i="30"/>
  <c r="GO52" i="30"/>
  <c r="CM52" i="30"/>
  <c r="FN52" i="30"/>
  <c r="BR52" i="30"/>
  <c r="CX52" i="30"/>
  <c r="HP52" i="30"/>
  <c r="BK52" i="30"/>
  <c r="GB52" i="30"/>
  <c r="CI52" i="30"/>
  <c r="IO52" i="30"/>
  <c r="FZ52" i="30"/>
  <c r="DP52" i="30"/>
  <c r="CZ52" i="30"/>
  <c r="BM52" i="30"/>
  <c r="HF52" i="30"/>
  <c r="DX52" i="30"/>
  <c r="HW52" i="30"/>
  <c r="BI52" i="30"/>
  <c r="ID52" i="30"/>
  <c r="DF52" i="30"/>
  <c r="IM52" i="30"/>
  <c r="DW52" i="30"/>
  <c r="IC52" i="30"/>
  <c r="HX52" i="30"/>
  <c r="BU52" i="30"/>
  <c r="FS52" i="30"/>
  <c r="BL52" i="30"/>
  <c r="GT52" i="30"/>
  <c r="EY52" i="30"/>
  <c r="HA52" i="30"/>
  <c r="CW52" i="30"/>
  <c r="EP52" i="30"/>
  <c r="ER52" i="30"/>
  <c r="BJ52" i="30"/>
  <c r="EC52" i="30"/>
  <c r="HZ52" i="30"/>
  <c r="GG52" i="30"/>
  <c r="FR52" i="30"/>
  <c r="BV52" i="30"/>
  <c r="AX52" i="30"/>
  <c r="CE52" i="30"/>
  <c r="HM52" i="30"/>
  <c r="DA52" i="30"/>
  <c r="HD52" i="30"/>
  <c r="EH52" i="30"/>
  <c r="CK52" i="30"/>
  <c r="BF52" i="30"/>
  <c r="DE52" i="30"/>
  <c r="GH52" i="30"/>
  <c r="EI52" i="30"/>
  <c r="BN52" i="30"/>
  <c r="FJ52" i="30"/>
  <c r="GX52" i="30"/>
  <c r="IJ52" i="30"/>
  <c r="GS52" i="30"/>
  <c r="DZ52" i="30"/>
  <c r="CN52" i="30"/>
  <c r="HR52" i="30"/>
  <c r="DD52" i="30"/>
  <c r="GE52" i="30"/>
  <c r="DQ52" i="30"/>
  <c r="HH52" i="30"/>
  <c r="BY52" i="30"/>
  <c r="IL52" i="30"/>
  <c r="IV52" i="30"/>
  <c r="DK52" i="30"/>
  <c r="GJ52" i="30"/>
  <c r="CP52" i="30"/>
  <c r="GR52" i="30"/>
  <c r="HU52" i="30"/>
  <c r="HV52" i="30"/>
  <c r="BA52" i="30"/>
  <c r="DB52" i="30"/>
  <c r="ET52" i="30"/>
  <c r="HN52" i="30"/>
  <c r="II52" i="30"/>
  <c r="EG52" i="30"/>
  <c r="GL52" i="30"/>
  <c r="BT52" i="30"/>
  <c r="IE52" i="30"/>
  <c r="IK52" i="30"/>
  <c r="HK52" i="30"/>
  <c r="BD52" i="30"/>
  <c r="DM52" i="30"/>
  <c r="DH52" i="30"/>
  <c r="GZ52" i="30"/>
  <c r="GY52" i="30"/>
  <c r="CD52" i="30"/>
  <c r="EN52" i="30"/>
  <c r="HJ52" i="30"/>
  <c r="IS52" i="30"/>
  <c r="EA52" i="30"/>
  <c r="EZ52" i="30"/>
  <c r="BX52" i="30"/>
  <c r="CR52" i="30"/>
  <c r="BV53" i="30"/>
  <c r="BV87" i="30" s="1"/>
  <c r="DU53" i="30"/>
  <c r="DU87" i="30" s="1"/>
  <c r="DX53" i="30"/>
  <c r="DX87" i="30" s="1"/>
  <c r="DQ53" i="30"/>
  <c r="DQ87" i="30" s="1"/>
  <c r="GS53" i="30"/>
  <c r="GS87" i="30" s="1"/>
  <c r="FA53" i="30"/>
  <c r="FA87" i="30" s="1"/>
  <c r="GP53" i="30"/>
  <c r="GP87" i="30" s="1"/>
  <c r="FV53" i="30"/>
  <c r="FV87" i="30" s="1"/>
  <c r="HT53" i="30"/>
  <c r="HT87" i="30" s="1"/>
  <c r="GT53" i="30"/>
  <c r="GT87" i="30" s="1"/>
  <c r="CZ53" i="30"/>
  <c r="CZ87" i="30" s="1"/>
  <c r="GC53" i="30"/>
  <c r="GC87" i="30" s="1"/>
  <c r="ED53" i="30"/>
  <c r="ED87" i="30" s="1"/>
  <c r="CB53" i="30"/>
  <c r="CB87" i="30" s="1"/>
  <c r="HD53" i="30"/>
  <c r="HD87" i="30" s="1"/>
  <c r="IC53" i="30"/>
  <c r="IC87" i="30" s="1"/>
  <c r="CC53" i="30"/>
  <c r="CC87" i="30" s="1"/>
  <c r="FB53" i="30"/>
  <c r="FB87" i="30" s="1"/>
  <c r="BT53" i="30"/>
  <c r="BT87" i="30" s="1"/>
  <c r="EG53" i="30"/>
  <c r="EG87" i="30" s="1"/>
  <c r="IA53" i="30"/>
  <c r="IA87" i="30" s="1"/>
  <c r="EX53" i="30"/>
  <c r="EX87" i="30" s="1"/>
  <c r="GQ53" i="30"/>
  <c r="GQ87" i="30" s="1"/>
  <c r="EF53" i="30"/>
  <c r="EF87" i="30" s="1"/>
  <c r="FO53" i="30"/>
  <c r="FO87" i="30" s="1"/>
  <c r="GK53" i="30"/>
  <c r="GK87" i="30" s="1"/>
  <c r="EP53" i="30"/>
  <c r="EP87" i="30" s="1"/>
  <c r="HO53" i="30"/>
  <c r="HO87" i="30" s="1"/>
  <c r="HS53" i="30"/>
  <c r="HS87" i="30" s="1"/>
  <c r="AX53" i="30"/>
  <c r="AX87" i="30" s="1"/>
  <c r="ES53" i="30"/>
  <c r="ES87" i="30" s="1"/>
  <c r="BH53" i="30"/>
  <c r="BH87" i="30" s="1"/>
  <c r="HB53" i="30"/>
  <c r="HB87" i="30" s="1"/>
  <c r="GO45" i="30"/>
  <c r="ER45" i="30"/>
  <c r="BL45" i="30"/>
  <c r="II45" i="30"/>
  <c r="IJ45" i="30"/>
  <c r="AY45" i="30"/>
  <c r="DQ45" i="30"/>
  <c r="HB45" i="30"/>
  <c r="GW45" i="30"/>
  <c r="GT45" i="30"/>
  <c r="ES45" i="30"/>
  <c r="EN45" i="30"/>
  <c r="EK45" i="30"/>
  <c r="EV45" i="30"/>
  <c r="HR45" i="30"/>
  <c r="IT45" i="30"/>
  <c r="IL45" i="30"/>
  <c r="CR45" i="30"/>
  <c r="IN45" i="30"/>
  <c r="IB45" i="30"/>
  <c r="HE45" i="30"/>
  <c r="GF45" i="30"/>
  <c r="FN45" i="30"/>
  <c r="FM45" i="30"/>
  <c r="HS45" i="30"/>
  <c r="HU45" i="30"/>
  <c r="EP45" i="30"/>
  <c r="GE45" i="30"/>
  <c r="IP45" i="30"/>
  <c r="CW45" i="30"/>
  <c r="DR45" i="30"/>
  <c r="BN45" i="30"/>
  <c r="IR45" i="30"/>
  <c r="FF45" i="30"/>
  <c r="DE45" i="30"/>
  <c r="ID45" i="30"/>
  <c r="CT45" i="30"/>
  <c r="EF45" i="30"/>
  <c r="BD45" i="30"/>
  <c r="ER39" i="30"/>
  <c r="FT39" i="30"/>
  <c r="BG39" i="30"/>
  <c r="HO39" i="30"/>
  <c r="HP39" i="30"/>
  <c r="EN39" i="30"/>
  <c r="GU39" i="30"/>
  <c r="GW39" i="30"/>
  <c r="IO39" i="30"/>
  <c r="EL39" i="30"/>
  <c r="CK39" i="30"/>
  <c r="FF39" i="30"/>
  <c r="DK39" i="30"/>
  <c r="CW39" i="30"/>
  <c r="GH39" i="30"/>
  <c r="GI39" i="30"/>
  <c r="CU39" i="30"/>
  <c r="FC39" i="30"/>
  <c r="CH39" i="30"/>
  <c r="GV39" i="30"/>
  <c r="DN39" i="30"/>
  <c r="GO39" i="30"/>
  <c r="HT39" i="30"/>
  <c r="EZ39" i="30"/>
  <c r="CL39" i="30"/>
  <c r="CP39" i="30"/>
  <c r="BC39" i="30"/>
  <c r="FB39" i="30"/>
  <c r="FO39" i="30"/>
  <c r="GG39" i="30"/>
  <c r="HU39" i="30"/>
  <c r="HY39" i="30"/>
  <c r="ES39" i="30"/>
  <c r="BO39" i="30"/>
  <c r="BP39" i="30"/>
  <c r="DD39" i="30"/>
  <c r="BA39" i="30"/>
  <c r="DW39" i="30"/>
  <c r="CE39" i="30"/>
  <c r="EU53" i="30"/>
  <c r="EU87" i="30" s="1"/>
  <c r="FT53" i="30"/>
  <c r="FT87" i="30" s="1"/>
  <c r="BD53" i="30"/>
  <c r="BD87" i="30" s="1"/>
  <c r="CR53" i="30"/>
  <c r="CR87" i="30" s="1"/>
  <c r="FK53" i="30"/>
  <c r="FK87" i="30" s="1"/>
  <c r="GG53" i="30"/>
  <c r="GG87" i="30" s="1"/>
  <c r="CM53" i="30"/>
  <c r="CM87" i="30" s="1"/>
  <c r="BY53" i="30"/>
  <c r="BY87" i="30" s="1"/>
  <c r="BS53" i="30"/>
  <c r="BS87" i="30" s="1"/>
  <c r="HW53" i="30"/>
  <c r="HW87" i="30" s="1"/>
  <c r="IL53" i="30"/>
  <c r="IL87" i="30" s="1"/>
  <c r="DJ53" i="30"/>
  <c r="DJ87" i="30" s="1"/>
  <c r="DR46" i="30"/>
  <c r="EN46" i="30"/>
  <c r="CO46" i="30"/>
  <c r="IS46" i="30"/>
  <c r="II46" i="30"/>
  <c r="CI46" i="30"/>
  <c r="FM46" i="30"/>
  <c r="DZ46" i="30"/>
  <c r="EY46" i="30"/>
  <c r="GC46" i="30"/>
  <c r="CS46" i="30"/>
  <c r="DH46" i="30"/>
  <c r="BE46" i="30"/>
  <c r="IO46" i="30"/>
  <c r="EV46" i="30"/>
  <c r="CN46" i="30"/>
  <c r="IH46" i="30"/>
  <c r="HE46" i="30"/>
  <c r="HA46" i="30"/>
  <c r="EX46" i="30"/>
  <c r="EA46" i="30"/>
  <c r="DQ46" i="30"/>
  <c r="FF46" i="30"/>
  <c r="BT46" i="30"/>
  <c r="HM46" i="30"/>
  <c r="GR46" i="30"/>
  <c r="H165" i="30"/>
  <c r="GL46" i="30"/>
  <c r="FO46" i="30"/>
  <c r="EE46" i="30"/>
  <c r="BA46" i="30"/>
  <c r="IU46" i="30"/>
  <c r="HW46" i="30"/>
  <c r="FX46" i="30"/>
  <c r="EM46" i="30"/>
  <c r="FK46" i="30"/>
  <c r="DB46" i="30"/>
  <c r="GK46" i="30"/>
  <c r="ET46" i="30"/>
  <c r="EJ46" i="30"/>
  <c r="IA46" i="30"/>
  <c r="DS46" i="30"/>
  <c r="DI46" i="30"/>
  <c r="BJ46" i="30"/>
  <c r="AZ46" i="30"/>
  <c r="IC46" i="30"/>
  <c r="FS46" i="30"/>
  <c r="DP46" i="30"/>
  <c r="DV46" i="30"/>
  <c r="HS46" i="30"/>
  <c r="FY46" i="30"/>
  <c r="FH46" i="30"/>
  <c r="DC46" i="30"/>
  <c r="HD46" i="30"/>
  <c r="FA46" i="30"/>
  <c r="CG46" i="30"/>
  <c r="CM46" i="30"/>
  <c r="BL46" i="30"/>
  <c r="HN46" i="30"/>
  <c r="GT46" i="30"/>
  <c r="FW46" i="30"/>
  <c r="HR46" i="30"/>
  <c r="CR46" i="30"/>
  <c r="CT46" i="30"/>
  <c r="IT46" i="30"/>
  <c r="DN46" i="30"/>
  <c r="BR46" i="30"/>
  <c r="HV46" i="30"/>
  <c r="GS46" i="30"/>
  <c r="BH46" i="30"/>
  <c r="EC46" i="30"/>
  <c r="BK46" i="30"/>
  <c r="HY46" i="30"/>
  <c r="GU46" i="30"/>
  <c r="GO46" i="30"/>
  <c r="DL46" i="30"/>
  <c r="BP46" i="30"/>
  <c r="BN46" i="30"/>
  <c r="FJ46" i="30"/>
  <c r="HC46" i="30"/>
  <c r="FU46" i="30"/>
  <c r="ED46" i="30"/>
  <c r="GV46" i="30"/>
  <c r="BW46" i="30"/>
  <c r="DA46" i="30"/>
  <c r="CV46" i="30"/>
  <c r="IK46" i="30"/>
  <c r="IM46" i="30"/>
  <c r="AX46" i="30"/>
  <c r="IV46" i="30"/>
  <c r="HP46" i="30"/>
  <c r="GH46" i="30"/>
  <c r="ES46" i="30"/>
  <c r="EW46" i="30"/>
  <c r="DG46" i="30"/>
  <c r="CU46" i="30"/>
  <c r="DO46" i="30"/>
  <c r="HT46" i="30"/>
  <c r="GP46" i="30"/>
  <c r="IJ46" i="30"/>
  <c r="GB46" i="30"/>
  <c r="FI46" i="30"/>
  <c r="FP46" i="30"/>
  <c r="CY46" i="30"/>
  <c r="DY46" i="30"/>
  <c r="BY46" i="30"/>
  <c r="CW46" i="30"/>
  <c r="IB46" i="30"/>
  <c r="GI46" i="30"/>
  <c r="EF46" i="30"/>
  <c r="CA46" i="30"/>
  <c r="DU46" i="30"/>
  <c r="IF46" i="30"/>
  <c r="FT46" i="30"/>
  <c r="EH46" i="30"/>
  <c r="DK46" i="30"/>
  <c r="GA46" i="30"/>
  <c r="BD46" i="30"/>
  <c r="IQ46" i="30"/>
  <c r="GW46" i="30"/>
  <c r="EB46" i="30"/>
  <c r="EP46" i="30"/>
  <c r="FV46" i="30"/>
  <c r="FE46" i="30"/>
  <c r="EO46" i="30"/>
  <c r="DX46" i="30"/>
  <c r="BM46" i="30"/>
  <c r="HO46" i="30"/>
  <c r="CZ46" i="30"/>
  <c r="DE46" i="30"/>
  <c r="BQ46" i="30"/>
  <c r="IL46" i="30"/>
  <c r="GZ46" i="30"/>
  <c r="FL46" i="30"/>
  <c r="EQ46" i="30"/>
  <c r="EG46" i="30"/>
  <c r="CF46" i="30"/>
  <c r="DT46" i="30"/>
  <c r="IP46" i="30"/>
  <c r="HH46" i="30"/>
  <c r="HU46" i="30"/>
  <c r="FG46" i="30"/>
  <c r="CK46" i="30"/>
  <c r="BI46" i="30"/>
  <c r="HG46" i="30"/>
  <c r="FB46" i="30"/>
  <c r="ER46" i="30"/>
  <c r="CQ46" i="30"/>
  <c r="BV46" i="30"/>
  <c r="BZ46" i="30"/>
  <c r="HZ46" i="30"/>
  <c r="CJ46" i="30"/>
  <c r="FQ46" i="30"/>
  <c r="EZ46" i="30"/>
  <c r="DJ46" i="30"/>
  <c r="GX45" i="30"/>
  <c r="DJ45" i="30"/>
  <c r="BK45" i="30"/>
  <c r="CV45" i="30"/>
  <c r="CB45" i="30"/>
  <c r="GP45" i="30"/>
  <c r="GA45" i="30"/>
  <c r="ED45" i="30"/>
  <c r="GB45" i="30"/>
  <c r="DV45" i="30"/>
  <c r="FT45" i="30"/>
  <c r="DD45" i="30"/>
  <c r="FW45" i="30"/>
  <c r="FL45" i="30"/>
  <c r="HK45" i="30"/>
  <c r="GI45" i="30"/>
  <c r="CQ45" i="30"/>
  <c r="EE45" i="30"/>
  <c r="IG45" i="30"/>
  <c r="FK45" i="30"/>
  <c r="GZ45" i="30"/>
  <c r="CJ45" i="30"/>
  <c r="DY45" i="30"/>
  <c r="CH45" i="30"/>
  <c r="CY45" i="30"/>
  <c r="EI45" i="30"/>
  <c r="IU45" i="30"/>
  <c r="DP45" i="30"/>
  <c r="EQ45" i="30"/>
  <c r="HP45" i="30"/>
  <c r="IO45" i="30"/>
  <c r="FA45" i="30"/>
  <c r="EL45" i="30"/>
  <c r="IS45" i="30"/>
  <c r="BZ45" i="30"/>
  <c r="IV45" i="30"/>
  <c r="H164" i="30"/>
  <c r="HZ45" i="30"/>
  <c r="CU45" i="30"/>
  <c r="IM45" i="30"/>
  <c r="FH45" i="30"/>
  <c r="FY45" i="30"/>
  <c r="IQ45" i="30"/>
  <c r="CD45" i="30"/>
  <c r="BW45" i="30"/>
  <c r="DI45" i="30"/>
  <c r="CM45" i="30"/>
  <c r="HC45" i="30"/>
  <c r="BI45" i="30"/>
  <c r="FX45" i="30"/>
  <c r="HL45" i="30"/>
  <c r="BM45" i="30"/>
  <c r="BR45" i="30"/>
  <c r="CI45" i="30"/>
  <c r="IF45" i="30"/>
  <c r="DC45" i="30"/>
  <c r="BP45" i="30"/>
  <c r="EX45" i="30"/>
  <c r="HQ45" i="30"/>
  <c r="FG45" i="30"/>
  <c r="GN45" i="30"/>
  <c r="CA45" i="30"/>
  <c r="BF45" i="30"/>
  <c r="HX45" i="30"/>
  <c r="AX45" i="30"/>
  <c r="BG45" i="30"/>
  <c r="EU45" i="30"/>
  <c r="FC45" i="30"/>
  <c r="CZ45" i="30"/>
  <c r="BE45" i="30"/>
  <c r="DK45" i="30"/>
  <c r="EH45" i="30"/>
  <c r="CP45" i="30"/>
  <c r="IK45" i="30"/>
  <c r="CC45" i="30"/>
  <c r="CL45" i="30"/>
  <c r="GQ45" i="30"/>
  <c r="EZ45" i="30"/>
  <c r="GS45" i="30"/>
  <c r="DO45" i="30"/>
  <c r="FZ45" i="30"/>
  <c r="DA45" i="30"/>
  <c r="EA45" i="30"/>
  <c r="GY45" i="30"/>
  <c r="FP45" i="30"/>
  <c r="DS45" i="30"/>
  <c r="EM45" i="30"/>
  <c r="BT45" i="30"/>
  <c r="EO45" i="30"/>
  <c r="FV45" i="30"/>
  <c r="EJ45" i="30"/>
  <c r="DH45" i="30"/>
  <c r="DT45" i="30"/>
  <c r="CF45" i="30"/>
  <c r="IA45" i="30"/>
  <c r="DZ45" i="30"/>
  <c r="IH45" i="30"/>
  <c r="HH45" i="30"/>
  <c r="BV45" i="30"/>
  <c r="IE45" i="30"/>
  <c r="BU45" i="30"/>
  <c r="HJ45" i="30"/>
  <c r="HW45" i="30"/>
  <c r="GU45" i="30"/>
  <c r="HO45" i="30"/>
  <c r="CG45" i="30"/>
  <c r="FR45" i="30"/>
  <c r="FD45" i="30"/>
  <c r="EC45" i="30"/>
  <c r="AZ45" i="30"/>
  <c r="EG45" i="30"/>
  <c r="HI45" i="30"/>
  <c r="DU45" i="30"/>
  <c r="EB45" i="30"/>
  <c r="DL45" i="30"/>
  <c r="DX45" i="30"/>
  <c r="BH45" i="30"/>
  <c r="GG45" i="30"/>
  <c r="HY45" i="30"/>
  <c r="FS45" i="30"/>
  <c r="GL45" i="30"/>
  <c r="HT45" i="30"/>
  <c r="EY45" i="30"/>
  <c r="CX45" i="30"/>
  <c r="GD45" i="30"/>
  <c r="HA45" i="30"/>
  <c r="GH45" i="30"/>
  <c r="FU45" i="30"/>
  <c r="BS45" i="30"/>
  <c r="BQ45" i="30"/>
  <c r="HV45" i="30"/>
  <c r="CN45" i="30"/>
  <c r="FQ45" i="30"/>
  <c r="GC45" i="30"/>
  <c r="HG45" i="30"/>
  <c r="DM45" i="30"/>
  <c r="DN45" i="30"/>
  <c r="CE45" i="30"/>
  <c r="HD45" i="30"/>
  <c r="BC45" i="30"/>
  <c r="DF45" i="30"/>
  <c r="BY45" i="30"/>
  <c r="DG45" i="30"/>
  <c r="GR45" i="30"/>
  <c r="HF45" i="30"/>
  <c r="BA45" i="30"/>
  <c r="FI45" i="30"/>
  <c r="GM45" i="30"/>
  <c r="FB45" i="30"/>
  <c r="CK45" i="30"/>
  <c r="HN45" i="30"/>
  <c r="GJ45" i="30"/>
  <c r="BO45" i="30"/>
  <c r="CO45" i="30"/>
  <c r="BB45" i="30"/>
  <c r="CD39" i="30"/>
  <c r="DR39" i="30"/>
  <c r="GJ39" i="30"/>
  <c r="IB39" i="30"/>
  <c r="BS39" i="30"/>
  <c r="FE39" i="30"/>
  <c r="FD39" i="30"/>
  <c r="IM39" i="30"/>
  <c r="FL39" i="30"/>
  <c r="HJ39" i="30"/>
  <c r="CR39" i="30"/>
  <c r="FS39" i="30"/>
  <c r="CJ39" i="30"/>
  <c r="BR39" i="30"/>
  <c r="IA39" i="30"/>
  <c r="HG39" i="30"/>
  <c r="DL39" i="30"/>
  <c r="FM39" i="30"/>
  <c r="DJ39" i="30"/>
  <c r="FZ39" i="30"/>
  <c r="GS39" i="30"/>
  <c r="EE39" i="30"/>
  <c r="IP39" i="30"/>
  <c r="BX39" i="30"/>
  <c r="IK39" i="30"/>
  <c r="IF39" i="30"/>
  <c r="FP39" i="30"/>
  <c r="GQ39" i="30"/>
  <c r="GE39" i="30"/>
  <c r="CF39" i="30"/>
  <c r="CT39" i="30"/>
  <c r="BI39" i="30"/>
  <c r="FG39" i="30"/>
  <c r="DE39" i="30"/>
  <c r="BL39" i="30"/>
  <c r="DQ39" i="30"/>
  <c r="EF39" i="30"/>
  <c r="HA39" i="30"/>
  <c r="GM39" i="30"/>
  <c r="IU39" i="30"/>
  <c r="FY39" i="30"/>
  <c r="HD39" i="30"/>
  <c r="GR39" i="30"/>
  <c r="FV39" i="30"/>
  <c r="GB39" i="30"/>
  <c r="CG39" i="30"/>
  <c r="FI39" i="30"/>
  <c r="DC39" i="30"/>
  <c r="DS39" i="30"/>
  <c r="BD39" i="30"/>
  <c r="GA39" i="30"/>
  <c r="DV39" i="30"/>
  <c r="DH39" i="30"/>
  <c r="IV39" i="30"/>
  <c r="HW39" i="30"/>
  <c r="BE39" i="30"/>
  <c r="EX39" i="30"/>
  <c r="HF39" i="30"/>
  <c r="HI39" i="30"/>
  <c r="HN39" i="30"/>
  <c r="BZ39" i="30"/>
  <c r="GK39" i="30"/>
  <c r="BV39" i="30"/>
  <c r="DA39" i="30"/>
  <c r="GC39" i="30"/>
  <c r="BB39" i="30"/>
  <c r="CO39" i="30"/>
  <c r="HZ39" i="30"/>
  <c r="GT39" i="30"/>
  <c r="IL39" i="30"/>
  <c r="DB39" i="30"/>
  <c r="IJ39" i="30"/>
  <c r="CQ39" i="30"/>
  <c r="FW39" i="30"/>
  <c r="BU39" i="30"/>
  <c r="DG39" i="30"/>
  <c r="EY39" i="30"/>
  <c r="EG39" i="30"/>
  <c r="GZ39" i="30"/>
  <c r="EQ39" i="30"/>
  <c r="II39" i="30"/>
  <c r="AY39" i="30"/>
  <c r="FK39" i="30"/>
  <c r="CZ39" i="30"/>
  <c r="DO39" i="30"/>
  <c r="ET39" i="30"/>
  <c r="AZ39" i="30"/>
  <c r="HM39" i="30"/>
  <c r="EH39" i="30"/>
  <c r="AX39" i="30"/>
  <c r="DF39" i="30"/>
  <c r="EP39" i="30"/>
  <c r="CI39" i="30"/>
  <c r="HC39" i="30"/>
  <c r="DT39" i="30"/>
  <c r="EK39" i="30"/>
  <c r="DP39" i="30"/>
  <c r="HE39" i="30"/>
  <c r="HL39" i="30"/>
  <c r="FU39" i="30"/>
  <c r="HX39" i="30"/>
  <c r="GX39" i="30"/>
  <c r="EM39" i="30"/>
  <c r="EO39" i="30"/>
  <c r="EC39" i="30"/>
  <c r="CY39" i="30"/>
  <c r="IC39" i="30"/>
  <c r="ED39" i="30"/>
  <c r="DY39" i="30"/>
  <c r="IT39" i="30"/>
  <c r="HH39" i="30"/>
  <c r="CC39" i="30"/>
  <c r="FN39" i="30"/>
  <c r="FA39" i="30"/>
  <c r="CS39" i="30"/>
  <c r="BW39" i="30"/>
  <c r="GL39" i="30"/>
  <c r="BK39" i="30"/>
  <c r="CV39" i="30"/>
  <c r="GF39" i="30"/>
  <c r="DZ39" i="30"/>
  <c r="IH39" i="30"/>
  <c r="CB39" i="30"/>
  <c r="IS39" i="30"/>
  <c r="CX39" i="30"/>
  <c r="HB39" i="30"/>
  <c r="IE39" i="30"/>
  <c r="EI39" i="30"/>
  <c r="CA39" i="30"/>
  <c r="GD39" i="30"/>
  <c r="HV39" i="30"/>
  <c r="IG39" i="30"/>
  <c r="GN39" i="30"/>
  <c r="ID39" i="30"/>
  <c r="IN39" i="30"/>
  <c r="CN39" i="30"/>
  <c r="IR39" i="30"/>
  <c r="H158" i="30"/>
  <c r="GY39" i="30"/>
  <c r="EA39" i="30"/>
  <c r="FQ39" i="30"/>
  <c r="EU39" i="30"/>
  <c r="BM39" i="30"/>
  <c r="FR39" i="30"/>
  <c r="BQ39" i="30"/>
  <c r="EJ39" i="30"/>
  <c r="EB39" i="30"/>
  <c r="EW39" i="30"/>
  <c r="BH39" i="30"/>
  <c r="DU39" i="30"/>
  <c r="HQ39" i="30"/>
  <c r="CM39" i="30"/>
  <c r="BJ39" i="30"/>
  <c r="GP39" i="30"/>
  <c r="IQ39" i="30"/>
  <c r="R153" i="30"/>
  <c r="II37" i="30"/>
  <c r="FQ37" i="30"/>
  <c r="HE37" i="30"/>
  <c r="HN37" i="30"/>
  <c r="BS37" i="30"/>
  <c r="HH37" i="30"/>
  <c r="GZ37" i="30"/>
  <c r="EU37" i="30"/>
  <c r="HX37" i="30"/>
  <c r="DI37" i="30"/>
  <c r="IJ37" i="30"/>
  <c r="EL37" i="30"/>
  <c r="FI37" i="30"/>
  <c r="DS37" i="30"/>
  <c r="EW37" i="30"/>
  <c r="HU37" i="30"/>
  <c r="DC37" i="30"/>
  <c r="CH37" i="30"/>
  <c r="FJ37" i="30"/>
  <c r="HG37" i="30"/>
  <c r="GF37" i="30"/>
  <c r="EC37" i="30"/>
  <c r="HF37" i="30"/>
  <c r="BD37" i="30"/>
  <c r="IE37" i="30"/>
  <c r="GJ37" i="30"/>
  <c r="ET37" i="30"/>
  <c r="HQ37" i="30"/>
  <c r="BV37" i="30"/>
  <c r="EP37" i="30"/>
  <c r="IH37" i="30"/>
  <c r="EE37" i="30"/>
  <c r="CS37" i="30"/>
  <c r="GX37" i="30"/>
  <c r="EX37" i="30"/>
  <c r="BM37" i="30"/>
  <c r="EZ37" i="30"/>
  <c r="BB37" i="30"/>
  <c r="FO37" i="30"/>
  <c r="BL37" i="30"/>
  <c r="EH37" i="30"/>
  <c r="GD37" i="30"/>
  <c r="GG37" i="30"/>
  <c r="DG37" i="30"/>
  <c r="BF37" i="30"/>
  <c r="DH37" i="30"/>
  <c r="R143" i="30"/>
  <c r="HV37" i="30"/>
  <c r="BT37" i="30"/>
  <c r="CU37" i="30"/>
  <c r="DB37" i="30"/>
  <c r="BC37" i="30"/>
  <c r="EO37" i="30"/>
  <c r="DF37" i="30"/>
  <c r="GL37" i="30"/>
  <c r="CN37" i="30"/>
  <c r="BO37" i="30"/>
  <c r="CE37" i="30"/>
  <c r="GA37" i="30"/>
  <c r="FL37" i="30"/>
  <c r="FS37" i="30"/>
  <c r="DJ37" i="30"/>
  <c r="GM37" i="30"/>
  <c r="FT37" i="30"/>
  <c r="IM37" i="30"/>
  <c r="GU37" i="30"/>
  <c r="FE37" i="30"/>
  <c r="DR37" i="30"/>
  <c r="DQ37" i="30"/>
  <c r="FU37" i="30"/>
  <c r="FY37" i="30"/>
  <c r="FN37" i="30"/>
  <c r="CC37" i="30"/>
  <c r="FH37" i="30"/>
  <c r="IB37" i="30"/>
  <c r="AZ37" i="30"/>
  <c r="ID37" i="30"/>
  <c r="DE37" i="30"/>
  <c r="BZ37" i="30"/>
  <c r="GE37" i="30"/>
  <c r="DN37" i="30"/>
  <c r="EV37" i="30"/>
  <c r="FK37" i="30"/>
  <c r="BR37" i="30"/>
  <c r="BU37" i="30"/>
  <c r="IN37" i="30"/>
  <c r="DL37" i="30"/>
  <c r="IS37" i="30"/>
  <c r="HI37" i="30"/>
  <c r="CR37" i="30"/>
  <c r="BJ37" i="30"/>
  <c r="HJ37" i="30"/>
  <c r="DN53" i="30"/>
  <c r="DN87" i="30" s="1"/>
  <c r="DR53" i="30"/>
  <c r="DR87" i="30" s="1"/>
  <c r="HH53" i="30"/>
  <c r="HH87" i="30" s="1"/>
  <c r="ER53" i="30"/>
  <c r="ER87" i="30" s="1"/>
  <c r="GV53" i="30"/>
  <c r="GV87" i="30" s="1"/>
  <c r="BN53" i="30"/>
  <c r="BN87" i="30" s="1"/>
  <c r="AY53" i="30"/>
  <c r="AY87" i="30" s="1"/>
  <c r="AZ53" i="30"/>
  <c r="AZ87" i="30" s="1"/>
  <c r="ID53" i="30"/>
  <c r="ID87" i="30" s="1"/>
  <c r="DH53" i="30"/>
  <c r="DH87" i="30" s="1"/>
  <c r="FC53" i="30"/>
  <c r="FC87" i="30" s="1"/>
  <c r="IB53" i="30"/>
  <c r="IB87" i="30" s="1"/>
  <c r="DL53" i="30"/>
  <c r="DL87" i="30" s="1"/>
  <c r="EY53" i="30"/>
  <c r="EY87" i="30" s="1"/>
  <c r="IK44" i="30"/>
  <c r="GC44" i="30"/>
  <c r="DH44" i="30"/>
  <c r="GH44" i="30"/>
  <c r="FA44" i="30"/>
  <c r="FE44" i="30"/>
  <c r="EZ44" i="30"/>
  <c r="DI44" i="30"/>
  <c r="DA44" i="30"/>
  <c r="CV44" i="30"/>
  <c r="BD44" i="30"/>
  <c r="FB44" i="30"/>
  <c r="DW44" i="30"/>
  <c r="GT44" i="30"/>
  <c r="EI44" i="30"/>
  <c r="IR44" i="30"/>
  <c r="FU44" i="30"/>
  <c r="HL44" i="30"/>
  <c r="GL44" i="30"/>
  <c r="DB44" i="30"/>
  <c r="BX44" i="30"/>
  <c r="ET44" i="30"/>
  <c r="CN44" i="30"/>
  <c r="CF44" i="30"/>
  <c r="CA44" i="30"/>
  <c r="EL44" i="30"/>
  <c r="GD44" i="30"/>
  <c r="DU44" i="30"/>
  <c r="HV44" i="30"/>
  <c r="GJ44" i="30"/>
  <c r="BK44" i="30"/>
  <c r="HC44" i="30"/>
  <c r="EQ44" i="30"/>
  <c r="HA44" i="30"/>
  <c r="ED44" i="30"/>
  <c r="FM44" i="30"/>
  <c r="IH44" i="30"/>
  <c r="BV44" i="30"/>
  <c r="CI44" i="30"/>
  <c r="FJ44" i="30"/>
  <c r="GM44" i="30"/>
  <c r="GW44" i="30"/>
  <c r="EA44" i="30"/>
  <c r="EF44" i="30"/>
  <c r="FT44" i="30"/>
  <c r="HG44" i="30"/>
  <c r="FC44" i="30"/>
  <c r="CG44" i="30"/>
  <c r="HO44" i="30"/>
  <c r="HJ44" i="30"/>
  <c r="FG44" i="30"/>
  <c r="CP44" i="30"/>
  <c r="FI44" i="30"/>
  <c r="FD44" i="30"/>
  <c r="CE44" i="30"/>
  <c r="IE44" i="30"/>
  <c r="DO44" i="30"/>
  <c r="GA44" i="30"/>
  <c r="GB44" i="30"/>
  <c r="AZ44" i="30"/>
  <c r="GN44" i="30"/>
  <c r="CH44" i="30"/>
  <c r="GQ44" i="30"/>
  <c r="GS44" i="30"/>
  <c r="GR44" i="30"/>
  <c r="IT44" i="30"/>
  <c r="DG44" i="30"/>
  <c r="BS44" i="30"/>
  <c r="GK44" i="30"/>
  <c r="HX44" i="30"/>
  <c r="EY44" i="30"/>
  <c r="HK44" i="30"/>
  <c r="IV44" i="30"/>
  <c r="EJ44" i="30"/>
  <c r="DP44" i="30"/>
  <c r="II44" i="30"/>
  <c r="CB44" i="30"/>
  <c r="IU44" i="30"/>
  <c r="CR44" i="30"/>
  <c r="BI44" i="30"/>
  <c r="BC44" i="30"/>
  <c r="BY44" i="30"/>
  <c r="BZ44" i="30"/>
  <c r="FK44" i="30"/>
  <c r="HF44" i="30"/>
  <c r="IG44" i="30"/>
  <c r="EV44" i="30"/>
  <c r="AY44" i="30"/>
  <c r="IS44" i="30"/>
  <c r="ER44" i="30"/>
  <c r="IF44" i="30"/>
  <c r="EO44" i="30"/>
  <c r="CC44" i="30"/>
  <c r="FV44" i="30"/>
  <c r="BJ44" i="30"/>
  <c r="IL44" i="30"/>
  <c r="FF44" i="30"/>
  <c r="BE44" i="30"/>
  <c r="GV44" i="30"/>
  <c r="CW44" i="30"/>
  <c r="BR44" i="30"/>
  <c r="GE44" i="30"/>
  <c r="IM44" i="30"/>
  <c r="CL44" i="30"/>
  <c r="BN44" i="30"/>
  <c r="DT44" i="30"/>
  <c r="DQ44" i="30"/>
  <c r="BH44" i="30"/>
  <c r="ID44" i="30"/>
  <c r="EU44" i="30"/>
  <c r="FH44" i="30"/>
  <c r="DL44" i="30"/>
  <c r="BW44" i="30"/>
  <c r="FS44" i="30"/>
  <c r="CO44" i="30"/>
  <c r="FW44" i="30"/>
  <c r="HT44" i="30"/>
  <c r="GI44" i="30"/>
  <c r="BL44" i="30"/>
  <c r="DF44" i="30"/>
  <c r="EB44" i="30"/>
  <c r="HS44" i="30"/>
  <c r="FR44" i="30"/>
  <c r="HI44" i="30"/>
  <c r="CJ44" i="30"/>
  <c r="CM44" i="30"/>
  <c r="DR44" i="30"/>
  <c r="HR44" i="30"/>
  <c r="FL44" i="30"/>
  <c r="EW44" i="30"/>
  <c r="EN44" i="30"/>
  <c r="IQ44" i="30"/>
  <c r="BB44" i="30"/>
  <c r="HP44" i="30"/>
  <c r="H163" i="30"/>
  <c r="EG44" i="30"/>
  <c r="CX44" i="30"/>
  <c r="FZ44" i="30"/>
  <c r="HW44" i="30"/>
  <c r="HY44" i="30"/>
  <c r="IC44" i="30"/>
  <c r="AX44" i="30"/>
  <c r="CK44" i="30"/>
  <c r="EP44" i="30"/>
  <c r="DZ44" i="30"/>
  <c r="HB44" i="30"/>
  <c r="IN44" i="30"/>
  <c r="DD44" i="30"/>
  <c r="BO44" i="30"/>
  <c r="HE44" i="30"/>
  <c r="GZ44" i="30"/>
  <c r="DN44" i="30"/>
  <c r="ES44" i="30"/>
  <c r="BF44" i="30"/>
  <c r="GG44" i="30"/>
  <c r="BA44" i="30"/>
  <c r="HQ44" i="30"/>
  <c r="R139" i="30"/>
  <c r="FD41" i="30"/>
  <c r="AX41" i="30"/>
  <c r="DS41" i="30"/>
  <c r="GU41" i="30"/>
  <c r="BW41" i="30"/>
  <c r="BV41" i="30"/>
  <c r="DF41" i="30"/>
  <c r="BU41" i="30"/>
  <c r="GQ41" i="30"/>
  <c r="FN41" i="30"/>
  <c r="IF41" i="30"/>
  <c r="GG41" i="30"/>
  <c r="DC41" i="30"/>
  <c r="FS41" i="30"/>
  <c r="IS41" i="30"/>
  <c r="GX41" i="30"/>
  <c r="CR41" i="30"/>
  <c r="EH41" i="30"/>
  <c r="CX41" i="30"/>
  <c r="BM41" i="30"/>
  <c r="DW41" i="30"/>
  <c r="EC41" i="30"/>
  <c r="AZ41" i="30"/>
  <c r="CL41" i="30"/>
  <c r="HO41" i="30"/>
  <c r="GW41" i="30"/>
  <c r="DK41" i="30"/>
  <c r="BA41" i="30"/>
  <c r="HD41" i="30"/>
  <c r="CC41" i="30"/>
  <c r="BK41" i="30"/>
  <c r="CO41" i="30"/>
  <c r="DN41" i="30"/>
  <c r="CS41" i="30"/>
  <c r="HS41" i="30"/>
  <c r="HW41" i="30"/>
  <c r="BE41" i="30"/>
  <c r="GO41" i="30"/>
  <c r="FM41" i="30"/>
  <c r="DI41" i="30"/>
  <c r="FK41" i="30"/>
  <c r="CQ41" i="30"/>
  <c r="CT41" i="30"/>
  <c r="IA41" i="30"/>
  <c r="DB41" i="30"/>
  <c r="EJ41" i="30"/>
  <c r="GT41" i="30"/>
  <c r="EB41" i="30"/>
  <c r="EF41" i="30"/>
  <c r="IB41" i="30"/>
  <c r="II41" i="30"/>
  <c r="BO41" i="30"/>
  <c r="R144" i="30"/>
  <c r="R150" i="30"/>
  <c r="R142" i="30"/>
  <c r="R151" i="30"/>
  <c r="R146" i="30"/>
  <c r="FH38" i="30"/>
  <c r="CY38" i="30"/>
  <c r="HQ38" i="30"/>
  <c r="EP38" i="30"/>
  <c r="GR38" i="30"/>
  <c r="BR38" i="30"/>
  <c r="GK38" i="30"/>
  <c r="DA38" i="30"/>
  <c r="DO38" i="30"/>
  <c r="H157" i="30"/>
  <c r="BG38" i="30"/>
  <c r="HH38" i="30"/>
  <c r="CK38" i="30"/>
  <c r="IJ38" i="30"/>
  <c r="GH38" i="30"/>
  <c r="GU38" i="30"/>
  <c r="IB38" i="30"/>
  <c r="IA38" i="30"/>
  <c r="DV38" i="30"/>
  <c r="HG38" i="30"/>
  <c r="GY38" i="30"/>
  <c r="HX38" i="30"/>
  <c r="CH38" i="30"/>
  <c r="EK38" i="30"/>
  <c r="AZ38" i="30"/>
  <c r="HN38" i="30"/>
  <c r="DI38" i="30"/>
  <c r="CC38" i="30"/>
  <c r="CV38" i="30"/>
  <c r="BJ38" i="30"/>
  <c r="FI38" i="30"/>
  <c r="EM38" i="30"/>
  <c r="CQ38" i="30"/>
  <c r="GF38" i="30"/>
  <c r="ED38" i="30"/>
  <c r="HB38" i="30"/>
  <c r="EJ38" i="30"/>
  <c r="FY38" i="30"/>
  <c r="IP38" i="30"/>
  <c r="CM38" i="30"/>
  <c r="GS38" i="30"/>
  <c r="BL38" i="30"/>
  <c r="CJ38" i="30"/>
  <c r="IU38" i="30"/>
  <c r="GQ38" i="30"/>
  <c r="FF38" i="30"/>
  <c r="FR38" i="30"/>
  <c r="DY38" i="30"/>
  <c r="HI38" i="30"/>
  <c r="BO38" i="30"/>
  <c r="FZ38" i="30"/>
  <c r="R145" i="30"/>
  <c r="R152" i="30"/>
  <c r="R149" i="30"/>
  <c r="R140" i="30"/>
  <c r="BA38" i="30"/>
  <c r="BB38" i="30"/>
  <c r="BM38" i="30"/>
  <c r="DL38" i="30"/>
  <c r="EE38" i="30"/>
  <c r="BW38" i="30"/>
  <c r="HW38" i="30"/>
  <c r="GI38" i="30"/>
  <c r="IE38" i="30"/>
  <c r="GW38" i="30"/>
  <c r="EV38" i="30"/>
  <c r="BC38" i="30"/>
  <c r="HM38" i="30"/>
  <c r="DE38" i="30"/>
  <c r="IQ38" i="30"/>
  <c r="BU38" i="30"/>
  <c r="EN38" i="30"/>
  <c r="CL38" i="30"/>
  <c r="DJ38" i="30"/>
  <c r="CD38" i="30"/>
  <c r="IV38" i="30"/>
  <c r="CR38" i="30"/>
  <c r="EF38" i="30"/>
  <c r="GA38" i="30"/>
  <c r="CG38" i="30"/>
  <c r="DW38" i="30"/>
  <c r="BZ38" i="30"/>
  <c r="FV38" i="30"/>
  <c r="HF38" i="30"/>
  <c r="FE38" i="30"/>
  <c r="DD38" i="30"/>
  <c r="GE38" i="30"/>
  <c r="AX38" i="30"/>
  <c r="HP38" i="30"/>
  <c r="GB38" i="30"/>
  <c r="GZ38" i="30"/>
  <c r="FN38" i="30"/>
  <c r="IG38" i="30"/>
  <c r="DT38" i="30"/>
  <c r="BP38" i="30"/>
  <c r="GT38" i="30"/>
  <c r="CU38" i="30"/>
  <c r="HT38" i="30"/>
  <c r="EY38" i="30"/>
  <c r="BE38" i="30"/>
  <c r="FB38" i="30"/>
  <c r="HE38" i="30"/>
  <c r="DB38" i="30"/>
  <c r="ER38" i="30"/>
  <c r="FM38" i="30"/>
  <c r="BV38" i="30"/>
  <c r="FS38" i="30"/>
  <c r="BF38" i="30"/>
  <c r="R148" i="30"/>
  <c r="R141" i="30"/>
  <c r="R147" i="30"/>
  <c r="R138" i="30"/>
  <c r="EH38" i="30"/>
  <c r="DX38" i="30"/>
  <c r="CN38" i="30"/>
  <c r="ID38" i="30"/>
  <c r="FQ38" i="30"/>
  <c r="HJ38" i="30"/>
  <c r="GD38" i="30"/>
  <c r="IM38" i="30"/>
  <c r="FA38" i="30"/>
  <c r="DF38" i="30"/>
  <c r="EX38" i="30"/>
  <c r="CI38" i="30"/>
  <c r="IS38" i="30"/>
  <c r="FX38" i="30"/>
  <c r="GG38" i="30"/>
  <c r="DR38" i="30"/>
  <c r="CF38" i="30"/>
  <c r="DC38" i="30"/>
  <c r="EG38" i="30"/>
  <c r="GM38" i="30"/>
  <c r="DK38" i="30"/>
  <c r="BQ38" i="30"/>
  <c r="GX38" i="30"/>
  <c r="IH38" i="30"/>
  <c r="FK38" i="30"/>
  <c r="EL38" i="30"/>
  <c r="EA38" i="30"/>
  <c r="FJ38" i="30"/>
  <c r="IN38" i="30"/>
  <c r="GN38" i="30"/>
  <c r="HU38" i="30"/>
  <c r="IC38" i="30"/>
  <c r="EZ38" i="30"/>
  <c r="HV38" i="30"/>
  <c r="EI38" i="30"/>
  <c r="FP38" i="30"/>
  <c r="BT38" i="30"/>
  <c r="CX38" i="30"/>
  <c r="IL38" i="30"/>
  <c r="DH38" i="30"/>
  <c r="DP38" i="30"/>
  <c r="CS38" i="30"/>
  <c r="FL38" i="30"/>
  <c r="EB38" i="30"/>
  <c r="BY38" i="30"/>
  <c r="CB38" i="30"/>
  <c r="CZ38" i="30"/>
  <c r="GJ38" i="30"/>
  <c r="GL38" i="30"/>
  <c r="EQ38" i="30"/>
  <c r="CO38" i="30"/>
  <c r="CW37" i="30"/>
  <c r="AX37" i="30"/>
  <c r="HC37" i="30"/>
  <c r="BQ37" i="30"/>
  <c r="GH37" i="30"/>
  <c r="EF37" i="30"/>
  <c r="FA37" i="30"/>
  <c r="DX37" i="30"/>
  <c r="GC37" i="30"/>
  <c r="IU37" i="30"/>
  <c r="EI37" i="30"/>
  <c r="FM37" i="30"/>
  <c r="CX37" i="30"/>
  <c r="HA37" i="30"/>
  <c r="GR37" i="30"/>
  <c r="EB37" i="30"/>
  <c r="IO37" i="30"/>
  <c r="IT37" i="30"/>
  <c r="BN37" i="30"/>
  <c r="HB37" i="30"/>
  <c r="IV37" i="30"/>
  <c r="HT37" i="30"/>
  <c r="GY37" i="30"/>
  <c r="CF37" i="30"/>
  <c r="B277" i="30" l="1"/>
  <c r="Q277" i="30" s="1"/>
  <c r="B271" i="30"/>
  <c r="Q278" i="30"/>
  <c r="B273" i="30"/>
  <c r="C36" i="30"/>
  <c r="D19" i="30" s="1"/>
  <c r="D104" i="30" s="1"/>
  <c r="C102" i="30"/>
  <c r="C83" i="30" s="1"/>
  <c r="C32" i="30" s="1"/>
  <c r="D15" i="30" s="1"/>
  <c r="C26" i="30"/>
  <c r="D9" i="30" s="1"/>
  <c r="D94" i="30" s="1"/>
  <c r="C86" i="30"/>
  <c r="C35" i="30" s="1"/>
  <c r="D18" i="30" s="1"/>
  <c r="D103" i="30" s="1"/>
  <c r="C74" i="30"/>
  <c r="C23" i="30" s="1"/>
  <c r="D6" i="30" s="1"/>
  <c r="D91" i="30" s="1"/>
  <c r="B274" i="30"/>
  <c r="D102" i="30"/>
  <c r="D83" i="30" s="1"/>
  <c r="D34" i="30"/>
  <c r="E17" i="30" s="1"/>
  <c r="C101" i="30"/>
  <c r="C33" i="30"/>
  <c r="D16" i="30" s="1"/>
  <c r="C100" i="30"/>
  <c r="C79" i="30" s="1"/>
  <c r="C28" i="30" s="1"/>
  <c r="D11" i="30" s="1"/>
  <c r="D96" i="30" s="1"/>
  <c r="B268" i="30"/>
  <c r="B267" i="30"/>
  <c r="B266" i="30"/>
  <c r="B264" i="30"/>
  <c r="B263" i="30"/>
  <c r="C93" i="30"/>
  <c r="C71" i="30" s="1"/>
  <c r="C20" i="30" s="1"/>
  <c r="D3" i="30" s="1"/>
  <c r="D88" i="30" s="1"/>
  <c r="C25" i="30"/>
  <c r="D8" i="30" s="1"/>
  <c r="B262" i="30"/>
  <c r="B261" i="30"/>
  <c r="C78" i="30"/>
  <c r="C27" i="30" s="1"/>
  <c r="D10" i="30" s="1"/>
  <c r="C80" i="30"/>
  <c r="C29" i="30" s="1"/>
  <c r="D12" i="30" s="1"/>
  <c r="B265" i="30" l="1"/>
  <c r="B270" i="30"/>
  <c r="B269" i="30"/>
  <c r="B260" i="30"/>
  <c r="B259" i="30"/>
  <c r="D26" i="30"/>
  <c r="E9" i="30" s="1"/>
  <c r="E26" i="30" s="1"/>
  <c r="F9" i="30" s="1"/>
  <c r="D36" i="30"/>
  <c r="E19" i="30" s="1"/>
  <c r="E36" i="30" s="1"/>
  <c r="F19" i="30" s="1"/>
  <c r="C82" i="30"/>
  <c r="C31" i="30" s="1"/>
  <c r="D14" i="30" s="1"/>
  <c r="D99" i="30" s="1"/>
  <c r="C75" i="30"/>
  <c r="C24" i="30" s="1"/>
  <c r="D7" i="30" s="1"/>
  <c r="D92" i="30" s="1"/>
  <c r="C73" i="30"/>
  <c r="C22" i="30" s="1"/>
  <c r="D5" i="30" s="1"/>
  <c r="D90" i="30" s="1"/>
  <c r="E102" i="30"/>
  <c r="E83" i="30" s="1"/>
  <c r="E34" i="30"/>
  <c r="F17" i="30" s="1"/>
  <c r="D101" i="30"/>
  <c r="D33" i="30"/>
  <c r="E16" i="30" s="1"/>
  <c r="D100" i="30"/>
  <c r="D79" i="30" s="1"/>
  <c r="D28" i="30" s="1"/>
  <c r="E11" i="30" s="1"/>
  <c r="E96" i="30" s="1"/>
  <c r="D32" i="30"/>
  <c r="E15" i="30" s="1"/>
  <c r="D25" i="30"/>
  <c r="E8" i="30" s="1"/>
  <c r="D93" i="30"/>
  <c r="C72" i="30"/>
  <c r="C21" i="30" s="1"/>
  <c r="D4" i="30" s="1"/>
  <c r="D89" i="30" s="1"/>
  <c r="C81" i="30"/>
  <c r="C30" i="30" s="1"/>
  <c r="D13" i="30" s="1"/>
  <c r="D98" i="30" s="1"/>
  <c r="D95" i="30"/>
  <c r="D97" i="30"/>
  <c r="B275" i="30" l="1"/>
  <c r="E94" i="30"/>
  <c r="E104" i="30"/>
  <c r="D81" i="30"/>
  <c r="D30" i="30" s="1"/>
  <c r="E13" i="30" s="1"/>
  <c r="E98" i="30" s="1"/>
  <c r="D72" i="30"/>
  <c r="D21" i="30" s="1"/>
  <c r="E4" i="30" s="1"/>
  <c r="E89" i="30" s="1"/>
  <c r="D82" i="30"/>
  <c r="D31" i="30" s="1"/>
  <c r="E14" i="30" s="1"/>
  <c r="E99" i="30" s="1"/>
  <c r="F104" i="30"/>
  <c r="F36" i="30"/>
  <c r="G19" i="30" s="1"/>
  <c r="F34" i="30"/>
  <c r="G17" i="30" s="1"/>
  <c r="F102" i="30"/>
  <c r="F83" i="30" s="1"/>
  <c r="E101" i="30"/>
  <c r="E33" i="30"/>
  <c r="F16" i="30" s="1"/>
  <c r="E100" i="30"/>
  <c r="E79" i="30" s="1"/>
  <c r="E28" i="30" s="1"/>
  <c r="F11" i="30" s="1"/>
  <c r="F96" i="30" s="1"/>
  <c r="E32" i="30"/>
  <c r="F15" i="30" s="1"/>
  <c r="D71" i="30"/>
  <c r="D20" i="30" s="1"/>
  <c r="E3" i="30" s="1"/>
  <c r="E88" i="30" s="1"/>
  <c r="D73" i="30"/>
  <c r="D22" i="30" s="1"/>
  <c r="E5" i="30" s="1"/>
  <c r="E90" i="30" s="1"/>
  <c r="F94" i="30"/>
  <c r="F26" i="30"/>
  <c r="G9" i="30" s="1"/>
  <c r="D80" i="30"/>
  <c r="D29" i="30" s="1"/>
  <c r="E12" i="30" s="1"/>
  <c r="E97" i="30" s="1"/>
  <c r="D78" i="30"/>
  <c r="D27" i="30" s="1"/>
  <c r="E10" i="30" s="1"/>
  <c r="E95" i="30" s="1"/>
  <c r="E93" i="30"/>
  <c r="E25" i="30"/>
  <c r="F8" i="30" s="1"/>
  <c r="D75" i="30"/>
  <c r="D24" i="30" s="1"/>
  <c r="E7" i="30" s="1"/>
  <c r="E92" i="30" s="1"/>
  <c r="D86" i="30"/>
  <c r="D35" i="30" s="1"/>
  <c r="E18" i="30" s="1"/>
  <c r="D74" i="30"/>
  <c r="D23" i="30" s="1"/>
  <c r="E6" i="30" s="1"/>
  <c r="E81" i="30" l="1"/>
  <c r="E30" i="30" s="1"/>
  <c r="F13" i="30" s="1"/>
  <c r="F98" i="30" s="1"/>
  <c r="E72" i="30"/>
  <c r="E21" i="30" s="1"/>
  <c r="F4" i="30" s="1"/>
  <c r="F89" i="30" s="1"/>
  <c r="F78" i="30" s="1"/>
  <c r="G104" i="30"/>
  <c r="G36" i="30"/>
  <c r="H19" i="30" s="1"/>
  <c r="G34" i="30"/>
  <c r="H17" i="30" s="1"/>
  <c r="G102" i="30"/>
  <c r="G83" i="30" s="1"/>
  <c r="F33" i="30"/>
  <c r="G16" i="30" s="1"/>
  <c r="F101" i="30"/>
  <c r="F100" i="30"/>
  <c r="F79" i="30" s="1"/>
  <c r="F28" i="30" s="1"/>
  <c r="G11" i="30" s="1"/>
  <c r="G96" i="30" s="1"/>
  <c r="F32" i="30"/>
  <c r="G15" i="30" s="1"/>
  <c r="G94" i="30"/>
  <c r="G26" i="30"/>
  <c r="H9" i="30" s="1"/>
  <c r="E74" i="30"/>
  <c r="E23" i="30" s="1"/>
  <c r="F6" i="30" s="1"/>
  <c r="F93" i="30"/>
  <c r="F25" i="30"/>
  <c r="G8" i="30" s="1"/>
  <c r="E71" i="30"/>
  <c r="E20" i="30" s="1"/>
  <c r="F3" i="30" s="1"/>
  <c r="F88" i="30" s="1"/>
  <c r="E73" i="30"/>
  <c r="E22" i="30" s="1"/>
  <c r="F5" i="30" s="1"/>
  <c r="F90" i="30" s="1"/>
  <c r="E78" i="30"/>
  <c r="E27" i="30" s="1"/>
  <c r="F10" i="30" s="1"/>
  <c r="E103" i="30"/>
  <c r="E80" i="30" s="1"/>
  <c r="E29" i="30" s="1"/>
  <c r="F12" i="30" s="1"/>
  <c r="E91" i="30"/>
  <c r="F81" i="30" l="1"/>
  <c r="F30" i="30" s="1"/>
  <c r="G13" i="30" s="1"/>
  <c r="G98" i="30" s="1"/>
  <c r="H36" i="30"/>
  <c r="I19" i="30" s="1"/>
  <c r="H104" i="30"/>
  <c r="H34" i="30"/>
  <c r="I17" i="30" s="1"/>
  <c r="H102" i="30"/>
  <c r="H83" i="30" s="1"/>
  <c r="G33" i="30"/>
  <c r="H16" i="30" s="1"/>
  <c r="G101" i="30"/>
  <c r="G100" i="30"/>
  <c r="G79" i="30" s="1"/>
  <c r="G28" i="30" s="1"/>
  <c r="H11" i="30" s="1"/>
  <c r="H96" i="30" s="1"/>
  <c r="G32" i="30"/>
  <c r="H15" i="30" s="1"/>
  <c r="H94" i="30"/>
  <c r="H26" i="30"/>
  <c r="I9" i="30" s="1"/>
  <c r="G25" i="30"/>
  <c r="H8" i="30" s="1"/>
  <c r="G93" i="30"/>
  <c r="F95" i="30"/>
  <c r="F27" i="30"/>
  <c r="G10" i="30" s="1"/>
  <c r="G95" i="30" s="1"/>
  <c r="F91" i="30"/>
  <c r="F75" i="30" s="1"/>
  <c r="F97" i="30"/>
  <c r="F71" i="30" s="1"/>
  <c r="F20" i="30" s="1"/>
  <c r="G3" i="30" s="1"/>
  <c r="E82" i="30"/>
  <c r="E31" i="30" s="1"/>
  <c r="F14" i="30" s="1"/>
  <c r="E86" i="30"/>
  <c r="E35" i="30" s="1"/>
  <c r="F18" i="30" s="1"/>
  <c r="E75" i="30"/>
  <c r="E24" i="30" s="1"/>
  <c r="F7" i="30" s="1"/>
  <c r="I104" i="30" l="1"/>
  <c r="I36" i="30"/>
  <c r="J19" i="30" s="1"/>
  <c r="C255" i="30" s="1"/>
  <c r="C256" i="30" s="1"/>
  <c r="I102" i="30"/>
  <c r="I83" i="30" s="1"/>
  <c r="I34" i="30"/>
  <c r="J17" i="30" s="1"/>
  <c r="C245" i="30" s="1"/>
  <c r="C246" i="30" s="1"/>
  <c r="H101" i="30"/>
  <c r="H33" i="30"/>
  <c r="I16" i="30" s="1"/>
  <c r="H100" i="30"/>
  <c r="H79" i="30" s="1"/>
  <c r="H28" i="30" s="1"/>
  <c r="I11" i="30" s="1"/>
  <c r="I96" i="30" s="1"/>
  <c r="H32" i="30"/>
  <c r="I15" i="30" s="1"/>
  <c r="I94" i="30"/>
  <c r="I26" i="30"/>
  <c r="J9" i="30" s="1"/>
  <c r="C205" i="30" s="1"/>
  <c r="C206" i="30" s="1"/>
  <c r="H93" i="30"/>
  <c r="H25" i="30"/>
  <c r="I8" i="30" s="1"/>
  <c r="F24" i="30"/>
  <c r="G7" i="30" s="1"/>
  <c r="G88" i="30"/>
  <c r="F92" i="30"/>
  <c r="F103" i="30"/>
  <c r="F80" i="30" s="1"/>
  <c r="F29" i="30" s="1"/>
  <c r="G12" i="30" s="1"/>
  <c r="F82" i="30"/>
  <c r="F31" i="30" s="1"/>
  <c r="G14" i="30" s="1"/>
  <c r="F99" i="30"/>
  <c r="C294" i="30" l="1"/>
  <c r="J36" i="30"/>
  <c r="K19" i="30" s="1"/>
  <c r="J104" i="30"/>
  <c r="J34" i="30"/>
  <c r="K17" i="30" s="1"/>
  <c r="J102" i="30"/>
  <c r="J83" i="30" s="1"/>
  <c r="C292" i="30"/>
  <c r="I101" i="30"/>
  <c r="I33" i="30"/>
  <c r="J16" i="30" s="1"/>
  <c r="C240" i="30" s="1"/>
  <c r="C241" i="30" s="1"/>
  <c r="I32" i="30"/>
  <c r="J15" i="30" s="1"/>
  <c r="C235" i="30" s="1"/>
  <c r="C236" i="30" s="1"/>
  <c r="I100" i="30"/>
  <c r="I79" i="30" s="1"/>
  <c r="I28" i="30" s="1"/>
  <c r="J11" i="30" s="1"/>
  <c r="C215" i="30" s="1"/>
  <c r="C216" i="30" s="1"/>
  <c r="J26" i="30"/>
  <c r="K9" i="30" s="1"/>
  <c r="C284" i="30"/>
  <c r="J94" i="30"/>
  <c r="I93" i="30"/>
  <c r="I25" i="30"/>
  <c r="J8" i="30" s="1"/>
  <c r="C200" i="30" s="1"/>
  <c r="C201" i="30" s="1"/>
  <c r="F74" i="30"/>
  <c r="F23" i="30" s="1"/>
  <c r="G6" i="30" s="1"/>
  <c r="G91" i="30" s="1"/>
  <c r="F86" i="30"/>
  <c r="F35" i="30" s="1"/>
  <c r="G18" i="30" s="1"/>
  <c r="G103" i="30" s="1"/>
  <c r="G99" i="30"/>
  <c r="G72" i="30" s="1"/>
  <c r="G92" i="30"/>
  <c r="G97" i="30"/>
  <c r="F72" i="30"/>
  <c r="F21" i="30" s="1"/>
  <c r="G4" i="30" s="1"/>
  <c r="F73" i="30"/>
  <c r="F22" i="30" s="1"/>
  <c r="G5" i="30" s="1"/>
  <c r="K104" i="30" l="1"/>
  <c r="K36" i="30"/>
  <c r="L19" i="30" s="1"/>
  <c r="C274" i="30"/>
  <c r="K34" i="30"/>
  <c r="L17" i="30" s="1"/>
  <c r="K102" i="30"/>
  <c r="K83" i="30" s="1"/>
  <c r="C272" i="30"/>
  <c r="J101" i="30"/>
  <c r="C291" i="30"/>
  <c r="J33" i="30"/>
  <c r="K16" i="30" s="1"/>
  <c r="C286" i="30"/>
  <c r="J96" i="30"/>
  <c r="C290" i="30"/>
  <c r="J100" i="30"/>
  <c r="J79" i="30" s="1"/>
  <c r="J28" i="30" s="1"/>
  <c r="K11" i="30" s="1"/>
  <c r="K96" i="30" s="1"/>
  <c r="J32" i="30"/>
  <c r="K15" i="30" s="1"/>
  <c r="K94" i="30"/>
  <c r="K26" i="30"/>
  <c r="L9" i="30" s="1"/>
  <c r="C264" i="30"/>
  <c r="J25" i="30"/>
  <c r="K8" i="30" s="1"/>
  <c r="C283" i="30"/>
  <c r="J93" i="30"/>
  <c r="G90" i="30"/>
  <c r="G89" i="30"/>
  <c r="G21" i="30"/>
  <c r="H4" i="30" s="1"/>
  <c r="G86" i="30"/>
  <c r="G35" i="30" s="1"/>
  <c r="H18" i="30" s="1"/>
  <c r="L104" i="30" l="1"/>
  <c r="L36" i="30"/>
  <c r="M19" i="30" s="1"/>
  <c r="L34" i="30"/>
  <c r="M17" i="30" s="1"/>
  <c r="L102" i="30"/>
  <c r="L83" i="30" s="1"/>
  <c r="K33" i="30"/>
  <c r="L16" i="30" s="1"/>
  <c r="K101" i="30"/>
  <c r="C271" i="30"/>
  <c r="K32" i="30"/>
  <c r="L15" i="30" s="1"/>
  <c r="K100" i="30"/>
  <c r="K79" i="30" s="1"/>
  <c r="K28" i="30" s="1"/>
  <c r="L11" i="30" s="1"/>
  <c r="L96" i="30" s="1"/>
  <c r="C270" i="30"/>
  <c r="L94" i="30"/>
  <c r="L26" i="30"/>
  <c r="M9" i="30" s="1"/>
  <c r="K93" i="30"/>
  <c r="K25" i="30"/>
  <c r="L8" i="30" s="1"/>
  <c r="C263" i="30"/>
  <c r="H89" i="30"/>
  <c r="G73" i="30"/>
  <c r="G22" i="30" s="1"/>
  <c r="H5" i="30" s="1"/>
  <c r="G71" i="30"/>
  <c r="G20" i="30" s="1"/>
  <c r="H3" i="30" s="1"/>
  <c r="G78" i="30"/>
  <c r="G27" i="30" s="1"/>
  <c r="H10" i="30" s="1"/>
  <c r="G82" i="30"/>
  <c r="G31" i="30" s="1"/>
  <c r="H14" i="30" s="1"/>
  <c r="G80" i="30"/>
  <c r="G29" i="30" s="1"/>
  <c r="H12" i="30" s="1"/>
  <c r="G75" i="30"/>
  <c r="G24" i="30" s="1"/>
  <c r="H7" i="30" s="1"/>
  <c r="H103" i="30"/>
  <c r="G81" i="30"/>
  <c r="G30" i="30" s="1"/>
  <c r="H13" i="30" s="1"/>
  <c r="G74" i="30"/>
  <c r="G23" i="30" s="1"/>
  <c r="H6" i="30" s="1"/>
  <c r="C266" i="30" l="1"/>
  <c r="M104" i="30"/>
  <c r="M36" i="30"/>
  <c r="N19" i="30" s="1"/>
  <c r="M102" i="30"/>
  <c r="M83" i="30" s="1"/>
  <c r="M34" i="30"/>
  <c r="N17" i="30" s="1"/>
  <c r="L33" i="30"/>
  <c r="M16" i="30" s="1"/>
  <c r="L101" i="30"/>
  <c r="L100" i="30"/>
  <c r="L79" i="30" s="1"/>
  <c r="L28" i="30" s="1"/>
  <c r="M11" i="30" s="1"/>
  <c r="M96" i="30" s="1"/>
  <c r="L32" i="30"/>
  <c r="M15" i="30" s="1"/>
  <c r="M94" i="30"/>
  <c r="M26" i="30"/>
  <c r="N9" i="30" s="1"/>
  <c r="L93" i="30"/>
  <c r="L25" i="30"/>
  <c r="M8" i="30" s="1"/>
  <c r="H92" i="30"/>
  <c r="H88" i="30"/>
  <c r="H97" i="30"/>
  <c r="H90" i="30"/>
  <c r="H91" i="30"/>
  <c r="H99" i="30"/>
  <c r="H72" i="30" s="1"/>
  <c r="H21" i="30" s="1"/>
  <c r="I4" i="30" s="1"/>
  <c r="H98" i="30"/>
  <c r="H95" i="30"/>
  <c r="H78" i="30"/>
  <c r="H27" i="30" s="1"/>
  <c r="I10" i="30" s="1"/>
  <c r="N104" i="30" l="1"/>
  <c r="N36" i="30"/>
  <c r="O19" i="30" s="1"/>
  <c r="N102" i="30"/>
  <c r="N83" i="30" s="1"/>
  <c r="N34" i="30"/>
  <c r="O17" i="30" s="1"/>
  <c r="M101" i="30"/>
  <c r="M33" i="30"/>
  <c r="N16" i="30" s="1"/>
  <c r="M100" i="30"/>
  <c r="M79" i="30" s="1"/>
  <c r="M28" i="30" s="1"/>
  <c r="N11" i="30" s="1"/>
  <c r="N96" i="30" s="1"/>
  <c r="M32" i="30"/>
  <c r="N15" i="30" s="1"/>
  <c r="H82" i="30"/>
  <c r="H31" i="30" s="1"/>
  <c r="I14" i="30" s="1"/>
  <c r="I99" i="30" s="1"/>
  <c r="I72" i="30" s="1"/>
  <c r="I21" i="30" s="1"/>
  <c r="J4" i="30" s="1"/>
  <c r="C180" i="30" s="1"/>
  <c r="C181" i="30" s="1"/>
  <c r="N94" i="30"/>
  <c r="N26" i="30"/>
  <c r="O9" i="30" s="1"/>
  <c r="M25" i="30"/>
  <c r="N8" i="30" s="1"/>
  <c r="M93" i="30"/>
  <c r="H71" i="30"/>
  <c r="H20" i="30" s="1"/>
  <c r="I3" i="30" s="1"/>
  <c r="I88" i="30" s="1"/>
  <c r="H73" i="30"/>
  <c r="H22" i="30" s="1"/>
  <c r="I5" i="30" s="1"/>
  <c r="I90" i="30" s="1"/>
  <c r="I95" i="30"/>
  <c r="H75" i="30"/>
  <c r="H24" i="30" s="1"/>
  <c r="I7" i="30" s="1"/>
  <c r="H80" i="30"/>
  <c r="H29" i="30" s="1"/>
  <c r="I12" i="30" s="1"/>
  <c r="I89" i="30"/>
  <c r="H74" i="30"/>
  <c r="H23" i="30" s="1"/>
  <c r="I6" i="30" s="1"/>
  <c r="H81" i="30"/>
  <c r="H30" i="30" s="1"/>
  <c r="I13" i="30" s="1"/>
  <c r="H86" i="30"/>
  <c r="H35" i="30" s="1"/>
  <c r="I18" i="30" s="1"/>
  <c r="O36" i="30" l="1"/>
  <c r="P19" i="30" s="1"/>
  <c r="O104" i="30"/>
  <c r="O34" i="30"/>
  <c r="P17" i="30" s="1"/>
  <c r="O102" i="30"/>
  <c r="O83" i="30" s="1"/>
  <c r="N33" i="30"/>
  <c r="O16" i="30" s="1"/>
  <c r="N101" i="30"/>
  <c r="N32" i="30"/>
  <c r="O15" i="30" s="1"/>
  <c r="N100" i="30"/>
  <c r="N79" i="30" s="1"/>
  <c r="N28" i="30" s="1"/>
  <c r="O11" i="30" s="1"/>
  <c r="O96" i="30" s="1"/>
  <c r="O94" i="30"/>
  <c r="O26" i="30"/>
  <c r="P9" i="30" s="1"/>
  <c r="N93" i="30"/>
  <c r="N25" i="30"/>
  <c r="O8" i="30" s="1"/>
  <c r="C279" i="30"/>
  <c r="J89" i="30"/>
  <c r="I91" i="30"/>
  <c r="I75" i="30" s="1"/>
  <c r="I24" i="30" s="1"/>
  <c r="J7" i="30" s="1"/>
  <c r="C195" i="30" s="1"/>
  <c r="C196" i="30" s="1"/>
  <c r="I103" i="30"/>
  <c r="I80" i="30" s="1"/>
  <c r="I29" i="30" s="1"/>
  <c r="J12" i="30" s="1"/>
  <c r="C220" i="30" s="1"/>
  <c r="C221" i="30" s="1"/>
  <c r="I78" i="30"/>
  <c r="I27" i="30" s="1"/>
  <c r="J10" i="30" s="1"/>
  <c r="C210" i="30" s="1"/>
  <c r="C211" i="30" s="1"/>
  <c r="I98" i="30"/>
  <c r="I73" i="30" s="1"/>
  <c r="I22" i="30" s="1"/>
  <c r="J5" i="30" s="1"/>
  <c r="C185" i="30" s="1"/>
  <c r="C186" i="30" s="1"/>
  <c r="I97" i="30"/>
  <c r="I81" i="30"/>
  <c r="I30" i="30" s="1"/>
  <c r="J13" i="30" s="1"/>
  <c r="C225" i="30" s="1"/>
  <c r="C226" i="30" s="1"/>
  <c r="I92" i="30"/>
  <c r="I74" i="30" s="1"/>
  <c r="I23" i="30" s="1"/>
  <c r="J6" i="30" s="1"/>
  <c r="C190" i="30" s="1"/>
  <c r="C191" i="30" s="1"/>
  <c r="P104" i="30" l="1"/>
  <c r="P36" i="30"/>
  <c r="Q19" i="30" s="1"/>
  <c r="P34" i="30"/>
  <c r="Q17" i="30" s="1"/>
  <c r="P102" i="30"/>
  <c r="P83" i="30" s="1"/>
  <c r="O101" i="30"/>
  <c r="O33" i="30"/>
  <c r="P16" i="30" s="1"/>
  <c r="O100" i="30"/>
  <c r="O79" i="30" s="1"/>
  <c r="O28" i="30" s="1"/>
  <c r="P11" i="30" s="1"/>
  <c r="P96" i="30" s="1"/>
  <c r="O32" i="30"/>
  <c r="P15" i="30" s="1"/>
  <c r="I71" i="30"/>
  <c r="I20" i="30" s="1"/>
  <c r="J3" i="30" s="1"/>
  <c r="C175" i="30" s="1"/>
  <c r="C176" i="30" s="1"/>
  <c r="P94" i="30"/>
  <c r="P26" i="30"/>
  <c r="Q9" i="30" s="1"/>
  <c r="O93" i="30"/>
  <c r="O25" i="30"/>
  <c r="P8" i="30" s="1"/>
  <c r="J90" i="30"/>
  <c r="C280" i="30"/>
  <c r="C282" i="30"/>
  <c r="J92" i="30"/>
  <c r="C281" i="30"/>
  <c r="J91" i="30"/>
  <c r="J98" i="30"/>
  <c r="C288" i="30"/>
  <c r="J97" i="30"/>
  <c r="C287" i="30"/>
  <c r="I82" i="30"/>
  <c r="I31" i="30" s="1"/>
  <c r="J14" i="30" s="1"/>
  <c r="C230" i="30" s="1"/>
  <c r="C231" i="30" s="1"/>
  <c r="J78" i="30"/>
  <c r="J27" i="30" s="1"/>
  <c r="K10" i="30" s="1"/>
  <c r="J95" i="30"/>
  <c r="C285" i="30"/>
  <c r="I86" i="30"/>
  <c r="I35" i="30" s="1"/>
  <c r="J18" i="30" s="1"/>
  <c r="C250" i="30" s="1"/>
  <c r="C251" i="30" s="1"/>
  <c r="C259" i="30"/>
  <c r="Q36" i="30" l="1"/>
  <c r="R19" i="30" s="1"/>
  <c r="D255" i="30" s="1"/>
  <c r="D256" i="30" s="1"/>
  <c r="Q104" i="30"/>
  <c r="Q102" i="30"/>
  <c r="Q83" i="30" s="1"/>
  <c r="Q34" i="30"/>
  <c r="R17" i="30" s="1"/>
  <c r="D245" i="30" s="1"/>
  <c r="D246" i="30" s="1"/>
  <c r="P101" i="30"/>
  <c r="P33" i="30"/>
  <c r="Q16" i="30" s="1"/>
  <c r="P100" i="30"/>
  <c r="P79" i="30" s="1"/>
  <c r="P28" i="30" s="1"/>
  <c r="Q11" i="30" s="1"/>
  <c r="Q96" i="30" s="1"/>
  <c r="P32" i="30"/>
  <c r="Q15" i="30" s="1"/>
  <c r="J88" i="30"/>
  <c r="J75" i="30" s="1"/>
  <c r="J24" i="30" s="1"/>
  <c r="K7" i="30" s="1"/>
  <c r="C278" i="30"/>
  <c r="Q94" i="30"/>
  <c r="Q26" i="30"/>
  <c r="R9" i="30" s="1"/>
  <c r="D205" i="30" s="1"/>
  <c r="D206" i="30" s="1"/>
  <c r="J82" i="30"/>
  <c r="J31" i="30" s="1"/>
  <c r="K14" i="30" s="1"/>
  <c r="P25" i="30"/>
  <c r="Q8" i="30" s="1"/>
  <c r="P93" i="30"/>
  <c r="J71" i="30"/>
  <c r="J20" i="30" s="1"/>
  <c r="K3" i="30" s="1"/>
  <c r="K88" i="30" s="1"/>
  <c r="J86" i="30"/>
  <c r="J35" i="30" s="1"/>
  <c r="K18" i="30" s="1"/>
  <c r="J103" i="30"/>
  <c r="C293" i="30"/>
  <c r="C265" i="30"/>
  <c r="J81" i="30"/>
  <c r="J30" i="30" s="1"/>
  <c r="K13" i="30" s="1"/>
  <c r="K95" i="30"/>
  <c r="C289" i="30"/>
  <c r="J99" i="30"/>
  <c r="J74" i="30" s="1"/>
  <c r="J23" i="30" s="1"/>
  <c r="K6" i="30" s="1"/>
  <c r="C267" i="30"/>
  <c r="C268" i="30"/>
  <c r="C261" i="30"/>
  <c r="C262" i="30"/>
  <c r="C260" i="30"/>
  <c r="C277" i="30" l="1"/>
  <c r="J80" i="30"/>
  <c r="J29" i="30" s="1"/>
  <c r="K12" i="30" s="1"/>
  <c r="K97" i="30" s="1"/>
  <c r="D294" i="30"/>
  <c r="R104" i="30"/>
  <c r="R36" i="30"/>
  <c r="S19" i="30" s="1"/>
  <c r="R34" i="30"/>
  <c r="S17" i="30" s="1"/>
  <c r="D292" i="30"/>
  <c r="R102" i="30"/>
  <c r="R83" i="30" s="1"/>
  <c r="Q33" i="30"/>
  <c r="R16" i="30" s="1"/>
  <c r="D240" i="30" s="1"/>
  <c r="D241" i="30" s="1"/>
  <c r="Q101" i="30"/>
  <c r="Q32" i="30"/>
  <c r="R15" i="30" s="1"/>
  <c r="D235" i="30" s="1"/>
  <c r="D236" i="30" s="1"/>
  <c r="Q100" i="30"/>
  <c r="Q79" i="30" s="1"/>
  <c r="Q28" i="30" s="1"/>
  <c r="R11" i="30" s="1"/>
  <c r="D215" i="30" s="1"/>
  <c r="D216" i="30" s="1"/>
  <c r="R94" i="30"/>
  <c r="D284" i="30"/>
  <c r="R26" i="30"/>
  <c r="S9" i="30" s="1"/>
  <c r="Q93" i="30"/>
  <c r="Q25" i="30"/>
  <c r="R8" i="30" s="1"/>
  <c r="D200" i="30" s="1"/>
  <c r="D201" i="30" s="1"/>
  <c r="C258" i="30"/>
  <c r="K91" i="30"/>
  <c r="K103" i="30"/>
  <c r="K99" i="30"/>
  <c r="K72" i="30" s="1"/>
  <c r="K98" i="30"/>
  <c r="C273" i="30"/>
  <c r="C269" i="30"/>
  <c r="K92" i="30"/>
  <c r="J72" i="30"/>
  <c r="J21" i="30" s="1"/>
  <c r="K4" i="30" s="1"/>
  <c r="J73" i="30"/>
  <c r="J22" i="30" s="1"/>
  <c r="K5" i="30" s="1"/>
  <c r="R96" i="30" l="1"/>
  <c r="S104" i="30"/>
  <c r="S36" i="30"/>
  <c r="T19" i="30" s="1"/>
  <c r="D274" i="30"/>
  <c r="D286" i="30"/>
  <c r="S34" i="30"/>
  <c r="T17" i="30" s="1"/>
  <c r="S102" i="30"/>
  <c r="S83" i="30" s="1"/>
  <c r="D272" i="30"/>
  <c r="R33" i="30"/>
  <c r="S16" i="30" s="1"/>
  <c r="D291" i="30"/>
  <c r="R101" i="30"/>
  <c r="R100" i="30"/>
  <c r="R79" i="30" s="1"/>
  <c r="R28" i="30" s="1"/>
  <c r="S11" i="30" s="1"/>
  <c r="S96" i="30" s="1"/>
  <c r="R32" i="30"/>
  <c r="S15" i="30" s="1"/>
  <c r="D290" i="30"/>
  <c r="S94" i="30"/>
  <c r="S26" i="30"/>
  <c r="T9" i="30" s="1"/>
  <c r="D264" i="30"/>
  <c r="D283" i="30"/>
  <c r="R93" i="30"/>
  <c r="R25" i="30"/>
  <c r="S8" i="30" s="1"/>
  <c r="C275" i="30"/>
  <c r="K89" i="30"/>
  <c r="K21" i="30"/>
  <c r="L4" i="30" s="1"/>
  <c r="K90" i="30"/>
  <c r="K86" i="30"/>
  <c r="K35" i="30" s="1"/>
  <c r="L18" i="30" s="1"/>
  <c r="T36" i="30" l="1"/>
  <c r="U19" i="30" s="1"/>
  <c r="T104" i="30"/>
  <c r="T102" i="30"/>
  <c r="T83" i="30" s="1"/>
  <c r="T34" i="30"/>
  <c r="U17" i="30" s="1"/>
  <c r="S101" i="30"/>
  <c r="S33" i="30"/>
  <c r="T16" i="30" s="1"/>
  <c r="D271" i="30"/>
  <c r="D270" i="30"/>
  <c r="S32" i="30"/>
  <c r="T15" i="30" s="1"/>
  <c r="S100" i="30"/>
  <c r="S79" i="30" s="1"/>
  <c r="S28" i="30" s="1"/>
  <c r="T11" i="30" s="1"/>
  <c r="T96" i="30" s="1"/>
  <c r="T94" i="30"/>
  <c r="T26" i="30"/>
  <c r="U9" i="30" s="1"/>
  <c r="S93" i="30"/>
  <c r="S25" i="30"/>
  <c r="T8" i="30" s="1"/>
  <c r="D263" i="30"/>
  <c r="L89" i="30"/>
  <c r="L103" i="30"/>
  <c r="K78" i="30"/>
  <c r="K27" i="30" s="1"/>
  <c r="L10" i="30" s="1"/>
  <c r="K82" i="30"/>
  <c r="K31" i="30" s="1"/>
  <c r="L14" i="30" s="1"/>
  <c r="K73" i="30"/>
  <c r="K22" i="30" s="1"/>
  <c r="L5" i="30" s="1"/>
  <c r="K71" i="30"/>
  <c r="K20" i="30" s="1"/>
  <c r="L3" i="30" s="1"/>
  <c r="K75" i="30"/>
  <c r="K24" i="30" s="1"/>
  <c r="L7" i="30" s="1"/>
  <c r="K80" i="30"/>
  <c r="K29" i="30" s="1"/>
  <c r="L12" i="30" s="1"/>
  <c r="K81" i="30"/>
  <c r="K30" i="30" s="1"/>
  <c r="L13" i="30" s="1"/>
  <c r="K74" i="30"/>
  <c r="K23" i="30" s="1"/>
  <c r="L6" i="30" s="1"/>
  <c r="D266" i="30" l="1"/>
  <c r="U104" i="30"/>
  <c r="U36" i="30"/>
  <c r="V19" i="30" s="1"/>
  <c r="U34" i="30"/>
  <c r="V17" i="30" s="1"/>
  <c r="U102" i="30"/>
  <c r="U83" i="30" s="1"/>
  <c r="T33" i="30"/>
  <c r="U16" i="30" s="1"/>
  <c r="T101" i="30"/>
  <c r="T100" i="30"/>
  <c r="T79" i="30" s="1"/>
  <c r="T28" i="30" s="1"/>
  <c r="U11" i="30" s="1"/>
  <c r="U96" i="30" s="1"/>
  <c r="T32" i="30"/>
  <c r="U15" i="30" s="1"/>
  <c r="U94" i="30"/>
  <c r="U26" i="30"/>
  <c r="V9" i="30" s="1"/>
  <c r="T25" i="30"/>
  <c r="U8" i="30" s="1"/>
  <c r="T93" i="30"/>
  <c r="L91" i="30"/>
  <c r="L88" i="30"/>
  <c r="L98" i="30"/>
  <c r="L90" i="30"/>
  <c r="L97" i="30"/>
  <c r="L99" i="30"/>
  <c r="L72" i="30" s="1"/>
  <c r="L21" i="30" s="1"/>
  <c r="M4" i="30" s="1"/>
  <c r="L92" i="30"/>
  <c r="L95" i="30"/>
  <c r="L78" i="30"/>
  <c r="L27" i="30" s="1"/>
  <c r="M10" i="30" s="1"/>
  <c r="L73" i="30" l="1"/>
  <c r="L22" i="30" s="1"/>
  <c r="M5" i="30" s="1"/>
  <c r="M90" i="30" s="1"/>
  <c r="V36" i="30"/>
  <c r="W19" i="30" s="1"/>
  <c r="V104" i="30"/>
  <c r="V102" i="30"/>
  <c r="V83" i="30" s="1"/>
  <c r="V34" i="30"/>
  <c r="W17" i="30" s="1"/>
  <c r="U101" i="30"/>
  <c r="U33" i="30"/>
  <c r="V16" i="30" s="1"/>
  <c r="U100" i="30"/>
  <c r="U79" i="30" s="1"/>
  <c r="U28" i="30" s="1"/>
  <c r="V11" i="30" s="1"/>
  <c r="U32" i="30"/>
  <c r="V15" i="30" s="1"/>
  <c r="L71" i="30"/>
  <c r="L20" i="30" s="1"/>
  <c r="M3" i="30" s="1"/>
  <c r="M88" i="30" s="1"/>
  <c r="V94" i="30"/>
  <c r="V26" i="30"/>
  <c r="W9" i="30" s="1"/>
  <c r="L82" i="30"/>
  <c r="L31" i="30" s="1"/>
  <c r="M14" i="30" s="1"/>
  <c r="M99" i="30" s="1"/>
  <c r="M72" i="30" s="1"/>
  <c r="M21" i="30" s="1"/>
  <c r="N4" i="30" s="1"/>
  <c r="U93" i="30"/>
  <c r="U25" i="30"/>
  <c r="V8" i="30" s="1"/>
  <c r="M95" i="30"/>
  <c r="M89" i="30"/>
  <c r="L74" i="30"/>
  <c r="L23" i="30" s="1"/>
  <c r="M6" i="30" s="1"/>
  <c r="L81" i="30"/>
  <c r="L30" i="30" s="1"/>
  <c r="M13" i="30" s="1"/>
  <c r="L80" i="30"/>
  <c r="L29" i="30" s="1"/>
  <c r="M12" i="30" s="1"/>
  <c r="L75" i="30"/>
  <c r="L24" i="30" s="1"/>
  <c r="M7" i="30" s="1"/>
  <c r="L86" i="30"/>
  <c r="L35" i="30" s="1"/>
  <c r="M18" i="30" s="1"/>
  <c r="W104" i="30" l="1"/>
  <c r="W36" i="30"/>
  <c r="X19" i="30" s="1"/>
  <c r="W102" i="30"/>
  <c r="W83" i="30" s="1"/>
  <c r="W34" i="30"/>
  <c r="X17" i="30" s="1"/>
  <c r="V33" i="30"/>
  <c r="W16" i="30" s="1"/>
  <c r="V101" i="30"/>
  <c r="V96" i="30"/>
  <c r="V100" i="30"/>
  <c r="V79" i="30" s="1"/>
  <c r="V28" i="30" s="1"/>
  <c r="W11" i="30" s="1"/>
  <c r="V32" i="30"/>
  <c r="W15" i="30" s="1"/>
  <c r="W26" i="30"/>
  <c r="X9" i="30" s="1"/>
  <c r="W94" i="30"/>
  <c r="V93" i="30"/>
  <c r="V25" i="30"/>
  <c r="W8" i="30" s="1"/>
  <c r="N89" i="30"/>
  <c r="M98" i="30"/>
  <c r="M73" i="30" s="1"/>
  <c r="M22" i="30" s="1"/>
  <c r="N5" i="30" s="1"/>
  <c r="M81" i="30"/>
  <c r="M30" i="30" s="1"/>
  <c r="N13" i="30" s="1"/>
  <c r="M103" i="30"/>
  <c r="M80" i="30" s="1"/>
  <c r="M29" i="30" s="1"/>
  <c r="N12" i="30" s="1"/>
  <c r="M91" i="30"/>
  <c r="M75" i="30" s="1"/>
  <c r="M24" i="30" s="1"/>
  <c r="N7" i="30" s="1"/>
  <c r="M92" i="30"/>
  <c r="M74" i="30" s="1"/>
  <c r="M23" i="30" s="1"/>
  <c r="N6" i="30" s="1"/>
  <c r="M97" i="30"/>
  <c r="M78" i="30"/>
  <c r="M27" i="30" s="1"/>
  <c r="N10" i="30" s="1"/>
  <c r="M71" i="30" l="1"/>
  <c r="M20" i="30" s="1"/>
  <c r="N3" i="30" s="1"/>
  <c r="N88" i="30" s="1"/>
  <c r="X104" i="30"/>
  <c r="X36" i="30"/>
  <c r="Y19" i="30" s="1"/>
  <c r="X34" i="30"/>
  <c r="Y17" i="30" s="1"/>
  <c r="X102" i="30"/>
  <c r="X83" i="30" s="1"/>
  <c r="W101" i="30"/>
  <c r="W33" i="30"/>
  <c r="X16" i="30" s="1"/>
  <c r="W96" i="30"/>
  <c r="W100" i="30"/>
  <c r="W79" i="30" s="1"/>
  <c r="W28" i="30" s="1"/>
  <c r="X11" i="30" s="1"/>
  <c r="W32" i="30"/>
  <c r="X15" i="30" s="1"/>
  <c r="M82" i="30"/>
  <c r="M31" i="30" s="1"/>
  <c r="N14" i="30" s="1"/>
  <c r="N99" i="30" s="1"/>
  <c r="N72" i="30" s="1"/>
  <c r="N21" i="30" s="1"/>
  <c r="O4" i="30" s="1"/>
  <c r="X94" i="30"/>
  <c r="X26" i="30"/>
  <c r="Y9" i="30" s="1"/>
  <c r="W93" i="30"/>
  <c r="W25" i="30"/>
  <c r="X8" i="30" s="1"/>
  <c r="N92" i="30"/>
  <c r="N97" i="30"/>
  <c r="N98" i="30"/>
  <c r="N91" i="30"/>
  <c r="N95" i="30"/>
  <c r="N90" i="30"/>
  <c r="M86" i="30"/>
  <c r="M35" i="30" s="1"/>
  <c r="N18" i="30" s="1"/>
  <c r="N78" i="30"/>
  <c r="N27" i="30" s="1"/>
  <c r="O10" i="30" s="1"/>
  <c r="Y104" i="30" l="1"/>
  <c r="Y36" i="30"/>
  <c r="Z19" i="30" s="1"/>
  <c r="E255" i="30" s="1"/>
  <c r="E256" i="30" s="1"/>
  <c r="Y34" i="30"/>
  <c r="Z17" i="30" s="1"/>
  <c r="E245" i="30" s="1"/>
  <c r="E246" i="30" s="1"/>
  <c r="Y102" i="30"/>
  <c r="Y83" i="30" s="1"/>
  <c r="X101" i="30"/>
  <c r="X33" i="30"/>
  <c r="Y16" i="30" s="1"/>
  <c r="X100" i="30"/>
  <c r="X79" i="30" s="1"/>
  <c r="X28" i="30" s="1"/>
  <c r="Y11" i="30" s="1"/>
  <c r="X32" i="30"/>
  <c r="Y15" i="30" s="1"/>
  <c r="X96" i="30"/>
  <c r="N71" i="30"/>
  <c r="N20" i="30" s="1"/>
  <c r="O3" i="30" s="1"/>
  <c r="O88" i="30" s="1"/>
  <c r="N82" i="30"/>
  <c r="N31" i="30" s="1"/>
  <c r="O14" i="30" s="1"/>
  <c r="O99" i="30" s="1"/>
  <c r="O72" i="30" s="1"/>
  <c r="O21" i="30" s="1"/>
  <c r="P4" i="30" s="1"/>
  <c r="N73" i="30"/>
  <c r="N22" i="30" s="1"/>
  <c r="O5" i="30" s="1"/>
  <c r="O90" i="30" s="1"/>
  <c r="Y26" i="30"/>
  <c r="Z9" i="30" s="1"/>
  <c r="E205" i="30" s="1"/>
  <c r="E206" i="30" s="1"/>
  <c r="Y94" i="30"/>
  <c r="X93" i="30"/>
  <c r="X25" i="30"/>
  <c r="Y8" i="30" s="1"/>
  <c r="O95" i="30"/>
  <c r="N74" i="30"/>
  <c r="N23" i="30" s="1"/>
  <c r="O6" i="30" s="1"/>
  <c r="N81" i="30"/>
  <c r="N30" i="30" s="1"/>
  <c r="O13" i="30" s="1"/>
  <c r="N75" i="30"/>
  <c r="N24" i="30" s="1"/>
  <c r="O7" i="30" s="1"/>
  <c r="O89" i="30"/>
  <c r="N103" i="30"/>
  <c r="N80" i="30" s="1"/>
  <c r="N29" i="30" s="1"/>
  <c r="O12" i="30" s="1"/>
  <c r="N86" i="30"/>
  <c r="N35" i="30" s="1"/>
  <c r="O18" i="30" s="1"/>
  <c r="E294" i="30" l="1"/>
  <c r="Z36" i="30"/>
  <c r="AA19" i="30" s="1"/>
  <c r="Z104" i="30"/>
  <c r="E292" i="30"/>
  <c r="Z34" i="30"/>
  <c r="AA17" i="30" s="1"/>
  <c r="Z102" i="30"/>
  <c r="Z83" i="30" s="1"/>
  <c r="Y33" i="30"/>
  <c r="Z16" i="30" s="1"/>
  <c r="E240" i="30" s="1"/>
  <c r="E241" i="30" s="1"/>
  <c r="Y101" i="30"/>
  <c r="Y100" i="30"/>
  <c r="Y79" i="30" s="1"/>
  <c r="Y28" i="30" s="1"/>
  <c r="Z11" i="30" s="1"/>
  <c r="E215" i="30" s="1"/>
  <c r="E216" i="30" s="1"/>
  <c r="Y32" i="30"/>
  <c r="Z15" i="30" s="1"/>
  <c r="E235" i="30" s="1"/>
  <c r="E236" i="30" s="1"/>
  <c r="Y96" i="30"/>
  <c r="E284" i="30"/>
  <c r="Z94" i="30"/>
  <c r="Z26" i="30"/>
  <c r="AA9" i="30" s="1"/>
  <c r="Y93" i="30"/>
  <c r="Y25" i="30"/>
  <c r="Z8" i="30" s="1"/>
  <c r="E200" i="30" s="1"/>
  <c r="E201" i="30" s="1"/>
  <c r="O103" i="30"/>
  <c r="O80" i="30" s="1"/>
  <c r="O29" i="30" s="1"/>
  <c r="P12" i="30" s="1"/>
  <c r="O97" i="30"/>
  <c r="O92" i="30"/>
  <c r="O74" i="30" s="1"/>
  <c r="O23" i="30" s="1"/>
  <c r="P6" i="30" s="1"/>
  <c r="O81" i="30"/>
  <c r="O30" i="30" s="1"/>
  <c r="P13" i="30" s="1"/>
  <c r="O78" i="30"/>
  <c r="O27" i="30" s="1"/>
  <c r="P10" i="30" s="1"/>
  <c r="O98" i="30"/>
  <c r="O73" i="30" s="1"/>
  <c r="O22" i="30" s="1"/>
  <c r="P5" i="30" s="1"/>
  <c r="P89" i="30"/>
  <c r="O91" i="30"/>
  <c r="AA36" i="30" l="1"/>
  <c r="AB19" i="30" s="1"/>
  <c r="AA104" i="30"/>
  <c r="E274" i="30"/>
  <c r="O86" i="30"/>
  <c r="O35" i="30" s="1"/>
  <c r="P18" i="30" s="1"/>
  <c r="P103" i="30" s="1"/>
  <c r="AA34" i="30"/>
  <c r="AB17" i="30" s="1"/>
  <c r="AA102" i="30"/>
  <c r="AA83" i="30" s="1"/>
  <c r="E272" i="30"/>
  <c r="E291" i="30"/>
  <c r="Z33" i="30"/>
  <c r="AA16" i="30" s="1"/>
  <c r="Z101" i="30"/>
  <c r="E290" i="30"/>
  <c r="Z100" i="30"/>
  <c r="Z79" i="30" s="1"/>
  <c r="Z28" i="30" s="1"/>
  <c r="AA11" i="30" s="1"/>
  <c r="AA96" i="30" s="1"/>
  <c r="Z32" i="30"/>
  <c r="AA15" i="30" s="1"/>
  <c r="E286" i="30"/>
  <c r="Z96" i="30"/>
  <c r="AA94" i="30"/>
  <c r="AA26" i="30"/>
  <c r="AB9" i="30" s="1"/>
  <c r="E264" i="30"/>
  <c r="Z93" i="30"/>
  <c r="Z25" i="30"/>
  <c r="AA8" i="30" s="1"/>
  <c r="E283" i="30"/>
  <c r="O75" i="30"/>
  <c r="O24" i="30" s="1"/>
  <c r="P7" i="30" s="1"/>
  <c r="P92" i="30" s="1"/>
  <c r="O82" i="30"/>
  <c r="O31" i="30" s="1"/>
  <c r="P14" i="30" s="1"/>
  <c r="P99" i="30" s="1"/>
  <c r="P72" i="30" s="1"/>
  <c r="P21" i="30" s="1"/>
  <c r="Q4" i="30" s="1"/>
  <c r="O71" i="30"/>
  <c r="O20" i="30" s="1"/>
  <c r="P3" i="30" s="1"/>
  <c r="P88" i="30" s="1"/>
  <c r="P97" i="30"/>
  <c r="P91" i="30"/>
  <c r="P90" i="30"/>
  <c r="P98" i="30"/>
  <c r="P78" i="30"/>
  <c r="P27" i="30" s="1"/>
  <c r="Q10" i="30" s="1"/>
  <c r="P95" i="30"/>
  <c r="E266" i="30" l="1"/>
  <c r="AB104" i="30"/>
  <c r="AB36" i="30"/>
  <c r="AC19" i="30" s="1"/>
  <c r="AB34" i="30"/>
  <c r="AC17" i="30" s="1"/>
  <c r="AB102" i="30"/>
  <c r="AB83" i="30" s="1"/>
  <c r="AA33" i="30"/>
  <c r="AB16" i="30" s="1"/>
  <c r="AA101" i="30"/>
  <c r="E271" i="30"/>
  <c r="AA100" i="30"/>
  <c r="AA79" i="30" s="1"/>
  <c r="AA28" i="30" s="1"/>
  <c r="AB11" i="30" s="1"/>
  <c r="AB96" i="30" s="1"/>
  <c r="AA32" i="30"/>
  <c r="AB15" i="30" s="1"/>
  <c r="E270" i="30"/>
  <c r="AB94" i="30"/>
  <c r="AB26" i="30"/>
  <c r="AC9" i="30" s="1"/>
  <c r="AA93" i="30"/>
  <c r="AA25" i="30"/>
  <c r="AB8" i="30" s="1"/>
  <c r="E263" i="30"/>
  <c r="P82" i="30"/>
  <c r="P31" i="30" s="1"/>
  <c r="Q14" i="30" s="1"/>
  <c r="Q99" i="30" s="1"/>
  <c r="Q72" i="30" s="1"/>
  <c r="Q21" i="30" s="1"/>
  <c r="R4" i="30" s="1"/>
  <c r="D180" i="30" s="1"/>
  <c r="D181" i="30" s="1"/>
  <c r="P73" i="30"/>
  <c r="P22" i="30" s="1"/>
  <c r="Q5" i="30" s="1"/>
  <c r="Q90" i="30" s="1"/>
  <c r="Q95" i="30"/>
  <c r="P74" i="30"/>
  <c r="P23" i="30" s="1"/>
  <c r="Q6" i="30" s="1"/>
  <c r="P81" i="30"/>
  <c r="P30" i="30" s="1"/>
  <c r="Q13" i="30" s="1"/>
  <c r="Q89" i="30"/>
  <c r="P75" i="30"/>
  <c r="P24" i="30" s="1"/>
  <c r="Q7" i="30" s="1"/>
  <c r="P80" i="30"/>
  <c r="P29" i="30" s="1"/>
  <c r="Q12" i="30" s="1"/>
  <c r="P71" i="30"/>
  <c r="P20" i="30" s="1"/>
  <c r="Q3" i="30" s="1"/>
  <c r="P86" i="30"/>
  <c r="P35" i="30" s="1"/>
  <c r="Q18" i="30" s="1"/>
  <c r="AC104" i="30" l="1"/>
  <c r="AC36" i="30"/>
  <c r="AD19" i="30" s="1"/>
  <c r="AC102" i="30"/>
  <c r="AC83" i="30" s="1"/>
  <c r="AC34" i="30"/>
  <c r="AD17" i="30" s="1"/>
  <c r="AB101" i="30"/>
  <c r="AB33" i="30"/>
  <c r="AC16" i="30" s="1"/>
  <c r="AB32" i="30"/>
  <c r="AC15" i="30" s="1"/>
  <c r="AB100" i="30"/>
  <c r="AB79" i="30" s="1"/>
  <c r="AB28" i="30" s="1"/>
  <c r="AC11" i="30" s="1"/>
  <c r="AC96" i="30" s="1"/>
  <c r="AC94" i="30"/>
  <c r="AC26" i="30"/>
  <c r="AD9" i="30" s="1"/>
  <c r="AB93" i="30"/>
  <c r="AB25" i="30"/>
  <c r="AC8" i="30" s="1"/>
  <c r="Q98" i="30"/>
  <c r="Q73" i="30" s="1"/>
  <c r="Q22" i="30" s="1"/>
  <c r="R5" i="30" s="1"/>
  <c r="D185" i="30" s="1"/>
  <c r="D186" i="30" s="1"/>
  <c r="Q92" i="30"/>
  <c r="Q74" i="30" s="1"/>
  <c r="Q23" i="30" s="1"/>
  <c r="R6" i="30" s="1"/>
  <c r="D190" i="30" s="1"/>
  <c r="D191" i="30" s="1"/>
  <c r="Q91" i="30"/>
  <c r="Q103" i="30"/>
  <c r="D279" i="30"/>
  <c r="R89" i="30"/>
  <c r="Q97" i="30"/>
  <c r="Q88" i="30"/>
  <c r="Q78" i="30"/>
  <c r="Q27" i="30" s="1"/>
  <c r="R10" i="30" s="1"/>
  <c r="D210" i="30" s="1"/>
  <c r="D211" i="30" s="1"/>
  <c r="Q81" i="30"/>
  <c r="Q30" i="30" s="1"/>
  <c r="R13" i="30" s="1"/>
  <c r="D225" i="30" s="1"/>
  <c r="D226" i="30" s="1"/>
  <c r="Q71" i="30" l="1"/>
  <c r="Q20" i="30" s="1"/>
  <c r="R3" i="30" s="1"/>
  <c r="D175" i="30" s="1"/>
  <c r="D176" i="30" s="1"/>
  <c r="Q82" i="30"/>
  <c r="Q31" i="30" s="1"/>
  <c r="R14" i="30" s="1"/>
  <c r="D230" i="30" s="1"/>
  <c r="D231" i="30" s="1"/>
  <c r="AD104" i="30"/>
  <c r="AD36" i="30"/>
  <c r="AE19" i="30" s="1"/>
  <c r="AD34" i="30"/>
  <c r="AE17" i="30" s="1"/>
  <c r="AD102" i="30"/>
  <c r="AD83" i="30" s="1"/>
  <c r="AC101" i="30"/>
  <c r="AC33" i="30"/>
  <c r="AD16" i="30" s="1"/>
  <c r="AC100" i="30"/>
  <c r="AC79" i="30" s="1"/>
  <c r="AC28" i="30" s="1"/>
  <c r="AD11" i="30" s="1"/>
  <c r="AD96" i="30" s="1"/>
  <c r="AC32" i="30"/>
  <c r="AD15" i="30" s="1"/>
  <c r="AD94" i="30"/>
  <c r="AD26" i="30"/>
  <c r="AE9" i="30" s="1"/>
  <c r="AC25" i="30"/>
  <c r="AD8" i="30" s="1"/>
  <c r="AC93" i="30"/>
  <c r="D288" i="30"/>
  <c r="R98" i="30"/>
  <c r="D281" i="30"/>
  <c r="R91" i="30"/>
  <c r="Q75" i="30"/>
  <c r="Q24" i="30" s="1"/>
  <c r="R7" i="30" s="1"/>
  <c r="D195" i="30" s="1"/>
  <c r="D196" i="30" s="1"/>
  <c r="Q80" i="30"/>
  <c r="Q29" i="30" s="1"/>
  <c r="R12" i="30" s="1"/>
  <c r="D220" i="30" s="1"/>
  <c r="D221" i="30" s="1"/>
  <c r="R78" i="30"/>
  <c r="R27" i="30" s="1"/>
  <c r="S10" i="30" s="1"/>
  <c r="R90" i="30"/>
  <c r="D280" i="30"/>
  <c r="D285" i="30"/>
  <c r="R95" i="30"/>
  <c r="D259" i="30"/>
  <c r="Q86" i="30"/>
  <c r="Q35" i="30" s="1"/>
  <c r="R18" i="30" s="1"/>
  <c r="D250" i="30" s="1"/>
  <c r="D251" i="30" s="1"/>
  <c r="R99" i="30" l="1"/>
  <c r="R72" i="30" s="1"/>
  <c r="R21" i="30" s="1"/>
  <c r="S4" i="30" s="1"/>
  <c r="S89" i="30" s="1"/>
  <c r="D278" i="30"/>
  <c r="D289" i="30"/>
  <c r="R88" i="30"/>
  <c r="R75" i="30" s="1"/>
  <c r="R24" i="30" s="1"/>
  <c r="S7" i="30" s="1"/>
  <c r="AE104" i="30"/>
  <c r="AE36" i="30"/>
  <c r="AF19" i="30" s="1"/>
  <c r="AE34" i="30"/>
  <c r="AF17" i="30" s="1"/>
  <c r="AE102" i="30"/>
  <c r="AE83" i="30" s="1"/>
  <c r="AD101" i="30"/>
  <c r="AD33" i="30"/>
  <c r="AE16" i="30" s="1"/>
  <c r="AD100" i="30"/>
  <c r="AD79" i="30" s="1"/>
  <c r="AD28" i="30" s="1"/>
  <c r="AE11" i="30" s="1"/>
  <c r="AD32" i="30"/>
  <c r="AE15" i="30" s="1"/>
  <c r="AE26" i="30"/>
  <c r="AF9" i="30" s="1"/>
  <c r="AE94" i="30"/>
  <c r="AD93" i="30"/>
  <c r="AD25" i="30"/>
  <c r="AE8" i="30" s="1"/>
  <c r="S95" i="30"/>
  <c r="R81" i="30"/>
  <c r="R30" i="30" s="1"/>
  <c r="S13" i="30" s="1"/>
  <c r="D265" i="30"/>
  <c r="D260" i="30"/>
  <c r="D287" i="30"/>
  <c r="R97" i="30"/>
  <c r="R71" i="30" s="1"/>
  <c r="R20" i="30" s="1"/>
  <c r="S3" i="30" s="1"/>
  <c r="D293" i="30"/>
  <c r="R103" i="30"/>
  <c r="R82" i="30"/>
  <c r="R31" i="30" s="1"/>
  <c r="S14" i="30" s="1"/>
  <c r="R92" i="30"/>
  <c r="D282" i="30"/>
  <c r="D261" i="30"/>
  <c r="D268" i="30"/>
  <c r="D277" i="30" l="1"/>
  <c r="R74" i="30"/>
  <c r="R23" i="30" s="1"/>
  <c r="S6" i="30" s="1"/>
  <c r="S91" i="30" s="1"/>
  <c r="R73" i="30"/>
  <c r="R22" i="30" s="1"/>
  <c r="S5" i="30" s="1"/>
  <c r="S90" i="30" s="1"/>
  <c r="S81" i="30" s="1"/>
  <c r="S30" i="30" s="1"/>
  <c r="T13" i="30" s="1"/>
  <c r="D269" i="30"/>
  <c r="R80" i="30"/>
  <c r="R29" i="30" s="1"/>
  <c r="S12" i="30" s="1"/>
  <c r="S97" i="30" s="1"/>
  <c r="AF104" i="30"/>
  <c r="AF36" i="30"/>
  <c r="AG19" i="30" s="1"/>
  <c r="AF34" i="30"/>
  <c r="AG17" i="30" s="1"/>
  <c r="AF102" i="30"/>
  <c r="AF83" i="30" s="1"/>
  <c r="AE33" i="30"/>
  <c r="AF16" i="30" s="1"/>
  <c r="AE101" i="30"/>
  <c r="AE96" i="30"/>
  <c r="AE100" i="30"/>
  <c r="AE79" i="30" s="1"/>
  <c r="AE28" i="30" s="1"/>
  <c r="AF11" i="30" s="1"/>
  <c r="AF96" i="30" s="1"/>
  <c r="AE32" i="30"/>
  <c r="AF15" i="30" s="1"/>
  <c r="AF94" i="30"/>
  <c r="AF26" i="30"/>
  <c r="AG9" i="30" s="1"/>
  <c r="AE93" i="30"/>
  <c r="AE25" i="30"/>
  <c r="AF8" i="30" s="1"/>
  <c r="D258" i="30"/>
  <c r="D262" i="30"/>
  <c r="S99" i="30"/>
  <c r="S72" i="30" s="1"/>
  <c r="S21" i="30" s="1"/>
  <c r="T4" i="30" s="1"/>
  <c r="D273" i="30"/>
  <c r="S78" i="30"/>
  <c r="S27" i="30" s="1"/>
  <c r="T10" i="30" s="1"/>
  <c r="R86" i="30"/>
  <c r="R35" i="30" s="1"/>
  <c r="S18" i="30" s="1"/>
  <c r="S92" i="30"/>
  <c r="D267" i="30"/>
  <c r="S88" i="30"/>
  <c r="S98" i="30"/>
  <c r="S82" i="30" l="1"/>
  <c r="S31" i="30" s="1"/>
  <c r="T14" i="30" s="1"/>
  <c r="T99" i="30" s="1"/>
  <c r="T72" i="30" s="1"/>
  <c r="T21" i="30" s="1"/>
  <c r="U4" i="30" s="1"/>
  <c r="AG104" i="30"/>
  <c r="AG36" i="30"/>
  <c r="AH19" i="30" s="1"/>
  <c r="F255" i="30" s="1"/>
  <c r="F256" i="30" s="1"/>
  <c r="AG34" i="30"/>
  <c r="AH17" i="30" s="1"/>
  <c r="F245" i="30" s="1"/>
  <c r="F246" i="30" s="1"/>
  <c r="AG102" i="30"/>
  <c r="AG83" i="30" s="1"/>
  <c r="AF101" i="30"/>
  <c r="AF33" i="30"/>
  <c r="AG16" i="30" s="1"/>
  <c r="AF32" i="30"/>
  <c r="AG15" i="30" s="1"/>
  <c r="AF100" i="30"/>
  <c r="AF79" i="30" s="1"/>
  <c r="AF28" i="30" s="1"/>
  <c r="AG11" i="30" s="1"/>
  <c r="AG96" i="30" s="1"/>
  <c r="AG94" i="30"/>
  <c r="AG26" i="30"/>
  <c r="AH9" i="30" s="1"/>
  <c r="F205" i="30" s="1"/>
  <c r="F206" i="30" s="1"/>
  <c r="AF93" i="30"/>
  <c r="AF25" i="30"/>
  <c r="AG8" i="30" s="1"/>
  <c r="D275" i="30"/>
  <c r="S73" i="30"/>
  <c r="S22" i="30" s="1"/>
  <c r="T5" i="30" s="1"/>
  <c r="T90" i="30" s="1"/>
  <c r="T98" i="30"/>
  <c r="S103" i="30"/>
  <c r="S80" i="30" s="1"/>
  <c r="S29" i="30" s="1"/>
  <c r="T12" i="30" s="1"/>
  <c r="T95" i="30"/>
  <c r="S75" i="30"/>
  <c r="S24" i="30" s="1"/>
  <c r="T7" i="30" s="1"/>
  <c r="S74" i="30"/>
  <c r="S23" i="30" s="1"/>
  <c r="T6" i="30" s="1"/>
  <c r="S71" i="30"/>
  <c r="S20" i="30" s="1"/>
  <c r="T3" i="30" s="1"/>
  <c r="S86" i="30"/>
  <c r="S35" i="30" s="1"/>
  <c r="T18" i="30" s="1"/>
  <c r="T89" i="30"/>
  <c r="AH36" i="30" l="1"/>
  <c r="AI19" i="30" s="1"/>
  <c r="F294" i="30"/>
  <c r="AH104" i="30"/>
  <c r="F292" i="30"/>
  <c r="AH34" i="30"/>
  <c r="AI17" i="30" s="1"/>
  <c r="AH102" i="30"/>
  <c r="AH83" i="30" s="1"/>
  <c r="AG33" i="30"/>
  <c r="AH16" i="30" s="1"/>
  <c r="F240" i="30" s="1"/>
  <c r="F241" i="30" s="1"/>
  <c r="AG101" i="30"/>
  <c r="AG100" i="30"/>
  <c r="AG79" i="30" s="1"/>
  <c r="AG28" i="30" s="1"/>
  <c r="AH11" i="30" s="1"/>
  <c r="F215" i="30" s="1"/>
  <c r="F216" i="30" s="1"/>
  <c r="AG32" i="30"/>
  <c r="AH15" i="30" s="1"/>
  <c r="F235" i="30" s="1"/>
  <c r="F236" i="30" s="1"/>
  <c r="F284" i="30"/>
  <c r="AH94" i="30"/>
  <c r="AH26" i="30"/>
  <c r="AI9" i="30" s="1"/>
  <c r="AG25" i="30"/>
  <c r="AH8" i="30" s="1"/>
  <c r="F200" i="30" s="1"/>
  <c r="F201" i="30" s="1"/>
  <c r="AG93" i="30"/>
  <c r="T103" i="30"/>
  <c r="T88" i="30"/>
  <c r="T91" i="30"/>
  <c r="T82" i="30" s="1"/>
  <c r="T31" i="30" s="1"/>
  <c r="U14" i="30" s="1"/>
  <c r="T81" i="30"/>
  <c r="T30" i="30" s="1"/>
  <c r="U13" i="30" s="1"/>
  <c r="T92" i="30"/>
  <c r="T74" i="30" s="1"/>
  <c r="T23" i="30" s="1"/>
  <c r="U6" i="30" s="1"/>
  <c r="T78" i="30"/>
  <c r="T27" i="30" s="1"/>
  <c r="U10" i="30" s="1"/>
  <c r="T73" i="30"/>
  <c r="T22" i="30" s="1"/>
  <c r="U5" i="30" s="1"/>
  <c r="U89" i="30"/>
  <c r="T97" i="30"/>
  <c r="T71" i="30" s="1"/>
  <c r="T20" i="30" s="1"/>
  <c r="U3" i="30" s="1"/>
  <c r="AH96" i="30" l="1"/>
  <c r="AI104" i="30"/>
  <c r="AI36" i="30"/>
  <c r="AJ19" i="30" s="1"/>
  <c r="F274" i="30"/>
  <c r="AI34" i="30"/>
  <c r="AJ17" i="30" s="1"/>
  <c r="AI102" i="30"/>
  <c r="AI83" i="30" s="1"/>
  <c r="F286" i="30"/>
  <c r="F272" i="30"/>
  <c r="AH33" i="30"/>
  <c r="AI16" i="30" s="1"/>
  <c r="F291" i="30"/>
  <c r="AH101" i="30"/>
  <c r="F290" i="30"/>
  <c r="AH100" i="30"/>
  <c r="AH79" i="30" s="1"/>
  <c r="AH28" i="30" s="1"/>
  <c r="AI11" i="30" s="1"/>
  <c r="AI96" i="30" s="1"/>
  <c r="AH32" i="30"/>
  <c r="AI15" i="30" s="1"/>
  <c r="AI94" i="30"/>
  <c r="AI26" i="30"/>
  <c r="AJ9" i="30" s="1"/>
  <c r="F264" i="30"/>
  <c r="AH25" i="30"/>
  <c r="AI8" i="30" s="1"/>
  <c r="F283" i="30"/>
  <c r="AH93" i="30"/>
  <c r="U88" i="30"/>
  <c r="U91" i="30"/>
  <c r="T75" i="30"/>
  <c r="T24" i="30" s="1"/>
  <c r="U7" i="30" s="1"/>
  <c r="T80" i="30"/>
  <c r="T29" i="30" s="1"/>
  <c r="U12" i="30" s="1"/>
  <c r="U95" i="30"/>
  <c r="U98" i="30"/>
  <c r="U78" i="30"/>
  <c r="U27" i="30" s="1"/>
  <c r="V10" i="30" s="1"/>
  <c r="U99" i="30"/>
  <c r="U72" i="30" s="1"/>
  <c r="U21" i="30" s="1"/>
  <c r="V4" i="30" s="1"/>
  <c r="U90" i="30"/>
  <c r="T86" i="30"/>
  <c r="T35" i="30" s="1"/>
  <c r="U18" i="30" s="1"/>
  <c r="F266" i="30" l="1"/>
  <c r="AJ104" i="30"/>
  <c r="AJ36" i="30"/>
  <c r="AK19" i="30" s="1"/>
  <c r="AJ34" i="30"/>
  <c r="AK17" i="30" s="1"/>
  <c r="AJ102" i="30"/>
  <c r="AJ83" i="30" s="1"/>
  <c r="AI33" i="30"/>
  <c r="AJ16" i="30" s="1"/>
  <c r="AI101" i="30"/>
  <c r="F271" i="30"/>
  <c r="AI32" i="30"/>
  <c r="AJ15" i="30" s="1"/>
  <c r="AI100" i="30"/>
  <c r="AI79" i="30" s="1"/>
  <c r="AI28" i="30" s="1"/>
  <c r="AJ11" i="30" s="1"/>
  <c r="AJ96" i="30" s="1"/>
  <c r="F270" i="30"/>
  <c r="U82" i="30"/>
  <c r="U31" i="30" s="1"/>
  <c r="V14" i="30" s="1"/>
  <c r="V99" i="30" s="1"/>
  <c r="V72" i="30" s="1"/>
  <c r="V21" i="30" s="1"/>
  <c r="W4" i="30" s="1"/>
  <c r="AJ26" i="30"/>
  <c r="AK9" i="30" s="1"/>
  <c r="AJ94" i="30"/>
  <c r="AI25" i="30"/>
  <c r="AJ8" i="30" s="1"/>
  <c r="AI93" i="30"/>
  <c r="F263" i="30"/>
  <c r="V95" i="30"/>
  <c r="V89" i="30"/>
  <c r="U103" i="30"/>
  <c r="U80" i="30" s="1"/>
  <c r="U29" i="30" s="1"/>
  <c r="V12" i="30" s="1"/>
  <c r="U73" i="30"/>
  <c r="U22" i="30" s="1"/>
  <c r="V5" i="30" s="1"/>
  <c r="U97" i="30"/>
  <c r="U71" i="30" s="1"/>
  <c r="U20" i="30" s="1"/>
  <c r="V3" i="30" s="1"/>
  <c r="U81" i="30"/>
  <c r="U30" i="30" s="1"/>
  <c r="V13" i="30" s="1"/>
  <c r="U92" i="30"/>
  <c r="U75" i="30"/>
  <c r="U24" i="30" s="1"/>
  <c r="V7" i="30" s="1"/>
  <c r="AK36" i="30" l="1"/>
  <c r="AL19" i="30" s="1"/>
  <c r="AK104" i="30"/>
  <c r="AK102" i="30"/>
  <c r="AK83" i="30" s="1"/>
  <c r="AK34" i="30"/>
  <c r="AL17" i="30" s="1"/>
  <c r="AJ101" i="30"/>
  <c r="AJ33" i="30"/>
  <c r="AK16" i="30" s="1"/>
  <c r="AJ100" i="30"/>
  <c r="AJ79" i="30" s="1"/>
  <c r="AJ28" i="30" s="1"/>
  <c r="AK11" i="30" s="1"/>
  <c r="AK96" i="30" s="1"/>
  <c r="AJ32" i="30"/>
  <c r="AK15" i="30" s="1"/>
  <c r="AK94" i="30"/>
  <c r="AK26" i="30"/>
  <c r="AL9" i="30" s="1"/>
  <c r="AJ93" i="30"/>
  <c r="AJ25" i="30"/>
  <c r="AK8" i="30" s="1"/>
  <c r="U86" i="30"/>
  <c r="U35" i="30" s="1"/>
  <c r="V18" i="30" s="1"/>
  <c r="V103" i="30" s="1"/>
  <c r="V97" i="30"/>
  <c r="W89" i="30"/>
  <c r="V88" i="30"/>
  <c r="V92" i="30"/>
  <c r="V90" i="30"/>
  <c r="V98" i="30"/>
  <c r="V73" i="30" s="1"/>
  <c r="V22" i="30" s="1"/>
  <c r="W5" i="30" s="1"/>
  <c r="U74" i="30"/>
  <c r="U23" i="30" s="1"/>
  <c r="V6" i="30" s="1"/>
  <c r="V78" i="30"/>
  <c r="V27" i="30" s="1"/>
  <c r="W10" i="30" s="1"/>
  <c r="AL36" i="30" l="1"/>
  <c r="AM19" i="30" s="1"/>
  <c r="AL104" i="30"/>
  <c r="AL102" i="30"/>
  <c r="AL83" i="30" s="1"/>
  <c r="AL34" i="30"/>
  <c r="AM17" i="30" s="1"/>
  <c r="AK101" i="30"/>
  <c r="AK33" i="30"/>
  <c r="AL16" i="30" s="1"/>
  <c r="AK32" i="30"/>
  <c r="AL15" i="30" s="1"/>
  <c r="AK100" i="30"/>
  <c r="AK79" i="30" s="1"/>
  <c r="AK28" i="30" s="1"/>
  <c r="AL11" i="30" s="1"/>
  <c r="AL96" i="30" s="1"/>
  <c r="V71" i="30"/>
  <c r="V20" i="30" s="1"/>
  <c r="W3" i="30" s="1"/>
  <c r="W88" i="30" s="1"/>
  <c r="AL26" i="30"/>
  <c r="AM9" i="30" s="1"/>
  <c r="AL94" i="30"/>
  <c r="AK93" i="30"/>
  <c r="AK25" i="30"/>
  <c r="AL8" i="30" s="1"/>
  <c r="W90" i="30"/>
  <c r="V80" i="30"/>
  <c r="V29" i="30" s="1"/>
  <c r="W12" i="30" s="1"/>
  <c r="V91" i="30"/>
  <c r="V74" i="30"/>
  <c r="V23" i="30" s="1"/>
  <c r="W6" i="30" s="1"/>
  <c r="V81" i="30"/>
  <c r="V30" i="30" s="1"/>
  <c r="W13" i="30" s="1"/>
  <c r="W95" i="30"/>
  <c r="W78" i="30"/>
  <c r="W27" i="30" s="1"/>
  <c r="X10" i="30" s="1"/>
  <c r="AM36" i="30" l="1"/>
  <c r="AN19" i="30" s="1"/>
  <c r="AM104" i="30"/>
  <c r="AM34" i="30"/>
  <c r="AN17" i="30" s="1"/>
  <c r="AM102" i="30"/>
  <c r="AM83" i="30" s="1"/>
  <c r="AL33" i="30"/>
  <c r="AM16" i="30" s="1"/>
  <c r="AL101" i="30"/>
  <c r="AL32" i="30"/>
  <c r="AM15" i="30" s="1"/>
  <c r="AL100" i="30"/>
  <c r="AL79" i="30" s="1"/>
  <c r="AL28" i="30" s="1"/>
  <c r="AM11" i="30" s="1"/>
  <c r="AM96" i="30" s="1"/>
  <c r="AM94" i="30"/>
  <c r="AM26" i="30"/>
  <c r="AN9" i="30" s="1"/>
  <c r="AL93" i="30"/>
  <c r="AL25" i="30"/>
  <c r="AM8" i="30" s="1"/>
  <c r="X95" i="30"/>
  <c r="W91" i="30"/>
  <c r="W75" i="30" s="1"/>
  <c r="V86" i="30"/>
  <c r="V35" i="30" s="1"/>
  <c r="W18" i="30" s="1"/>
  <c r="V82" i="30"/>
  <c r="V31" i="30" s="1"/>
  <c r="W14" i="30" s="1"/>
  <c r="W81" i="30"/>
  <c r="W30" i="30" s="1"/>
  <c r="X13" i="30" s="1"/>
  <c r="W98" i="30"/>
  <c r="V75" i="30"/>
  <c r="V24" i="30" s="1"/>
  <c r="W7" i="30" s="1"/>
  <c r="W97" i="30"/>
  <c r="AN36" i="30" l="1"/>
  <c r="AO19" i="30" s="1"/>
  <c r="AN104" i="30"/>
  <c r="AN102" i="30"/>
  <c r="AN83" i="30" s="1"/>
  <c r="AN34" i="30"/>
  <c r="AO17" i="30" s="1"/>
  <c r="AM101" i="30"/>
  <c r="AM33" i="30"/>
  <c r="AN16" i="30" s="1"/>
  <c r="AM32" i="30"/>
  <c r="AN15" i="30" s="1"/>
  <c r="AM100" i="30"/>
  <c r="AM79" i="30" s="1"/>
  <c r="AM28" i="30" s="1"/>
  <c r="AN11" i="30" s="1"/>
  <c r="AN96" i="30" s="1"/>
  <c r="AN94" i="30"/>
  <c r="AN26" i="30"/>
  <c r="AO9" i="30" s="1"/>
  <c r="AM93" i="30"/>
  <c r="AM25" i="30"/>
  <c r="AN8" i="30" s="1"/>
  <c r="W24" i="30"/>
  <c r="X7" i="30" s="1"/>
  <c r="W71" i="30"/>
  <c r="W20" i="30" s="1"/>
  <c r="X3" i="30" s="1"/>
  <c r="X88" i="30" s="1"/>
  <c r="W92" i="30"/>
  <c r="X98" i="30"/>
  <c r="W99" i="30"/>
  <c r="W72" i="30" s="1"/>
  <c r="W21" i="30" s="1"/>
  <c r="X4" i="30" s="1"/>
  <c r="W82" i="30"/>
  <c r="W31" i="30" s="1"/>
  <c r="X14" i="30" s="1"/>
  <c r="W103" i="30"/>
  <c r="W80" i="30" s="1"/>
  <c r="W29" i="30" s="1"/>
  <c r="X12" i="30" s="1"/>
  <c r="AO104" i="30" l="1"/>
  <c r="AO36" i="30"/>
  <c r="AP19" i="30" s="1"/>
  <c r="G255" i="30" s="1"/>
  <c r="G256" i="30" s="1"/>
  <c r="AO34" i="30"/>
  <c r="AP17" i="30" s="1"/>
  <c r="G245" i="30" s="1"/>
  <c r="G246" i="30" s="1"/>
  <c r="AO102" i="30"/>
  <c r="AO83" i="30" s="1"/>
  <c r="AN101" i="30"/>
  <c r="AN33" i="30"/>
  <c r="AO16" i="30" s="1"/>
  <c r="AN32" i="30"/>
  <c r="AO15" i="30" s="1"/>
  <c r="AN100" i="30"/>
  <c r="AN79" i="30" s="1"/>
  <c r="AN28" i="30" s="1"/>
  <c r="AO11" i="30" s="1"/>
  <c r="AO96" i="30" s="1"/>
  <c r="AO94" i="30"/>
  <c r="AO26" i="30"/>
  <c r="AP9" i="30" s="1"/>
  <c r="G205" i="30" s="1"/>
  <c r="G206" i="30" s="1"/>
  <c r="AN93" i="30"/>
  <c r="AN25" i="30"/>
  <c r="AO8" i="30" s="1"/>
  <c r="W73" i="30"/>
  <c r="W22" i="30" s="1"/>
  <c r="X5" i="30" s="1"/>
  <c r="X90" i="30" s="1"/>
  <c r="X99" i="30"/>
  <c r="X72" i="30" s="1"/>
  <c r="X21" i="30" s="1"/>
  <c r="Y4" i="30" s="1"/>
  <c r="X89" i="30"/>
  <c r="W74" i="30"/>
  <c r="W23" i="30" s="1"/>
  <c r="X6" i="30" s="1"/>
  <c r="X92" i="30"/>
  <c r="X97" i="30"/>
  <c r="W86" i="30"/>
  <c r="W35" i="30" s="1"/>
  <c r="X18" i="30" s="1"/>
  <c r="G294" i="30" l="1"/>
  <c r="AP36" i="30"/>
  <c r="AQ19" i="30" s="1"/>
  <c r="AP104" i="30"/>
  <c r="G292" i="30"/>
  <c r="AP34" i="30"/>
  <c r="AQ17" i="30" s="1"/>
  <c r="AP102" i="30"/>
  <c r="AP83" i="30" s="1"/>
  <c r="AO101" i="30"/>
  <c r="AO33" i="30"/>
  <c r="AP16" i="30" s="1"/>
  <c r="G240" i="30" s="1"/>
  <c r="G241" i="30" s="1"/>
  <c r="AO32" i="30"/>
  <c r="AP15" i="30" s="1"/>
  <c r="G235" i="30" s="1"/>
  <c r="G236" i="30" s="1"/>
  <c r="AO100" i="30"/>
  <c r="AO79" i="30" s="1"/>
  <c r="AO28" i="30" s="1"/>
  <c r="AP11" i="30" s="1"/>
  <c r="G215" i="30" s="1"/>
  <c r="G216" i="30" s="1"/>
  <c r="G284" i="30"/>
  <c r="AP94" i="30"/>
  <c r="AP26" i="30"/>
  <c r="AQ9" i="30" s="1"/>
  <c r="AO25" i="30"/>
  <c r="AP8" i="30" s="1"/>
  <c r="G200" i="30" s="1"/>
  <c r="G201" i="30" s="1"/>
  <c r="AO93" i="30"/>
  <c r="Y89" i="30"/>
  <c r="X103" i="30"/>
  <c r="X80" i="30" s="1"/>
  <c r="X29" i="30" s="1"/>
  <c r="Y12" i="30" s="1"/>
  <c r="X71" i="30"/>
  <c r="X20" i="30" s="1"/>
  <c r="Y3" i="30" s="1"/>
  <c r="X78" i="30"/>
  <c r="X27" i="30" s="1"/>
  <c r="Y10" i="30" s="1"/>
  <c r="X73" i="30"/>
  <c r="X22" i="30" s="1"/>
  <c r="Y5" i="30" s="1"/>
  <c r="X74" i="30"/>
  <c r="X23" i="30" s="1"/>
  <c r="Y6" i="30" s="1"/>
  <c r="X81" i="30"/>
  <c r="X30" i="30" s="1"/>
  <c r="Y13" i="30" s="1"/>
  <c r="X91" i="30"/>
  <c r="AQ104" i="30" l="1"/>
  <c r="AQ36" i="30"/>
  <c r="AR19" i="30" s="1"/>
  <c r="G274" i="30"/>
  <c r="AQ34" i="30"/>
  <c r="AR17" i="30" s="1"/>
  <c r="AQ102" i="30"/>
  <c r="AQ83" i="30" s="1"/>
  <c r="G272" i="30"/>
  <c r="G291" i="30"/>
  <c r="AP33" i="30"/>
  <c r="AQ16" i="30" s="1"/>
  <c r="AP101" i="30"/>
  <c r="G286" i="30"/>
  <c r="AP96" i="30"/>
  <c r="G290" i="30"/>
  <c r="AP32" i="30"/>
  <c r="AQ15" i="30" s="1"/>
  <c r="AP100" i="30"/>
  <c r="AP79" i="30" s="1"/>
  <c r="AP28" i="30" s="1"/>
  <c r="AQ11" i="30" s="1"/>
  <c r="AQ96" i="30" s="1"/>
  <c r="AQ26" i="30"/>
  <c r="AR9" i="30" s="1"/>
  <c r="AQ94" i="30"/>
  <c r="G264" i="30"/>
  <c r="AP93" i="30"/>
  <c r="G283" i="30"/>
  <c r="AP25" i="30"/>
  <c r="AQ8" i="30" s="1"/>
  <c r="Y97" i="30"/>
  <c r="X86" i="30"/>
  <c r="X35" i="30" s="1"/>
  <c r="Y18" i="30" s="1"/>
  <c r="X75" i="30"/>
  <c r="X24" i="30" s="1"/>
  <c r="Y7" i="30" s="1"/>
  <c r="Y90" i="30"/>
  <c r="X82" i="30"/>
  <c r="X31" i="30" s="1"/>
  <c r="Y14" i="30" s="1"/>
  <c r="Y98" i="30"/>
  <c r="Y95" i="30"/>
  <c r="Y91" i="30"/>
  <c r="Y88" i="30"/>
  <c r="Y78" i="30"/>
  <c r="Y27" i="30" s="1"/>
  <c r="Z10" i="30" s="1"/>
  <c r="E210" i="30" s="1"/>
  <c r="E211" i="30" s="1"/>
  <c r="G266" i="30" l="1"/>
  <c r="AR36" i="30"/>
  <c r="AS19" i="30" s="1"/>
  <c r="AR104" i="30"/>
  <c r="AR34" i="30"/>
  <c r="AS17" i="30" s="1"/>
  <c r="AR102" i="30"/>
  <c r="AR83" i="30" s="1"/>
  <c r="AQ101" i="30"/>
  <c r="AQ33" i="30"/>
  <c r="AR16" i="30" s="1"/>
  <c r="G271" i="30"/>
  <c r="AQ32" i="30"/>
  <c r="AR15" i="30" s="1"/>
  <c r="AQ100" i="30"/>
  <c r="AQ79" i="30" s="1"/>
  <c r="AQ28" i="30" s="1"/>
  <c r="AR11" i="30" s="1"/>
  <c r="G270" i="30"/>
  <c r="AR26" i="30"/>
  <c r="AS9" i="30" s="1"/>
  <c r="AR94" i="30"/>
  <c r="AQ25" i="30"/>
  <c r="AR8" i="30" s="1"/>
  <c r="AQ93" i="30"/>
  <c r="G263" i="30"/>
  <c r="Y82" i="30"/>
  <c r="Y31" i="30" s="1"/>
  <c r="Z14" i="30" s="1"/>
  <c r="E230" i="30" s="1"/>
  <c r="E231" i="30" s="1"/>
  <c r="Y71" i="30"/>
  <c r="Y20" i="30" s="1"/>
  <c r="Z3" i="30" s="1"/>
  <c r="E175" i="30" s="1"/>
  <c r="E176" i="30" s="1"/>
  <c r="Y92" i="30"/>
  <c r="Y86" i="30" s="1"/>
  <c r="Y35" i="30" s="1"/>
  <c r="Z18" i="30" s="1"/>
  <c r="E250" i="30" s="1"/>
  <c r="E251" i="30" s="1"/>
  <c r="Y75" i="30"/>
  <c r="Y24" i="30" s="1"/>
  <c r="Z7" i="30" s="1"/>
  <c r="E195" i="30" s="1"/>
  <c r="E196" i="30" s="1"/>
  <c r="E285" i="30"/>
  <c r="Z95" i="30"/>
  <c r="Y103" i="30"/>
  <c r="Y80" i="30" s="1"/>
  <c r="Y29" i="30" s="1"/>
  <c r="Z12" i="30" s="1"/>
  <c r="E220" i="30" s="1"/>
  <c r="E221" i="30" s="1"/>
  <c r="Y99" i="30"/>
  <c r="Y72" i="30" s="1"/>
  <c r="Y21" i="30" s="1"/>
  <c r="Z4" i="30" s="1"/>
  <c r="E180" i="30" s="1"/>
  <c r="E181" i="30" s="1"/>
  <c r="Y81" i="30"/>
  <c r="Y30" i="30" s="1"/>
  <c r="Z13" i="30" s="1"/>
  <c r="E225" i="30" s="1"/>
  <c r="E226" i="30" s="1"/>
  <c r="Z88" i="30" l="1"/>
  <c r="AS104" i="30"/>
  <c r="AS36" i="30"/>
  <c r="AT19" i="30" s="1"/>
  <c r="AS34" i="30"/>
  <c r="AT17" i="30" s="1"/>
  <c r="AS102" i="30"/>
  <c r="AS83" i="30" s="1"/>
  <c r="AR101" i="30"/>
  <c r="AR33" i="30"/>
  <c r="AS16" i="30" s="1"/>
  <c r="AR96" i="30"/>
  <c r="AR100" i="30"/>
  <c r="AR79" i="30" s="1"/>
  <c r="AR28" i="30" s="1"/>
  <c r="AS11" i="30" s="1"/>
  <c r="AR32" i="30"/>
  <c r="AS15" i="30" s="1"/>
  <c r="Y74" i="30"/>
  <c r="Y23" i="30" s="1"/>
  <c r="Z6" i="30" s="1"/>
  <c r="E190" i="30" s="1"/>
  <c r="E191" i="30" s="1"/>
  <c r="AS94" i="30"/>
  <c r="AS26" i="30"/>
  <c r="AT9" i="30" s="1"/>
  <c r="AR93" i="30"/>
  <c r="AR25" i="30"/>
  <c r="AS8" i="30" s="1"/>
  <c r="E278" i="30"/>
  <c r="Y73" i="30"/>
  <c r="Y22" i="30" s="1"/>
  <c r="Z5" i="30" s="1"/>
  <c r="E185" i="30" s="1"/>
  <c r="E186" i="30" s="1"/>
  <c r="E282" i="30"/>
  <c r="Z92" i="30"/>
  <c r="E293" i="30"/>
  <c r="Z103" i="30"/>
  <c r="Z98" i="30"/>
  <c r="E288" i="30"/>
  <c r="Z97" i="30"/>
  <c r="E287" i="30"/>
  <c r="E279" i="30"/>
  <c r="Z89" i="30"/>
  <c r="E289" i="30"/>
  <c r="Z99" i="30"/>
  <c r="Z72" i="30" s="1"/>
  <c r="Z21" i="30" s="1"/>
  <c r="AA4" i="30" s="1"/>
  <c r="E265" i="30"/>
  <c r="Z90" i="30" l="1"/>
  <c r="Z80" i="30" s="1"/>
  <c r="Z29" i="30" s="1"/>
  <c r="AA12" i="30" s="1"/>
  <c r="AA97" i="30" s="1"/>
  <c r="Z91" i="30"/>
  <c r="Z86" i="30" s="1"/>
  <c r="Z35" i="30" s="1"/>
  <c r="AA18" i="30" s="1"/>
  <c r="E281" i="30"/>
  <c r="AT104" i="30"/>
  <c r="AT36" i="30"/>
  <c r="AU19" i="30" s="1"/>
  <c r="AT34" i="30"/>
  <c r="AU17" i="30" s="1"/>
  <c r="AT102" i="30"/>
  <c r="AT83" i="30" s="1"/>
  <c r="AS101" i="30"/>
  <c r="AS33" i="30"/>
  <c r="AT16" i="30" s="1"/>
  <c r="AS100" i="30"/>
  <c r="AS79" i="30" s="1"/>
  <c r="AS28" i="30" s="1"/>
  <c r="AT11" i="30" s="1"/>
  <c r="AT96" i="30" s="1"/>
  <c r="AS32" i="30"/>
  <c r="AT15" i="30" s="1"/>
  <c r="AS96" i="30"/>
  <c r="AT94" i="30"/>
  <c r="AT26" i="30"/>
  <c r="AU9" i="30" s="1"/>
  <c r="AS93" i="30"/>
  <c r="AS25" i="30"/>
  <c r="AT8" i="30" s="1"/>
  <c r="E280" i="30"/>
  <c r="E258" i="30"/>
  <c r="AA89" i="30"/>
  <c r="E269" i="30"/>
  <c r="Z73" i="30"/>
  <c r="Z22" i="30" s="1"/>
  <c r="AA5" i="30" s="1"/>
  <c r="Z78" i="30"/>
  <c r="Z27" i="30" s="1"/>
  <c r="AA10" i="30" s="1"/>
  <c r="E259" i="30"/>
  <c r="E267" i="30"/>
  <c r="E268" i="30"/>
  <c r="E273" i="30"/>
  <c r="E262" i="30"/>
  <c r="E277" i="30" l="1"/>
  <c r="E260" i="30"/>
  <c r="Z81" i="30"/>
  <c r="Z30" i="30" s="1"/>
  <c r="AA13" i="30" s="1"/>
  <c r="AA98" i="30" s="1"/>
  <c r="Z74" i="30"/>
  <c r="Z23" i="30" s="1"/>
  <c r="AA6" i="30" s="1"/>
  <c r="AA91" i="30" s="1"/>
  <c r="Z71" i="30"/>
  <c r="Z20" i="30" s="1"/>
  <c r="AA3" i="30" s="1"/>
  <c r="AA88" i="30" s="1"/>
  <c r="E261" i="30"/>
  <c r="Z82" i="30"/>
  <c r="Z31" i="30" s="1"/>
  <c r="AA14" i="30" s="1"/>
  <c r="AA99" i="30" s="1"/>
  <c r="AA72" i="30" s="1"/>
  <c r="AA21" i="30" s="1"/>
  <c r="AB4" i="30" s="1"/>
  <c r="Z75" i="30"/>
  <c r="Z24" i="30" s="1"/>
  <c r="AA7" i="30" s="1"/>
  <c r="AA92" i="30" s="1"/>
  <c r="AU104" i="30"/>
  <c r="AU36" i="30"/>
  <c r="AV19" i="30" s="1"/>
  <c r="AU34" i="30"/>
  <c r="AV17" i="30" s="1"/>
  <c r="AU102" i="30"/>
  <c r="AU83" i="30" s="1"/>
  <c r="AT101" i="30"/>
  <c r="AT33" i="30"/>
  <c r="AU16" i="30" s="1"/>
  <c r="AT32" i="30"/>
  <c r="AU15" i="30" s="1"/>
  <c r="AT100" i="30"/>
  <c r="AT79" i="30" s="1"/>
  <c r="AT28" i="30" s="1"/>
  <c r="AU11" i="30" s="1"/>
  <c r="AU96" i="30" s="1"/>
  <c r="AU94" i="30"/>
  <c r="AU26" i="30"/>
  <c r="AV9" i="30" s="1"/>
  <c r="AT93" i="30"/>
  <c r="AT25" i="30"/>
  <c r="AU8" i="30" s="1"/>
  <c r="AA95" i="30"/>
  <c r="AA90" i="30"/>
  <c r="AA78" i="30"/>
  <c r="AA27" i="30" s="1"/>
  <c r="AB10" i="30" s="1"/>
  <c r="AA103" i="30"/>
  <c r="E275" i="30" l="1"/>
  <c r="AA73" i="30"/>
  <c r="AA22" i="30" s="1"/>
  <c r="AB5" i="30" s="1"/>
  <c r="AB90" i="30" s="1"/>
  <c r="AV36" i="30"/>
  <c r="AW19" i="30" s="1"/>
  <c r="AV104" i="30"/>
  <c r="AV34" i="30"/>
  <c r="AW17" i="30" s="1"/>
  <c r="AV102" i="30"/>
  <c r="AV83" i="30" s="1"/>
  <c r="AU33" i="30"/>
  <c r="AV16" i="30" s="1"/>
  <c r="AU101" i="30"/>
  <c r="AU100" i="30"/>
  <c r="AU79" i="30" s="1"/>
  <c r="AU28" i="30" s="1"/>
  <c r="AV11" i="30" s="1"/>
  <c r="AV96" i="30" s="1"/>
  <c r="AU32" i="30"/>
  <c r="AV15" i="30" s="1"/>
  <c r="AV26" i="30"/>
  <c r="AW9" i="30" s="1"/>
  <c r="AV94" i="30"/>
  <c r="AU93" i="30"/>
  <c r="AU25" i="30"/>
  <c r="AV8" i="30" s="1"/>
  <c r="AA71" i="30"/>
  <c r="AA20" i="30" s="1"/>
  <c r="AB3" i="30" s="1"/>
  <c r="AB88" i="30" s="1"/>
  <c r="AB95" i="30"/>
  <c r="AA86" i="30"/>
  <c r="AA35" i="30" s="1"/>
  <c r="AB18" i="30" s="1"/>
  <c r="AA80" i="30"/>
  <c r="AA29" i="30" s="1"/>
  <c r="AB12" i="30" s="1"/>
  <c r="AA75" i="30"/>
  <c r="AA24" i="30" s="1"/>
  <c r="AB7" i="30" s="1"/>
  <c r="AA81" i="30"/>
  <c r="AA30" i="30" s="1"/>
  <c r="AB13" i="30" s="1"/>
  <c r="AA74" i="30"/>
  <c r="AA23" i="30" s="1"/>
  <c r="AB6" i="30" s="1"/>
  <c r="AB89" i="30"/>
  <c r="AA82" i="30"/>
  <c r="AA31" i="30" s="1"/>
  <c r="AB14" i="30" s="1"/>
  <c r="AW104" i="30" l="1"/>
  <c r="AW36" i="30"/>
  <c r="AX19" i="30" s="1"/>
  <c r="H255" i="30" s="1"/>
  <c r="H256" i="30" s="1"/>
  <c r="B257" i="30" s="1"/>
  <c r="AW34" i="30"/>
  <c r="AX17" i="30" s="1"/>
  <c r="H245" i="30" s="1"/>
  <c r="H246" i="30" s="1"/>
  <c r="B247" i="30" s="1"/>
  <c r="AW102" i="30"/>
  <c r="AW83" i="30" s="1"/>
  <c r="AV33" i="30"/>
  <c r="AW16" i="30" s="1"/>
  <c r="AV101" i="30"/>
  <c r="AV100" i="30"/>
  <c r="AV79" i="30" s="1"/>
  <c r="AV28" i="30" s="1"/>
  <c r="AW11" i="30" s="1"/>
  <c r="AV32" i="30"/>
  <c r="AW15" i="30" s="1"/>
  <c r="AW94" i="30"/>
  <c r="AW26" i="30"/>
  <c r="AX9" i="30" s="1"/>
  <c r="H205" i="30" s="1"/>
  <c r="H206" i="30" s="1"/>
  <c r="B207" i="30" s="1"/>
  <c r="AV25" i="30"/>
  <c r="AW8" i="30" s="1"/>
  <c r="AV93" i="30"/>
  <c r="AB91" i="30"/>
  <c r="AB103" i="30"/>
  <c r="AB80" i="30" s="1"/>
  <c r="AB29" i="30" s="1"/>
  <c r="AC12" i="30" s="1"/>
  <c r="AB78" i="30"/>
  <c r="AB27" i="30" s="1"/>
  <c r="AC10" i="30" s="1"/>
  <c r="AB98" i="30"/>
  <c r="AB97" i="30"/>
  <c r="AB99" i="30"/>
  <c r="AB72" i="30" s="1"/>
  <c r="AB21" i="30" s="1"/>
  <c r="AC4" i="30" s="1"/>
  <c r="AB92" i="30"/>
  <c r="AB81" i="30"/>
  <c r="AB30" i="30" s="1"/>
  <c r="AC13" i="30" s="1"/>
  <c r="AX104" i="30" l="1"/>
  <c r="H294" i="30"/>
  <c r="R294" i="30" s="1"/>
  <c r="AX36" i="30"/>
  <c r="AY19" i="30" s="1"/>
  <c r="AX102" i="30"/>
  <c r="AX83" i="30" s="1"/>
  <c r="H292" i="30"/>
  <c r="R292" i="30" s="1"/>
  <c r="AX34" i="30"/>
  <c r="AY17" i="30" s="1"/>
  <c r="AW33" i="30"/>
  <c r="AX16" i="30" s="1"/>
  <c r="H240" i="30" s="1"/>
  <c r="H241" i="30" s="1"/>
  <c r="B242" i="30" s="1"/>
  <c r="AW101" i="30"/>
  <c r="AW100" i="30"/>
  <c r="AW79" i="30" s="1"/>
  <c r="AW28" i="30" s="1"/>
  <c r="AX11" i="30" s="1"/>
  <c r="H215" i="30" s="1"/>
  <c r="H216" i="30" s="1"/>
  <c r="B217" i="30" s="1"/>
  <c r="AW32" i="30"/>
  <c r="AX15" i="30" s="1"/>
  <c r="H235" i="30" s="1"/>
  <c r="H236" i="30" s="1"/>
  <c r="B237" i="30" s="1"/>
  <c r="AW96" i="30"/>
  <c r="AX94" i="30"/>
  <c r="H284" i="30"/>
  <c r="R284" i="30" s="1"/>
  <c r="AX26" i="30"/>
  <c r="AY9" i="30" s="1"/>
  <c r="AW25" i="30"/>
  <c r="AX8" i="30" s="1"/>
  <c r="H200" i="30" s="1"/>
  <c r="H201" i="30" s="1"/>
  <c r="B202" i="30" s="1"/>
  <c r="AW93" i="30"/>
  <c r="AB71" i="30"/>
  <c r="AB20" i="30" s="1"/>
  <c r="AC3" i="30" s="1"/>
  <c r="AC88" i="30" s="1"/>
  <c r="AB74" i="30"/>
  <c r="AB23" i="30" s="1"/>
  <c r="AC6" i="30" s="1"/>
  <c r="AC91" i="30" s="1"/>
  <c r="AB73" i="30"/>
  <c r="AB22" i="30" s="1"/>
  <c r="AC5" i="30" s="1"/>
  <c r="AC90" i="30" s="1"/>
  <c r="AC97" i="30"/>
  <c r="AC89" i="30"/>
  <c r="AB82" i="30"/>
  <c r="AB31" i="30" s="1"/>
  <c r="AC14" i="30" s="1"/>
  <c r="AB86" i="30"/>
  <c r="AB35" i="30" s="1"/>
  <c r="AC18" i="30" s="1"/>
  <c r="AC95" i="30"/>
  <c r="AB75" i="30"/>
  <c r="AB24" i="30" s="1"/>
  <c r="AC7" i="30" s="1"/>
  <c r="AC98" i="30"/>
  <c r="AY104" i="30" l="1"/>
  <c r="AY36" i="30"/>
  <c r="AZ19" i="30" s="1"/>
  <c r="H274" i="30"/>
  <c r="I274" i="30" s="1"/>
  <c r="AY102" i="30"/>
  <c r="AY83" i="30" s="1"/>
  <c r="AY34" i="30"/>
  <c r="AZ17" i="30" s="1"/>
  <c r="H272" i="30"/>
  <c r="I272" i="30" s="1"/>
  <c r="H291" i="30"/>
  <c r="R291" i="30" s="1"/>
  <c r="AX101" i="30"/>
  <c r="AX33" i="30"/>
  <c r="AY16" i="30" s="1"/>
  <c r="H286" i="30"/>
  <c r="R286" i="30" s="1"/>
  <c r="AX96" i="30"/>
  <c r="H290" i="30"/>
  <c r="R290" i="30" s="1"/>
  <c r="AX100" i="30"/>
  <c r="AX79" i="30" s="1"/>
  <c r="AX28" i="30" s="1"/>
  <c r="AY11" i="30" s="1"/>
  <c r="AY96" i="30" s="1"/>
  <c r="AX32" i="30"/>
  <c r="AY15" i="30" s="1"/>
  <c r="AY94" i="30"/>
  <c r="AY26" i="30"/>
  <c r="AZ9" i="30" s="1"/>
  <c r="H264" i="30"/>
  <c r="I264" i="30" s="1"/>
  <c r="H283" i="30"/>
  <c r="R283" i="30" s="1"/>
  <c r="AX93" i="30"/>
  <c r="AX25" i="30"/>
  <c r="AY8" i="30" s="1"/>
  <c r="AC99" i="30"/>
  <c r="AC72" i="30" s="1"/>
  <c r="AC21" i="30" s="1"/>
  <c r="AD4" i="30" s="1"/>
  <c r="AC75" i="30"/>
  <c r="AC24" i="30" s="1"/>
  <c r="AD7" i="30" s="1"/>
  <c r="AC103" i="30"/>
  <c r="AC80" i="30" s="1"/>
  <c r="AC29" i="30" s="1"/>
  <c r="AD12" i="30" s="1"/>
  <c r="AC92" i="30"/>
  <c r="AC86" i="30" s="1"/>
  <c r="AC35" i="30" s="1"/>
  <c r="AD18" i="30" s="1"/>
  <c r="AC82" i="30"/>
  <c r="AC31" i="30" s="1"/>
  <c r="AD14" i="30" s="1"/>
  <c r="AC71" i="30"/>
  <c r="AC20" i="30" s="1"/>
  <c r="AD3" i="30" s="1"/>
  <c r="AC78" i="30"/>
  <c r="AC27" i="30" s="1"/>
  <c r="AD10" i="30" s="1"/>
  <c r="AC81" i="30"/>
  <c r="AC30" i="30" s="1"/>
  <c r="AD13" i="30" s="1"/>
  <c r="AC73" i="30" l="1"/>
  <c r="AC22" i="30" s="1"/>
  <c r="AD5" i="30" s="1"/>
  <c r="AD90" i="30" s="1"/>
  <c r="AZ36" i="30"/>
  <c r="BA19" i="30" s="1"/>
  <c r="AZ104" i="30"/>
  <c r="H266" i="30"/>
  <c r="I266" i="30" s="1"/>
  <c r="AZ102" i="30"/>
  <c r="AZ83" i="30" s="1"/>
  <c r="AZ34" i="30"/>
  <c r="BA17" i="30" s="1"/>
  <c r="AY101" i="30"/>
  <c r="AY33" i="30"/>
  <c r="AZ16" i="30" s="1"/>
  <c r="H271" i="30"/>
  <c r="I271" i="30" s="1"/>
  <c r="AY100" i="30"/>
  <c r="AY79" i="30" s="1"/>
  <c r="AY28" i="30" s="1"/>
  <c r="AZ11" i="30" s="1"/>
  <c r="AZ96" i="30" s="1"/>
  <c r="AY32" i="30"/>
  <c r="AZ15" i="30" s="1"/>
  <c r="H270" i="30"/>
  <c r="I270" i="30" s="1"/>
  <c r="AZ94" i="30"/>
  <c r="AZ26" i="30"/>
  <c r="BA9" i="30" s="1"/>
  <c r="AY93" i="30"/>
  <c r="AY25" i="30"/>
  <c r="AZ8" i="30" s="1"/>
  <c r="H263" i="30"/>
  <c r="I263" i="30" s="1"/>
  <c r="AD97" i="30"/>
  <c r="AD92" i="30"/>
  <c r="AD103" i="30"/>
  <c r="AD99" i="30"/>
  <c r="AD72" i="30" s="1"/>
  <c r="AD21" i="30" s="1"/>
  <c r="AE4" i="30" s="1"/>
  <c r="AD95" i="30"/>
  <c r="AC74" i="30"/>
  <c r="AC23" i="30" s="1"/>
  <c r="AD6" i="30" s="1"/>
  <c r="AD98" i="30"/>
  <c r="AD88" i="30"/>
  <c r="AD89" i="30"/>
  <c r="BA36" i="30" l="1"/>
  <c r="BB19" i="30" s="1"/>
  <c r="BA104" i="30"/>
  <c r="BA34" i="30"/>
  <c r="BB17" i="30" s="1"/>
  <c r="BA102" i="30"/>
  <c r="BA83" i="30" s="1"/>
  <c r="AZ101" i="30"/>
  <c r="AZ33" i="30"/>
  <c r="BA16" i="30" s="1"/>
  <c r="AZ100" i="30"/>
  <c r="AZ79" i="30" s="1"/>
  <c r="AZ28" i="30" s="1"/>
  <c r="BA11" i="30" s="1"/>
  <c r="BA96" i="30" s="1"/>
  <c r="AZ32" i="30"/>
  <c r="BA15" i="30" s="1"/>
  <c r="BA94" i="30"/>
  <c r="BA26" i="30"/>
  <c r="BB9" i="30" s="1"/>
  <c r="AZ93" i="30"/>
  <c r="AZ25" i="30"/>
  <c r="BA8" i="30" s="1"/>
  <c r="AD80" i="30"/>
  <c r="AD29" i="30" s="1"/>
  <c r="AE12" i="30" s="1"/>
  <c r="AE89" i="30"/>
  <c r="AD81" i="30"/>
  <c r="AD30" i="30" s="1"/>
  <c r="AE13" i="30" s="1"/>
  <c r="AD74" i="30"/>
  <c r="AD23" i="30" s="1"/>
  <c r="AE6" i="30" s="1"/>
  <c r="AD91" i="30"/>
  <c r="AD86" i="30" s="1"/>
  <c r="AD35" i="30" s="1"/>
  <c r="AE18" i="30" s="1"/>
  <c r="AD78" i="30"/>
  <c r="AD27" i="30" s="1"/>
  <c r="AE10" i="30" s="1"/>
  <c r="AD71" i="30"/>
  <c r="AD20" i="30" s="1"/>
  <c r="AE3" i="30" s="1"/>
  <c r="AD73" i="30"/>
  <c r="AD22" i="30" s="1"/>
  <c r="AE5" i="30" s="1"/>
  <c r="AD82" i="30" l="1"/>
  <c r="AD31" i="30" s="1"/>
  <c r="AE14" i="30" s="1"/>
  <c r="AE99" i="30" s="1"/>
  <c r="AE72" i="30" s="1"/>
  <c r="AE21" i="30" s="1"/>
  <c r="AF4" i="30" s="1"/>
  <c r="BB36" i="30"/>
  <c r="BC19" i="30" s="1"/>
  <c r="BB104" i="30"/>
  <c r="BB102" i="30"/>
  <c r="BB83" i="30" s="1"/>
  <c r="BB34" i="30"/>
  <c r="BC17" i="30" s="1"/>
  <c r="BA33" i="30"/>
  <c r="BB16" i="30" s="1"/>
  <c r="BA101" i="30"/>
  <c r="BA100" i="30"/>
  <c r="BA79" i="30" s="1"/>
  <c r="BA28" i="30" s="1"/>
  <c r="BB11" i="30" s="1"/>
  <c r="BB96" i="30" s="1"/>
  <c r="BA32" i="30"/>
  <c r="BB15" i="30" s="1"/>
  <c r="BB94" i="30"/>
  <c r="BB26" i="30"/>
  <c r="BC9" i="30" s="1"/>
  <c r="BA25" i="30"/>
  <c r="BB8" i="30" s="1"/>
  <c r="BA93" i="30"/>
  <c r="AE91" i="30"/>
  <c r="AE90" i="30"/>
  <c r="AE103" i="30"/>
  <c r="AE78" i="30"/>
  <c r="AE27" i="30" s="1"/>
  <c r="AF10" i="30" s="1"/>
  <c r="AE97" i="30"/>
  <c r="AE88" i="30"/>
  <c r="AE95" i="30"/>
  <c r="AE98" i="30"/>
  <c r="AD75" i="30"/>
  <c r="AD24" i="30" s="1"/>
  <c r="AE7" i="30" s="1"/>
  <c r="BC104" i="30" l="1"/>
  <c r="BC36" i="30"/>
  <c r="BD19" i="30" s="1"/>
  <c r="BC34" i="30"/>
  <c r="BD17" i="30" s="1"/>
  <c r="BC102" i="30"/>
  <c r="BC83" i="30" s="1"/>
  <c r="BB101" i="30"/>
  <c r="BB33" i="30"/>
  <c r="BC16" i="30" s="1"/>
  <c r="BB100" i="30"/>
  <c r="BB79" i="30" s="1"/>
  <c r="BB28" i="30" s="1"/>
  <c r="BC11" i="30" s="1"/>
  <c r="BC96" i="30" s="1"/>
  <c r="BB32" i="30"/>
  <c r="BC15" i="30" s="1"/>
  <c r="BC94" i="30"/>
  <c r="BC26" i="30"/>
  <c r="BD9" i="30" s="1"/>
  <c r="BB93" i="30"/>
  <c r="BB25" i="30"/>
  <c r="BC8" i="30" s="1"/>
  <c r="AE82" i="30"/>
  <c r="AE31" i="30" s="1"/>
  <c r="AF14" i="30" s="1"/>
  <c r="AF99" i="30" s="1"/>
  <c r="AF72" i="30" s="1"/>
  <c r="AF21" i="30" s="1"/>
  <c r="AG4" i="30" s="1"/>
  <c r="AE73" i="30"/>
  <c r="AE22" i="30" s="1"/>
  <c r="AF5" i="30" s="1"/>
  <c r="AF90" i="30" s="1"/>
  <c r="AF95" i="30"/>
  <c r="AF89" i="30"/>
  <c r="AE81" i="30"/>
  <c r="AE30" i="30" s="1"/>
  <c r="AF13" i="30" s="1"/>
  <c r="AE80" i="30"/>
  <c r="AE29" i="30" s="1"/>
  <c r="AF12" i="30" s="1"/>
  <c r="AE75" i="30"/>
  <c r="AE24" i="30" s="1"/>
  <c r="AF7" i="30" s="1"/>
  <c r="AE92" i="30"/>
  <c r="AE74" i="30" s="1"/>
  <c r="AE23" i="30" s="1"/>
  <c r="AF6" i="30" s="1"/>
  <c r="AE71" i="30"/>
  <c r="AE20" i="30" s="1"/>
  <c r="AF3" i="30" s="1"/>
  <c r="AE86" i="30" l="1"/>
  <c r="AE35" i="30" s="1"/>
  <c r="AF18" i="30" s="1"/>
  <c r="AF103" i="30" s="1"/>
  <c r="BD104" i="30"/>
  <c r="BD36" i="30"/>
  <c r="BE19" i="30" s="1"/>
  <c r="BD102" i="30"/>
  <c r="BD83" i="30" s="1"/>
  <c r="BD34" i="30"/>
  <c r="BE17" i="30" s="1"/>
  <c r="BC101" i="30"/>
  <c r="BC33" i="30"/>
  <c r="BD16" i="30" s="1"/>
  <c r="BC100" i="30"/>
  <c r="BC79" i="30" s="1"/>
  <c r="BC28" i="30" s="1"/>
  <c r="BD11" i="30" s="1"/>
  <c r="BD96" i="30" s="1"/>
  <c r="BC32" i="30"/>
  <c r="BD15" i="30" s="1"/>
  <c r="BD94" i="30"/>
  <c r="BD26" i="30"/>
  <c r="BE9" i="30" s="1"/>
  <c r="BC25" i="30"/>
  <c r="BD8" i="30" s="1"/>
  <c r="BC93" i="30"/>
  <c r="AF92" i="30"/>
  <c r="AF74" i="30" s="1"/>
  <c r="AF23" i="30" s="1"/>
  <c r="AG6" i="30" s="1"/>
  <c r="AF91" i="30"/>
  <c r="AF88" i="30"/>
  <c r="AF97" i="30"/>
  <c r="AG89" i="30"/>
  <c r="AF78" i="30"/>
  <c r="AF27" i="30" s="1"/>
  <c r="AG10" i="30" s="1"/>
  <c r="AF98" i="30"/>
  <c r="AF73" i="30" s="1"/>
  <c r="AF22" i="30" s="1"/>
  <c r="AG5" i="30" s="1"/>
  <c r="AF81" i="30"/>
  <c r="AF30" i="30" s="1"/>
  <c r="AG13" i="30" s="1"/>
  <c r="BE104" i="30" l="1"/>
  <c r="BE36" i="30"/>
  <c r="BF19" i="30" s="1"/>
  <c r="I255" i="30" s="1"/>
  <c r="BE34" i="30"/>
  <c r="BF17" i="30" s="1"/>
  <c r="I245" i="30" s="1"/>
  <c r="BE102" i="30"/>
  <c r="BE83" i="30" s="1"/>
  <c r="BD33" i="30"/>
  <c r="BE16" i="30" s="1"/>
  <c r="BD101" i="30"/>
  <c r="BD100" i="30"/>
  <c r="BD79" i="30" s="1"/>
  <c r="BD28" i="30" s="1"/>
  <c r="BE11" i="30" s="1"/>
  <c r="BE96" i="30" s="1"/>
  <c r="BD32" i="30"/>
  <c r="BE15" i="30" s="1"/>
  <c r="BE26" i="30"/>
  <c r="BF9" i="30" s="1"/>
  <c r="I205" i="30" s="1"/>
  <c r="BE94" i="30"/>
  <c r="BD93" i="30"/>
  <c r="BD25" i="30"/>
  <c r="BE8" i="30" s="1"/>
  <c r="AF71" i="30"/>
  <c r="AF20" i="30" s="1"/>
  <c r="AG3" i="30" s="1"/>
  <c r="AG88" i="30" s="1"/>
  <c r="AG90" i="30"/>
  <c r="AG98" i="30"/>
  <c r="AF82" i="30"/>
  <c r="AF31" i="30" s="1"/>
  <c r="AG14" i="30" s="1"/>
  <c r="AF86" i="30"/>
  <c r="AF35" i="30" s="1"/>
  <c r="AG18" i="30" s="1"/>
  <c r="AG91" i="30"/>
  <c r="AG78" i="30"/>
  <c r="AG27" i="30" s="1"/>
  <c r="AH10" i="30" s="1"/>
  <c r="F210" i="30" s="1"/>
  <c r="F211" i="30" s="1"/>
  <c r="AG95" i="30"/>
  <c r="AF75" i="30"/>
  <c r="AF24" i="30" s="1"/>
  <c r="AG7" i="30" s="1"/>
  <c r="AF80" i="30"/>
  <c r="AF29" i="30" s="1"/>
  <c r="AG12" i="30" s="1"/>
  <c r="I294" i="30" l="1"/>
  <c r="BF36" i="30"/>
  <c r="BG19" i="30" s="1"/>
  <c r="BF104" i="30"/>
  <c r="I292" i="30"/>
  <c r="BF102" i="30"/>
  <c r="BF83" i="30" s="1"/>
  <c r="BF34" i="30"/>
  <c r="BG17" i="30" s="1"/>
  <c r="BE101" i="30"/>
  <c r="BE33" i="30"/>
  <c r="BF16" i="30" s="1"/>
  <c r="I240" i="30" s="1"/>
  <c r="BE100" i="30"/>
  <c r="BE79" i="30" s="1"/>
  <c r="BE28" i="30" s="1"/>
  <c r="BF11" i="30" s="1"/>
  <c r="I215" i="30" s="1"/>
  <c r="BE32" i="30"/>
  <c r="BF15" i="30" s="1"/>
  <c r="I235" i="30" s="1"/>
  <c r="AG82" i="30"/>
  <c r="AG31" i="30" s="1"/>
  <c r="AH14" i="30" s="1"/>
  <c r="F230" i="30" s="1"/>
  <c r="F231" i="30" s="1"/>
  <c r="BF94" i="30"/>
  <c r="I284" i="30"/>
  <c r="BF26" i="30"/>
  <c r="BG9" i="30" s="1"/>
  <c r="BE25" i="30"/>
  <c r="BF8" i="30" s="1"/>
  <c r="I200" i="30" s="1"/>
  <c r="BE93" i="30"/>
  <c r="AG99" i="30"/>
  <c r="F285" i="30"/>
  <c r="AH95" i="30"/>
  <c r="AG97" i="30"/>
  <c r="AG71" i="30" s="1"/>
  <c r="AG20" i="30" s="1"/>
  <c r="AH3" i="30" s="1"/>
  <c r="F175" i="30" s="1"/>
  <c r="F176" i="30" s="1"/>
  <c r="AG103" i="30"/>
  <c r="AG80" i="30" s="1"/>
  <c r="AG29" i="30" s="1"/>
  <c r="AH12" i="30" s="1"/>
  <c r="F220" i="30" s="1"/>
  <c r="F221" i="30" s="1"/>
  <c r="AG92" i="30"/>
  <c r="AG75" i="30"/>
  <c r="AG24" i="30" s="1"/>
  <c r="AH7" i="30" s="1"/>
  <c r="F195" i="30" s="1"/>
  <c r="F196" i="30" s="1"/>
  <c r="AG81" i="30"/>
  <c r="AG30" i="30" s="1"/>
  <c r="AH13" i="30" s="1"/>
  <c r="F225" i="30" s="1"/>
  <c r="F226" i="30" s="1"/>
  <c r="AG74" i="30" l="1"/>
  <c r="AG23" i="30" s="1"/>
  <c r="AH6" i="30" s="1"/>
  <c r="F190" i="30" s="1"/>
  <c r="F191" i="30" s="1"/>
  <c r="I286" i="30"/>
  <c r="BG36" i="30"/>
  <c r="BH19" i="30" s="1"/>
  <c r="BG104" i="30"/>
  <c r="BG34" i="30"/>
  <c r="BH17" i="30" s="1"/>
  <c r="BG102" i="30"/>
  <c r="BG83" i="30" s="1"/>
  <c r="BF96" i="30"/>
  <c r="BF33" i="30"/>
  <c r="BG16" i="30" s="1"/>
  <c r="BF101" i="30"/>
  <c r="I291" i="30"/>
  <c r="I290" i="30"/>
  <c r="BF32" i="30"/>
  <c r="BG15" i="30" s="1"/>
  <c r="BF100" i="30"/>
  <c r="BF79" i="30" s="1"/>
  <c r="BF28" i="30" s="1"/>
  <c r="BG11" i="30" s="1"/>
  <c r="BG96" i="30" s="1"/>
  <c r="BG94" i="30"/>
  <c r="BG26" i="30"/>
  <c r="BH9" i="30" s="1"/>
  <c r="BF93" i="30"/>
  <c r="I283" i="30"/>
  <c r="BF25" i="30"/>
  <c r="BG8" i="30" s="1"/>
  <c r="AG86" i="30"/>
  <c r="AG35" i="30" s="1"/>
  <c r="AH18" i="30" s="1"/>
  <c r="F250" i="30" s="1"/>
  <c r="F251" i="30" s="1"/>
  <c r="AH92" i="30"/>
  <c r="F282" i="30"/>
  <c r="AH88" i="30"/>
  <c r="F278" i="30"/>
  <c r="F265" i="30"/>
  <c r="F287" i="30"/>
  <c r="AH97" i="30"/>
  <c r="F289" i="30"/>
  <c r="AH99" i="30"/>
  <c r="AH72" i="30" s="1"/>
  <c r="AH98" i="30"/>
  <c r="F288" i="30"/>
  <c r="AG72" i="30"/>
  <c r="AG21" i="30" s="1"/>
  <c r="AH4" i="30" s="1"/>
  <c r="F180" i="30" s="1"/>
  <c r="F181" i="30" s="1"/>
  <c r="AG73" i="30"/>
  <c r="AG22" i="30" s="1"/>
  <c r="AH5" i="30" s="1"/>
  <c r="F185" i="30" s="1"/>
  <c r="F186" i="30" s="1"/>
  <c r="F281" i="30" l="1"/>
  <c r="AH91" i="30"/>
  <c r="AH86" i="30" s="1"/>
  <c r="AH35" i="30" s="1"/>
  <c r="AI18" i="30" s="1"/>
  <c r="BH104" i="30"/>
  <c r="BH36" i="30"/>
  <c r="BI19" i="30" s="1"/>
  <c r="BH34" i="30"/>
  <c r="BI17" i="30" s="1"/>
  <c r="BH102" i="30"/>
  <c r="BH83" i="30" s="1"/>
  <c r="BG101" i="30"/>
  <c r="BG33" i="30"/>
  <c r="BH16" i="30" s="1"/>
  <c r="BG100" i="30"/>
  <c r="BG79" i="30" s="1"/>
  <c r="BG28" i="30" s="1"/>
  <c r="BH11" i="30" s="1"/>
  <c r="BH96" i="30" s="1"/>
  <c r="BG32" i="30"/>
  <c r="BH15" i="30" s="1"/>
  <c r="BH26" i="30"/>
  <c r="BI9" i="30" s="1"/>
  <c r="BH94" i="30"/>
  <c r="BG25" i="30"/>
  <c r="BH8" i="30" s="1"/>
  <c r="BG93" i="30"/>
  <c r="F293" i="30"/>
  <c r="F258" i="30"/>
  <c r="AH103" i="30"/>
  <c r="F279" i="30"/>
  <c r="AH89" i="30"/>
  <c r="F268" i="30"/>
  <c r="F269" i="30"/>
  <c r="F267" i="30"/>
  <c r="F280" i="30"/>
  <c r="AH90" i="30"/>
  <c r="AH21" i="30"/>
  <c r="AI4" i="30" s="1"/>
  <c r="F262" i="30"/>
  <c r="F277" i="30" l="1"/>
  <c r="F273" i="30"/>
  <c r="F261" i="30"/>
  <c r="BI104" i="30"/>
  <c r="BI36" i="30"/>
  <c r="BJ19" i="30" s="1"/>
  <c r="BI102" i="30"/>
  <c r="BI83" i="30" s="1"/>
  <c r="BI34" i="30"/>
  <c r="BJ17" i="30" s="1"/>
  <c r="BH101" i="30"/>
  <c r="BH33" i="30"/>
  <c r="BI16" i="30" s="1"/>
  <c r="BH100" i="30"/>
  <c r="BH79" i="30" s="1"/>
  <c r="BH28" i="30" s="1"/>
  <c r="BI11" i="30" s="1"/>
  <c r="BI96" i="30" s="1"/>
  <c r="BH32" i="30"/>
  <c r="BI15" i="30" s="1"/>
  <c r="AH75" i="30"/>
  <c r="AH24" i="30" s="1"/>
  <c r="AI7" i="30" s="1"/>
  <c r="AI92" i="30" s="1"/>
  <c r="BI26" i="30"/>
  <c r="BJ9" i="30" s="1"/>
  <c r="BI94" i="30"/>
  <c r="BH25" i="30"/>
  <c r="BI8" i="30" s="1"/>
  <c r="BH93" i="30"/>
  <c r="AI89" i="30"/>
  <c r="AH81" i="30"/>
  <c r="AH30" i="30" s="1"/>
  <c r="AI13" i="30" s="1"/>
  <c r="AH74" i="30"/>
  <c r="AH23" i="30" s="1"/>
  <c r="AI6" i="30" s="1"/>
  <c r="AH71" i="30"/>
  <c r="AH20" i="30" s="1"/>
  <c r="AI3" i="30" s="1"/>
  <c r="AH78" i="30"/>
  <c r="AH27" i="30" s="1"/>
  <c r="AI10" i="30" s="1"/>
  <c r="AH82" i="30"/>
  <c r="AH31" i="30" s="1"/>
  <c r="AI14" i="30" s="1"/>
  <c r="AH73" i="30"/>
  <c r="AH22" i="30" s="1"/>
  <c r="AI5" i="30" s="1"/>
  <c r="AH80" i="30"/>
  <c r="AH29" i="30" s="1"/>
  <c r="AI12" i="30" s="1"/>
  <c r="F260" i="30"/>
  <c r="AI103" i="30"/>
  <c r="F259" i="30"/>
  <c r="F275" i="30" l="1"/>
  <c r="BJ36" i="30"/>
  <c r="BK19" i="30" s="1"/>
  <c r="BJ104" i="30"/>
  <c r="BJ102" i="30"/>
  <c r="BJ83" i="30" s="1"/>
  <c r="BJ34" i="30"/>
  <c r="BK17" i="30" s="1"/>
  <c r="BI101" i="30"/>
  <c r="BI33" i="30"/>
  <c r="BJ16" i="30" s="1"/>
  <c r="BI100" i="30"/>
  <c r="BI79" i="30" s="1"/>
  <c r="BI28" i="30" s="1"/>
  <c r="BJ11" i="30" s="1"/>
  <c r="BJ96" i="30" s="1"/>
  <c r="BI32" i="30"/>
  <c r="BJ15" i="30" s="1"/>
  <c r="BJ26" i="30"/>
  <c r="BK9" i="30" s="1"/>
  <c r="BJ94" i="30"/>
  <c r="BI25" i="30"/>
  <c r="BJ8" i="30" s="1"/>
  <c r="BI93" i="30"/>
  <c r="AI91" i="30"/>
  <c r="AI99" i="30"/>
  <c r="AI72" i="30" s="1"/>
  <c r="AI21" i="30" s="1"/>
  <c r="AJ4" i="30" s="1"/>
  <c r="AI98" i="30"/>
  <c r="AI95" i="30"/>
  <c r="AI90" i="30"/>
  <c r="AI97" i="30"/>
  <c r="AI88" i="30"/>
  <c r="AI78" i="30"/>
  <c r="AI27" i="30" s="1"/>
  <c r="AJ10" i="30" s="1"/>
  <c r="BK104" i="30" l="1"/>
  <c r="BK36" i="30"/>
  <c r="BL19" i="30" s="1"/>
  <c r="AI71" i="30"/>
  <c r="AI20" i="30" s="1"/>
  <c r="AJ3" i="30" s="1"/>
  <c r="AJ88" i="30" s="1"/>
  <c r="BK102" i="30"/>
  <c r="BK83" i="30" s="1"/>
  <c r="BK34" i="30"/>
  <c r="BL17" i="30" s="1"/>
  <c r="BJ33" i="30"/>
  <c r="BK16" i="30" s="1"/>
  <c r="BJ101" i="30"/>
  <c r="BJ100" i="30"/>
  <c r="BJ79" i="30" s="1"/>
  <c r="BJ28" i="30" s="1"/>
  <c r="BK11" i="30" s="1"/>
  <c r="BK96" i="30" s="1"/>
  <c r="BJ32" i="30"/>
  <c r="BK15" i="30" s="1"/>
  <c r="AI73" i="30"/>
  <c r="AI22" i="30" s="1"/>
  <c r="AJ5" i="30" s="1"/>
  <c r="AJ90" i="30" s="1"/>
  <c r="BK26" i="30"/>
  <c r="BL9" i="30" s="1"/>
  <c r="BK94" i="30"/>
  <c r="BJ25" i="30"/>
  <c r="BK8" i="30" s="1"/>
  <c r="BJ93" i="30"/>
  <c r="AI82" i="30"/>
  <c r="AI31" i="30" s="1"/>
  <c r="AJ14" i="30" s="1"/>
  <c r="AJ99" i="30" s="1"/>
  <c r="AJ72" i="30" s="1"/>
  <c r="AJ21" i="30" s="1"/>
  <c r="AK4" i="30" s="1"/>
  <c r="AJ95" i="30"/>
  <c r="AJ89" i="30"/>
  <c r="AI81" i="30"/>
  <c r="AI30" i="30" s="1"/>
  <c r="AJ13" i="30" s="1"/>
  <c r="AI74" i="30"/>
  <c r="AI23" i="30" s="1"/>
  <c r="AJ6" i="30" s="1"/>
  <c r="AI80" i="30"/>
  <c r="AI29" i="30" s="1"/>
  <c r="AJ12" i="30" s="1"/>
  <c r="AI75" i="30"/>
  <c r="AI24" i="30" s="1"/>
  <c r="AJ7" i="30" s="1"/>
  <c r="AI86" i="30"/>
  <c r="AI35" i="30" s="1"/>
  <c r="AJ18" i="30" s="1"/>
  <c r="BL36" i="30" l="1"/>
  <c r="BM19" i="30" s="1"/>
  <c r="BL104" i="30"/>
  <c r="BL102" i="30"/>
  <c r="BL83" i="30" s="1"/>
  <c r="BL34" i="30"/>
  <c r="BM17" i="30" s="1"/>
  <c r="BK101" i="30"/>
  <c r="BK33" i="30"/>
  <c r="BL16" i="30" s="1"/>
  <c r="BK100" i="30"/>
  <c r="BK79" i="30" s="1"/>
  <c r="BK28" i="30" s="1"/>
  <c r="BL11" i="30" s="1"/>
  <c r="BL96" i="30" s="1"/>
  <c r="BK32" i="30"/>
  <c r="BL15" i="30" s="1"/>
  <c r="BL94" i="30"/>
  <c r="BL26" i="30"/>
  <c r="BM9" i="30" s="1"/>
  <c r="BK93" i="30"/>
  <c r="BK25" i="30"/>
  <c r="BL8" i="30" s="1"/>
  <c r="AK89" i="30"/>
  <c r="AJ103" i="30"/>
  <c r="AJ80" i="30" s="1"/>
  <c r="AJ29" i="30" s="1"/>
  <c r="AK12" i="30" s="1"/>
  <c r="AJ81" i="30"/>
  <c r="AJ30" i="30" s="1"/>
  <c r="AK13" i="30" s="1"/>
  <c r="AJ92" i="30"/>
  <c r="AJ74" i="30" s="1"/>
  <c r="AJ23" i="30" s="1"/>
  <c r="AK6" i="30" s="1"/>
  <c r="AJ91" i="30"/>
  <c r="AJ75" i="30" s="1"/>
  <c r="AJ24" i="30" s="1"/>
  <c r="AK7" i="30" s="1"/>
  <c r="AJ98" i="30"/>
  <c r="AJ97" i="30"/>
  <c r="AJ78" i="30"/>
  <c r="AJ27" i="30" s="1"/>
  <c r="AK10" i="30" s="1"/>
  <c r="AJ71" i="30" l="1"/>
  <c r="AJ20" i="30" s="1"/>
  <c r="AK3" i="30" s="1"/>
  <c r="AK88" i="30" s="1"/>
  <c r="BM36" i="30"/>
  <c r="BN19" i="30" s="1"/>
  <c r="J255" i="30" s="1"/>
  <c r="BM104" i="30"/>
  <c r="BM34" i="30"/>
  <c r="BN17" i="30" s="1"/>
  <c r="J245" i="30" s="1"/>
  <c r="BM102" i="30"/>
  <c r="BM83" i="30" s="1"/>
  <c r="BL101" i="30"/>
  <c r="BL33" i="30"/>
  <c r="BM16" i="30" s="1"/>
  <c r="BL100" i="30"/>
  <c r="BL79" i="30" s="1"/>
  <c r="BL28" i="30" s="1"/>
  <c r="BM11" i="30" s="1"/>
  <c r="BM96" i="30" s="1"/>
  <c r="BL32" i="30"/>
  <c r="BM15" i="30" s="1"/>
  <c r="AJ82" i="30"/>
  <c r="AJ31" i="30" s="1"/>
  <c r="AK14" i="30" s="1"/>
  <c r="AK99" i="30" s="1"/>
  <c r="AK72" i="30" s="1"/>
  <c r="AK21" i="30" s="1"/>
  <c r="AL4" i="30" s="1"/>
  <c r="BM26" i="30"/>
  <c r="BN9" i="30" s="1"/>
  <c r="J205" i="30" s="1"/>
  <c r="BM94" i="30"/>
  <c r="BL25" i="30"/>
  <c r="BM8" i="30" s="1"/>
  <c r="BL93" i="30"/>
  <c r="AJ73" i="30"/>
  <c r="AJ22" i="30" s="1"/>
  <c r="AK5" i="30" s="1"/>
  <c r="AK90" i="30" s="1"/>
  <c r="AK97" i="30"/>
  <c r="AK91" i="30"/>
  <c r="AK92" i="30"/>
  <c r="AK98" i="30"/>
  <c r="AK95" i="30"/>
  <c r="AJ86" i="30"/>
  <c r="AJ35" i="30" s="1"/>
  <c r="AK18" i="30" s="1"/>
  <c r="AK78" i="30"/>
  <c r="AK27" i="30" s="1"/>
  <c r="AL10" i="30" s="1"/>
  <c r="J294" i="30" l="1"/>
  <c r="BN104" i="30"/>
  <c r="BN36" i="30"/>
  <c r="BO19" i="30" s="1"/>
  <c r="AK73" i="30"/>
  <c r="AK22" i="30" s="1"/>
  <c r="AL5" i="30" s="1"/>
  <c r="AL90" i="30" s="1"/>
  <c r="J292" i="30"/>
  <c r="BN102" i="30"/>
  <c r="BN83" i="30" s="1"/>
  <c r="BN34" i="30"/>
  <c r="BO17" i="30" s="1"/>
  <c r="BM101" i="30"/>
  <c r="BM33" i="30"/>
  <c r="BN16" i="30" s="1"/>
  <c r="J240" i="30" s="1"/>
  <c r="BM100" i="30"/>
  <c r="BM79" i="30" s="1"/>
  <c r="BM28" i="30" s="1"/>
  <c r="BN11" i="30" s="1"/>
  <c r="J215" i="30" s="1"/>
  <c r="BM32" i="30"/>
  <c r="BN15" i="30" s="1"/>
  <c r="J235" i="30" s="1"/>
  <c r="BN94" i="30"/>
  <c r="BN26" i="30"/>
  <c r="BO9" i="30" s="1"/>
  <c r="J284" i="30"/>
  <c r="BM25" i="30"/>
  <c r="BN8" i="30" s="1"/>
  <c r="J200" i="30" s="1"/>
  <c r="BM93" i="30"/>
  <c r="AK71" i="30"/>
  <c r="AK20" i="30" s="1"/>
  <c r="AL3" i="30" s="1"/>
  <c r="AL88" i="30" s="1"/>
  <c r="AK82" i="30"/>
  <c r="AK31" i="30" s="1"/>
  <c r="AL14" i="30" s="1"/>
  <c r="AL99" i="30" s="1"/>
  <c r="AL72" i="30" s="1"/>
  <c r="AL21" i="30" s="1"/>
  <c r="AM4" i="30" s="1"/>
  <c r="AK86" i="30"/>
  <c r="AK35" i="30" s="1"/>
  <c r="AL18" i="30" s="1"/>
  <c r="AL95" i="30"/>
  <c r="AK75" i="30"/>
  <c r="AK24" i="30" s="1"/>
  <c r="AL7" i="30" s="1"/>
  <c r="AK103" i="30"/>
  <c r="AK80" i="30" s="1"/>
  <c r="AK29" i="30" s="1"/>
  <c r="AL12" i="30" s="1"/>
  <c r="AK81" i="30"/>
  <c r="AK30" i="30" s="1"/>
  <c r="AL13" i="30" s="1"/>
  <c r="AK74" i="30"/>
  <c r="AK23" i="30" s="1"/>
  <c r="AL6" i="30" s="1"/>
  <c r="AL89" i="30"/>
  <c r="J286" i="30" l="1"/>
  <c r="BO104" i="30"/>
  <c r="BO36" i="30"/>
  <c r="BP19" i="30" s="1"/>
  <c r="BN96" i="30"/>
  <c r="BO102" i="30"/>
  <c r="BO83" i="30" s="1"/>
  <c r="BO34" i="30"/>
  <c r="BP17" i="30" s="1"/>
  <c r="J291" i="30"/>
  <c r="BN33" i="30"/>
  <c r="BO16" i="30" s="1"/>
  <c r="BN101" i="30"/>
  <c r="BN100" i="30"/>
  <c r="BN79" i="30" s="1"/>
  <c r="BN28" i="30" s="1"/>
  <c r="BO11" i="30" s="1"/>
  <c r="BO96" i="30" s="1"/>
  <c r="J290" i="30"/>
  <c r="BN32" i="30"/>
  <c r="BO15" i="30" s="1"/>
  <c r="BO26" i="30"/>
  <c r="BP9" i="30" s="1"/>
  <c r="BO94" i="30"/>
  <c r="BN93" i="30"/>
  <c r="J283" i="30"/>
  <c r="BN25" i="30"/>
  <c r="BO8" i="30" s="1"/>
  <c r="AL97" i="30"/>
  <c r="AL103" i="30"/>
  <c r="AL80" i="30" s="1"/>
  <c r="AL29" i="30" s="1"/>
  <c r="AM12" i="30" s="1"/>
  <c r="AM89" i="30"/>
  <c r="AL92" i="30"/>
  <c r="AL74" i="30" s="1"/>
  <c r="AL23" i="30" s="1"/>
  <c r="AM6" i="30" s="1"/>
  <c r="AL98" i="30"/>
  <c r="AL78" i="30"/>
  <c r="AL27" i="30" s="1"/>
  <c r="AM10" i="30" s="1"/>
  <c r="AL91" i="30"/>
  <c r="AL81" i="30"/>
  <c r="AL30" i="30" s="1"/>
  <c r="AM13" i="30" s="1"/>
  <c r="AL71" i="30" l="1"/>
  <c r="AL20" i="30" s="1"/>
  <c r="AM3" i="30" s="1"/>
  <c r="AM88" i="30" s="1"/>
  <c r="AL82" i="30"/>
  <c r="AL31" i="30" s="1"/>
  <c r="AM14" i="30" s="1"/>
  <c r="AM99" i="30" s="1"/>
  <c r="AM72" i="30" s="1"/>
  <c r="AM21" i="30" s="1"/>
  <c r="AN4" i="30" s="1"/>
  <c r="AL73" i="30"/>
  <c r="AL22" i="30" s="1"/>
  <c r="AM5" i="30" s="1"/>
  <c r="AM90" i="30" s="1"/>
  <c r="BP36" i="30"/>
  <c r="BQ19" i="30" s="1"/>
  <c r="BP104" i="30"/>
  <c r="BP34" i="30"/>
  <c r="BQ17" i="30" s="1"/>
  <c r="BP102" i="30"/>
  <c r="BP83" i="30" s="1"/>
  <c r="BO101" i="30"/>
  <c r="BO33" i="30"/>
  <c r="BP16" i="30" s="1"/>
  <c r="BO100" i="30"/>
  <c r="BO79" i="30" s="1"/>
  <c r="BO28" i="30" s="1"/>
  <c r="BP11" i="30" s="1"/>
  <c r="BP96" i="30" s="1"/>
  <c r="BO32" i="30"/>
  <c r="BP15" i="30" s="1"/>
  <c r="BP94" i="30"/>
  <c r="BP26" i="30"/>
  <c r="BQ9" i="30" s="1"/>
  <c r="BO25" i="30"/>
  <c r="BP8" i="30" s="1"/>
  <c r="BO93" i="30"/>
  <c r="AL75" i="30"/>
  <c r="AL24" i="30" s="1"/>
  <c r="AM7" i="30" s="1"/>
  <c r="AM92" i="30" s="1"/>
  <c r="AM98" i="30"/>
  <c r="AM91" i="30"/>
  <c r="AM97" i="30"/>
  <c r="AM95" i="30"/>
  <c r="AL86" i="30"/>
  <c r="AL35" i="30" s="1"/>
  <c r="AM18" i="30" s="1"/>
  <c r="AM78" i="30"/>
  <c r="AM27" i="30" s="1"/>
  <c r="AN10" i="30" s="1"/>
  <c r="AM82" i="30" l="1"/>
  <c r="AM31" i="30" s="1"/>
  <c r="AN14" i="30" s="1"/>
  <c r="AN99" i="30" s="1"/>
  <c r="AN72" i="30" s="1"/>
  <c r="AN21" i="30" s="1"/>
  <c r="AO4" i="30" s="1"/>
  <c r="BQ104" i="30"/>
  <c r="BQ36" i="30"/>
  <c r="BR19" i="30" s="1"/>
  <c r="BQ102" i="30"/>
  <c r="BQ83" i="30" s="1"/>
  <c r="BQ34" i="30"/>
  <c r="BR17" i="30" s="1"/>
  <c r="BP33" i="30"/>
  <c r="BQ16" i="30" s="1"/>
  <c r="BP101" i="30"/>
  <c r="BP100" i="30"/>
  <c r="BP79" i="30" s="1"/>
  <c r="BP28" i="30" s="1"/>
  <c r="BQ11" i="30" s="1"/>
  <c r="BQ96" i="30" s="1"/>
  <c r="BP32" i="30"/>
  <c r="BQ15" i="30" s="1"/>
  <c r="BQ94" i="30"/>
  <c r="BQ26" i="30"/>
  <c r="BR9" i="30" s="1"/>
  <c r="BP93" i="30"/>
  <c r="BP25" i="30"/>
  <c r="BQ8" i="30" s="1"/>
  <c r="AM86" i="30"/>
  <c r="AM35" i="30" s="1"/>
  <c r="AN18" i="30" s="1"/>
  <c r="AN95" i="30"/>
  <c r="AM81" i="30"/>
  <c r="AM30" i="30" s="1"/>
  <c r="AN13" i="30" s="1"/>
  <c r="AM74" i="30"/>
  <c r="AM23" i="30" s="1"/>
  <c r="AN6" i="30" s="1"/>
  <c r="AM75" i="30"/>
  <c r="AM24" i="30" s="1"/>
  <c r="AN7" i="30" s="1"/>
  <c r="AM71" i="30"/>
  <c r="AM20" i="30" s="1"/>
  <c r="AN3" i="30" s="1"/>
  <c r="AN89" i="30"/>
  <c r="AM103" i="30"/>
  <c r="AM80" i="30" s="1"/>
  <c r="AM29" i="30" s="1"/>
  <c r="AN12" i="30" s="1"/>
  <c r="AM73" i="30"/>
  <c r="AM22" i="30" s="1"/>
  <c r="AN5" i="30" s="1"/>
  <c r="BR104" i="30" l="1"/>
  <c r="BR36" i="30"/>
  <c r="BS19" i="30" s="1"/>
  <c r="BR102" i="30"/>
  <c r="BR83" i="30" s="1"/>
  <c r="BR34" i="30"/>
  <c r="BS17" i="30" s="1"/>
  <c r="BQ101" i="30"/>
  <c r="BQ33" i="30"/>
  <c r="BR16" i="30" s="1"/>
  <c r="BQ100" i="30"/>
  <c r="BQ79" i="30" s="1"/>
  <c r="BQ28" i="30" s="1"/>
  <c r="BR11" i="30" s="1"/>
  <c r="BR96" i="30" s="1"/>
  <c r="BQ32" i="30"/>
  <c r="BR15" i="30" s="1"/>
  <c r="BR94" i="30"/>
  <c r="BR26" i="30"/>
  <c r="BS9" i="30" s="1"/>
  <c r="BQ25" i="30"/>
  <c r="BR8" i="30" s="1"/>
  <c r="BQ93" i="30"/>
  <c r="AN92" i="30"/>
  <c r="AO89" i="30"/>
  <c r="AN90" i="30"/>
  <c r="AN78" i="30"/>
  <c r="AN27" i="30" s="1"/>
  <c r="AO10" i="30" s="1"/>
  <c r="AN91" i="30"/>
  <c r="AN103" i="30"/>
  <c r="AN97" i="30"/>
  <c r="AN88" i="30"/>
  <c r="AN98" i="30"/>
  <c r="AN73" i="30" s="1"/>
  <c r="AN22" i="30" s="1"/>
  <c r="AO5" i="30" s="1"/>
  <c r="BS36" i="30" l="1"/>
  <c r="BT19" i="30" s="1"/>
  <c r="BS104" i="30"/>
  <c r="BS102" i="30"/>
  <c r="BS83" i="30" s="1"/>
  <c r="BS34" i="30"/>
  <c r="BT17" i="30" s="1"/>
  <c r="BR33" i="30"/>
  <c r="BS16" i="30" s="1"/>
  <c r="BR101" i="30"/>
  <c r="BR100" i="30"/>
  <c r="BR79" i="30" s="1"/>
  <c r="BR28" i="30" s="1"/>
  <c r="BS11" i="30" s="1"/>
  <c r="BS96" i="30" s="1"/>
  <c r="BR32" i="30"/>
  <c r="BS15" i="30" s="1"/>
  <c r="BS26" i="30"/>
  <c r="BT9" i="30" s="1"/>
  <c r="BS94" i="30"/>
  <c r="AN71" i="30"/>
  <c r="AN20" i="30" s="1"/>
  <c r="AO3" i="30" s="1"/>
  <c r="AO88" i="30" s="1"/>
  <c r="BR93" i="30"/>
  <c r="BR25" i="30"/>
  <c r="BS8" i="30" s="1"/>
  <c r="AO90" i="30"/>
  <c r="AN86" i="30"/>
  <c r="AN35" i="30" s="1"/>
  <c r="AO18" i="30" s="1"/>
  <c r="AO78" i="30"/>
  <c r="AO27" i="30" s="1"/>
  <c r="AP10" i="30" s="1"/>
  <c r="G210" i="30" s="1"/>
  <c r="G211" i="30" s="1"/>
  <c r="AN82" i="30"/>
  <c r="AN31" i="30" s="1"/>
  <c r="AO14" i="30" s="1"/>
  <c r="AN75" i="30"/>
  <c r="AN24" i="30" s="1"/>
  <c r="AO7" i="30" s="1"/>
  <c r="AN80" i="30"/>
  <c r="AN29" i="30" s="1"/>
  <c r="AO12" i="30" s="1"/>
  <c r="AO95" i="30"/>
  <c r="AN81" i="30"/>
  <c r="AN30" i="30" s="1"/>
  <c r="AO13" i="30" s="1"/>
  <c r="AN74" i="30"/>
  <c r="AN23" i="30" s="1"/>
  <c r="AO6" i="30" s="1"/>
  <c r="BT36" i="30" l="1"/>
  <c r="BU19" i="30" s="1"/>
  <c r="BT104" i="30"/>
  <c r="BT34" i="30"/>
  <c r="BU17" i="30" s="1"/>
  <c r="BT102" i="30"/>
  <c r="BT83" i="30" s="1"/>
  <c r="BS101" i="30"/>
  <c r="BS33" i="30"/>
  <c r="BT16" i="30" s="1"/>
  <c r="BS100" i="30"/>
  <c r="BS79" i="30" s="1"/>
  <c r="BS28" i="30" s="1"/>
  <c r="BT11" i="30" s="1"/>
  <c r="BT96" i="30" s="1"/>
  <c r="BS32" i="30"/>
  <c r="BT15" i="30" s="1"/>
  <c r="BT94" i="30"/>
  <c r="BT26" i="30"/>
  <c r="BU9" i="30" s="1"/>
  <c r="BS25" i="30"/>
  <c r="BT8" i="30" s="1"/>
  <c r="BS93" i="30"/>
  <c r="AO91" i="30"/>
  <c r="AO75" i="30" s="1"/>
  <c r="AO24" i="30" s="1"/>
  <c r="AP7" i="30" s="1"/>
  <c r="G195" i="30" s="1"/>
  <c r="G196" i="30" s="1"/>
  <c r="AO92" i="30"/>
  <c r="AO81" i="30"/>
  <c r="AO30" i="30" s="1"/>
  <c r="AP13" i="30" s="1"/>
  <c r="G225" i="30" s="1"/>
  <c r="G226" i="30" s="1"/>
  <c r="AP95" i="30"/>
  <c r="G285" i="30"/>
  <c r="AO99" i="30"/>
  <c r="AO72" i="30" s="1"/>
  <c r="AO21" i="30" s="1"/>
  <c r="AP4" i="30" s="1"/>
  <c r="G180" i="30" s="1"/>
  <c r="G181" i="30" s="1"/>
  <c r="AO97" i="30"/>
  <c r="AO98" i="30"/>
  <c r="AO103" i="30"/>
  <c r="AO80" i="30" s="1"/>
  <c r="AO29" i="30" s="1"/>
  <c r="AP12" i="30" s="1"/>
  <c r="G220" i="30" s="1"/>
  <c r="G221" i="30" s="1"/>
  <c r="BU104" i="30" l="1"/>
  <c r="BU36" i="30"/>
  <c r="BV19" i="30" s="1"/>
  <c r="K255" i="30" s="1"/>
  <c r="BU34" i="30"/>
  <c r="BV17" i="30" s="1"/>
  <c r="K245" i="30" s="1"/>
  <c r="BU102" i="30"/>
  <c r="BU83" i="30" s="1"/>
  <c r="BT101" i="30"/>
  <c r="BT33" i="30"/>
  <c r="BU16" i="30" s="1"/>
  <c r="BT100" i="30"/>
  <c r="BT79" i="30" s="1"/>
  <c r="BT28" i="30" s="1"/>
  <c r="BU11" i="30" s="1"/>
  <c r="BU96" i="30" s="1"/>
  <c r="BT32" i="30"/>
  <c r="BU15" i="30" s="1"/>
  <c r="BU94" i="30"/>
  <c r="BU26" i="30"/>
  <c r="BV9" i="30" s="1"/>
  <c r="K205" i="30" s="1"/>
  <c r="BT25" i="30"/>
  <c r="BU8" i="30" s="1"/>
  <c r="BT93" i="30"/>
  <c r="AO74" i="30"/>
  <c r="AO23" i="30" s="1"/>
  <c r="AP6" i="30" s="1"/>
  <c r="G190" i="30" s="1"/>
  <c r="G191" i="30" s="1"/>
  <c r="AP92" i="30"/>
  <c r="G282" i="30"/>
  <c r="G288" i="30"/>
  <c r="AP98" i="30"/>
  <c r="AP97" i="30"/>
  <c r="G287" i="30"/>
  <c r="AO71" i="30"/>
  <c r="AO20" i="30" s="1"/>
  <c r="AP3" i="30" s="1"/>
  <c r="G175" i="30" s="1"/>
  <c r="G176" i="30" s="1"/>
  <c r="G265" i="30"/>
  <c r="AO73" i="30"/>
  <c r="AO22" i="30" s="1"/>
  <c r="AP5" i="30" s="1"/>
  <c r="G185" i="30" s="1"/>
  <c r="G186" i="30" s="1"/>
  <c r="G279" i="30"/>
  <c r="AP89" i="30"/>
  <c r="AO86" i="30"/>
  <c r="AO35" i="30" s="1"/>
  <c r="AP18" i="30" s="1"/>
  <c r="G250" i="30" s="1"/>
  <c r="G251" i="30" s="1"/>
  <c r="AO82" i="30"/>
  <c r="AO31" i="30" s="1"/>
  <c r="AP14" i="30" s="1"/>
  <c r="G230" i="30" s="1"/>
  <c r="G231" i="30" s="1"/>
  <c r="K294" i="30" l="1"/>
  <c r="BV36" i="30"/>
  <c r="BW19" i="30" s="1"/>
  <c r="BV104" i="30"/>
  <c r="BV34" i="30"/>
  <c r="BW17" i="30" s="1"/>
  <c r="K292" i="30"/>
  <c r="BV102" i="30"/>
  <c r="BV83" i="30" s="1"/>
  <c r="BU33" i="30"/>
  <c r="BV16" i="30" s="1"/>
  <c r="K240" i="30" s="1"/>
  <c r="BU101" i="30"/>
  <c r="BU100" i="30"/>
  <c r="BU79" i="30" s="1"/>
  <c r="BU28" i="30" s="1"/>
  <c r="BV11" i="30" s="1"/>
  <c r="K215" i="30" s="1"/>
  <c r="BU32" i="30"/>
  <c r="BV15" i="30" s="1"/>
  <c r="K235" i="30" s="1"/>
  <c r="G281" i="30"/>
  <c r="BV26" i="30"/>
  <c r="BW9" i="30" s="1"/>
  <c r="K284" i="30"/>
  <c r="BV94" i="30"/>
  <c r="AP91" i="30"/>
  <c r="AP86" i="30" s="1"/>
  <c r="AP35" i="30" s="1"/>
  <c r="AQ18" i="30" s="1"/>
  <c r="BU25" i="30"/>
  <c r="BV8" i="30" s="1"/>
  <c r="K200" i="30" s="1"/>
  <c r="BU93" i="30"/>
  <c r="AP78" i="30"/>
  <c r="AP27" i="30" s="1"/>
  <c r="AQ10" i="30" s="1"/>
  <c r="AP99" i="30"/>
  <c r="AP72" i="30" s="1"/>
  <c r="AP21" i="30" s="1"/>
  <c r="AQ4" i="30" s="1"/>
  <c r="G289" i="30"/>
  <c r="G280" i="30"/>
  <c r="AP90" i="30"/>
  <c r="AP71" i="30" s="1"/>
  <c r="AP20" i="30" s="1"/>
  <c r="AQ3" i="30" s="1"/>
  <c r="G293" i="30"/>
  <c r="AP103" i="30"/>
  <c r="G259" i="30"/>
  <c r="AP88" i="30"/>
  <c r="G278" i="30"/>
  <c r="G267" i="30"/>
  <c r="G268" i="30"/>
  <c r="G262" i="30"/>
  <c r="G277" i="30" l="1"/>
  <c r="K286" i="30"/>
  <c r="G261" i="30"/>
  <c r="AP82" i="30"/>
  <c r="AP31" i="30" s="1"/>
  <c r="AQ14" i="30" s="1"/>
  <c r="AQ99" i="30" s="1"/>
  <c r="AQ72" i="30" s="1"/>
  <c r="AQ21" i="30" s="1"/>
  <c r="AR4" i="30" s="1"/>
  <c r="BW36" i="30"/>
  <c r="BX19" i="30" s="1"/>
  <c r="BW104" i="30"/>
  <c r="BW34" i="30"/>
  <c r="BX17" i="30" s="1"/>
  <c r="BW102" i="30"/>
  <c r="BW83" i="30" s="1"/>
  <c r="BV96" i="30"/>
  <c r="K291" i="30"/>
  <c r="BV101" i="30"/>
  <c r="BV33" i="30"/>
  <c r="BW16" i="30" s="1"/>
  <c r="K290" i="30"/>
  <c r="BV100" i="30"/>
  <c r="BV79" i="30" s="1"/>
  <c r="BV28" i="30" s="1"/>
  <c r="BW11" i="30" s="1"/>
  <c r="BW96" i="30" s="1"/>
  <c r="BV32" i="30"/>
  <c r="BW15" i="30" s="1"/>
  <c r="BW94" i="30"/>
  <c r="BW26" i="30"/>
  <c r="BX9" i="30" s="1"/>
  <c r="BV93" i="30"/>
  <c r="K283" i="30"/>
  <c r="BV25" i="30"/>
  <c r="BW8" i="30" s="1"/>
  <c r="G258" i="30"/>
  <c r="AQ88" i="30"/>
  <c r="G273" i="30"/>
  <c r="AQ89" i="30"/>
  <c r="AQ95" i="30"/>
  <c r="AQ103" i="30"/>
  <c r="AP75" i="30"/>
  <c r="AP24" i="30" s="1"/>
  <c r="AQ7" i="30" s="1"/>
  <c r="AP80" i="30"/>
  <c r="AP29" i="30" s="1"/>
  <c r="AQ12" i="30" s="1"/>
  <c r="G260" i="30"/>
  <c r="AP74" i="30"/>
  <c r="AP23" i="30" s="1"/>
  <c r="AQ6" i="30" s="1"/>
  <c r="AP81" i="30"/>
  <c r="AP30" i="30" s="1"/>
  <c r="AQ13" i="30" s="1"/>
  <c r="G269" i="30"/>
  <c r="AP73" i="30"/>
  <c r="AP22" i="30" s="1"/>
  <c r="AQ5" i="30" s="1"/>
  <c r="BX104" i="30" l="1"/>
  <c r="BX36" i="30"/>
  <c r="BY19" i="30" s="1"/>
  <c r="BX102" i="30"/>
  <c r="BX83" i="30" s="1"/>
  <c r="BX34" i="30"/>
  <c r="BY17" i="30" s="1"/>
  <c r="BW33" i="30"/>
  <c r="BX16" i="30" s="1"/>
  <c r="BW101" i="30"/>
  <c r="BW100" i="30"/>
  <c r="BW79" i="30" s="1"/>
  <c r="BW28" i="30" s="1"/>
  <c r="BX11" i="30" s="1"/>
  <c r="BX96" i="30" s="1"/>
  <c r="BW32" i="30"/>
  <c r="BX15" i="30" s="1"/>
  <c r="BX94" i="30"/>
  <c r="BX26" i="30"/>
  <c r="BY9" i="30" s="1"/>
  <c r="BW25" i="30"/>
  <c r="BX8" i="30" s="1"/>
  <c r="BW93" i="30"/>
  <c r="G275" i="30"/>
  <c r="AQ98" i="30"/>
  <c r="AQ73" i="30" s="1"/>
  <c r="AQ22" i="30" s="1"/>
  <c r="AR5" i="30" s="1"/>
  <c r="AQ97" i="30"/>
  <c r="AQ91" i="30"/>
  <c r="AQ92" i="30"/>
  <c r="AQ78" i="30"/>
  <c r="AQ27" i="30" s="1"/>
  <c r="AR10" i="30" s="1"/>
  <c r="AQ90" i="30"/>
  <c r="AQ80" i="30" s="1"/>
  <c r="AQ29" i="30" s="1"/>
  <c r="AR12" i="30" s="1"/>
  <c r="AR89" i="30"/>
  <c r="BY104" i="30" l="1"/>
  <c r="BY36" i="30"/>
  <c r="BZ19" i="30" s="1"/>
  <c r="BY34" i="30"/>
  <c r="BZ17" i="30" s="1"/>
  <c r="BY102" i="30"/>
  <c r="BY83" i="30" s="1"/>
  <c r="BX101" i="30"/>
  <c r="BX33" i="30"/>
  <c r="BY16" i="30" s="1"/>
  <c r="BX100" i="30"/>
  <c r="BX79" i="30" s="1"/>
  <c r="BX28" i="30" s="1"/>
  <c r="BY11" i="30" s="1"/>
  <c r="BY96" i="30" s="1"/>
  <c r="BX32" i="30"/>
  <c r="BY15" i="30" s="1"/>
  <c r="BY26" i="30"/>
  <c r="BZ9" i="30" s="1"/>
  <c r="BY94" i="30"/>
  <c r="BX93" i="30"/>
  <c r="BX25" i="30"/>
  <c r="BY8" i="30" s="1"/>
  <c r="AR97" i="30"/>
  <c r="AR90" i="30"/>
  <c r="AR95" i="30"/>
  <c r="AQ86" i="30"/>
  <c r="AQ35" i="30" s="1"/>
  <c r="AR18" i="30" s="1"/>
  <c r="AR78" i="30"/>
  <c r="AR27" i="30" s="1"/>
  <c r="AS10" i="30" s="1"/>
  <c r="AQ71" i="30"/>
  <c r="AQ20" i="30" s="1"/>
  <c r="AR3" i="30" s="1"/>
  <c r="AQ74" i="30"/>
  <c r="AQ23" i="30" s="1"/>
  <c r="AR6" i="30" s="1"/>
  <c r="AQ81" i="30"/>
  <c r="AQ30" i="30" s="1"/>
  <c r="AR13" i="30" s="1"/>
  <c r="AQ82" i="30"/>
  <c r="AQ31" i="30" s="1"/>
  <c r="AR14" i="30" s="1"/>
  <c r="AQ75" i="30"/>
  <c r="AQ24" i="30" s="1"/>
  <c r="AR7" i="30" s="1"/>
  <c r="BZ36" i="30" l="1"/>
  <c r="CA19" i="30" s="1"/>
  <c r="BZ104" i="30"/>
  <c r="BZ34" i="30"/>
  <c r="CA17" i="30" s="1"/>
  <c r="BZ102" i="30"/>
  <c r="BZ83" i="30" s="1"/>
  <c r="BY101" i="30"/>
  <c r="BY33" i="30"/>
  <c r="BZ16" i="30" s="1"/>
  <c r="BY100" i="30"/>
  <c r="BY79" i="30" s="1"/>
  <c r="BY28" i="30" s="1"/>
  <c r="BZ11" i="30" s="1"/>
  <c r="BZ96" i="30" s="1"/>
  <c r="BY32" i="30"/>
  <c r="BZ15" i="30" s="1"/>
  <c r="BZ94" i="30"/>
  <c r="BZ26" i="30"/>
  <c r="CA9" i="30" s="1"/>
  <c r="BY25" i="30"/>
  <c r="BZ8" i="30" s="1"/>
  <c r="BY93" i="30"/>
  <c r="AS95" i="30"/>
  <c r="AR88" i="30"/>
  <c r="AR99" i="30"/>
  <c r="AR72" i="30" s="1"/>
  <c r="AR21" i="30" s="1"/>
  <c r="AS4" i="30" s="1"/>
  <c r="AR103" i="30"/>
  <c r="AR81" i="30"/>
  <c r="AR30" i="30" s="1"/>
  <c r="AS13" i="30" s="1"/>
  <c r="AR92" i="30"/>
  <c r="AR98" i="30"/>
  <c r="AR91" i="30"/>
  <c r="AR73" i="30" l="1"/>
  <c r="AR22" i="30" s="1"/>
  <c r="AS5" i="30" s="1"/>
  <c r="AS90" i="30" s="1"/>
  <c r="CA36" i="30"/>
  <c r="CB19" i="30" s="1"/>
  <c r="CA104" i="30"/>
  <c r="CA34" i="30"/>
  <c r="CB17" i="30" s="1"/>
  <c r="CA102" i="30"/>
  <c r="CA83" i="30" s="1"/>
  <c r="BZ101" i="30"/>
  <c r="BZ33" i="30"/>
  <c r="CA16" i="30" s="1"/>
  <c r="BZ100" i="30"/>
  <c r="BZ79" i="30" s="1"/>
  <c r="BZ28" i="30" s="1"/>
  <c r="CA11" i="30" s="1"/>
  <c r="CA96" i="30" s="1"/>
  <c r="BZ32" i="30"/>
  <c r="CA15" i="30" s="1"/>
  <c r="CA94" i="30"/>
  <c r="CA26" i="30"/>
  <c r="CB9" i="30" s="1"/>
  <c r="BZ25" i="30"/>
  <c r="CA8" i="30" s="1"/>
  <c r="BZ93" i="30"/>
  <c r="AR74" i="30"/>
  <c r="AR23" i="30" s="1"/>
  <c r="AS6" i="30" s="1"/>
  <c r="AS91" i="30" s="1"/>
  <c r="AS98" i="30"/>
  <c r="AR86" i="30"/>
  <c r="AR35" i="30" s="1"/>
  <c r="AS18" i="30" s="1"/>
  <c r="AR82" i="30"/>
  <c r="AR31" i="30" s="1"/>
  <c r="AS14" i="30" s="1"/>
  <c r="AR80" i="30"/>
  <c r="AR29" i="30" s="1"/>
  <c r="AS12" i="30" s="1"/>
  <c r="AR75" i="30"/>
  <c r="AR24" i="30" s="1"/>
  <c r="AS7" i="30" s="1"/>
  <c r="AS89" i="30"/>
  <c r="AR71" i="30"/>
  <c r="AR20" i="30" s="1"/>
  <c r="AS3" i="30" s="1"/>
  <c r="CB36" i="30" l="1"/>
  <c r="CC19" i="30" s="1"/>
  <c r="CB104" i="30"/>
  <c r="CB34" i="30"/>
  <c r="CC17" i="30" s="1"/>
  <c r="CB102" i="30"/>
  <c r="CB83" i="30" s="1"/>
  <c r="CA33" i="30"/>
  <c r="CB16" i="30" s="1"/>
  <c r="CA101" i="30"/>
  <c r="CA100" i="30"/>
  <c r="CA79" i="30" s="1"/>
  <c r="CA28" i="30" s="1"/>
  <c r="CB11" i="30" s="1"/>
  <c r="CB96" i="30" s="1"/>
  <c r="CA32" i="30"/>
  <c r="CB15" i="30" s="1"/>
  <c r="CB26" i="30"/>
  <c r="CC9" i="30" s="1"/>
  <c r="CB94" i="30"/>
  <c r="CA93" i="30"/>
  <c r="CA25" i="30"/>
  <c r="CB8" i="30" s="1"/>
  <c r="AS92" i="30"/>
  <c r="AS81" i="30"/>
  <c r="AS30" i="30" s="1"/>
  <c r="AT13" i="30" s="1"/>
  <c r="AS97" i="30"/>
  <c r="AS71" i="30" s="1"/>
  <c r="AS20" i="30" s="1"/>
  <c r="AT3" i="30" s="1"/>
  <c r="AS99" i="30"/>
  <c r="AS72" i="30" s="1"/>
  <c r="AS21" i="30" s="1"/>
  <c r="AT4" i="30" s="1"/>
  <c r="AS88" i="30"/>
  <c r="AS78" i="30"/>
  <c r="AS27" i="30" s="1"/>
  <c r="AT10" i="30" s="1"/>
  <c r="AS82" i="30"/>
  <c r="AS31" i="30" s="1"/>
  <c r="AT14" i="30" s="1"/>
  <c r="AS103" i="30"/>
  <c r="CC104" i="30" l="1"/>
  <c r="CC36" i="30"/>
  <c r="CD19" i="30" s="1"/>
  <c r="L255" i="30" s="1"/>
  <c r="CC102" i="30"/>
  <c r="CC83" i="30" s="1"/>
  <c r="CC34" i="30"/>
  <c r="CD17" i="30" s="1"/>
  <c r="L245" i="30" s="1"/>
  <c r="CB101" i="30"/>
  <c r="CB33" i="30"/>
  <c r="CC16" i="30" s="1"/>
  <c r="CB100" i="30"/>
  <c r="CB79" i="30" s="1"/>
  <c r="CB28" i="30" s="1"/>
  <c r="CC11" i="30" s="1"/>
  <c r="CC96" i="30" s="1"/>
  <c r="CB32" i="30"/>
  <c r="CC15" i="30" s="1"/>
  <c r="CC26" i="30"/>
  <c r="CD9" i="30" s="1"/>
  <c r="L205" i="30" s="1"/>
  <c r="CC94" i="30"/>
  <c r="CB25" i="30"/>
  <c r="CC8" i="30" s="1"/>
  <c r="CB93" i="30"/>
  <c r="AS86" i="30"/>
  <c r="AS35" i="30" s="1"/>
  <c r="AT18" i="30" s="1"/>
  <c r="AT103" i="30" s="1"/>
  <c r="AS74" i="30"/>
  <c r="AS23" i="30" s="1"/>
  <c r="AT6" i="30" s="1"/>
  <c r="AT91" i="30" s="1"/>
  <c r="AT88" i="30"/>
  <c r="AT95" i="30"/>
  <c r="AS73" i="30"/>
  <c r="AS22" i="30" s="1"/>
  <c r="AT5" i="30" s="1"/>
  <c r="AT99" i="30"/>
  <c r="AT72" i="30" s="1"/>
  <c r="AT21" i="30" s="1"/>
  <c r="AU4" i="30" s="1"/>
  <c r="AT98" i="30"/>
  <c r="AT89" i="30"/>
  <c r="AS80" i="30"/>
  <c r="AS29" i="30" s="1"/>
  <c r="AT12" i="30" s="1"/>
  <c r="AS75" i="30"/>
  <c r="AS24" i="30" s="1"/>
  <c r="AT7" i="30" s="1"/>
  <c r="L294" i="30" l="1"/>
  <c r="CD36" i="30"/>
  <c r="CE19" i="30" s="1"/>
  <c r="CD104" i="30"/>
  <c r="CD102" i="30"/>
  <c r="CD83" i="30" s="1"/>
  <c r="L292" i="30"/>
  <c r="CD34" i="30"/>
  <c r="CE17" i="30" s="1"/>
  <c r="CC33" i="30"/>
  <c r="CD16" i="30" s="1"/>
  <c r="L240" i="30" s="1"/>
  <c r="CC101" i="30"/>
  <c r="CC100" i="30"/>
  <c r="CC79" i="30" s="1"/>
  <c r="CC28" i="30" s="1"/>
  <c r="CD11" i="30" s="1"/>
  <c r="L215" i="30" s="1"/>
  <c r="CC32" i="30"/>
  <c r="CD15" i="30" s="1"/>
  <c r="L235" i="30" s="1"/>
  <c r="CD94" i="30"/>
  <c r="CD26" i="30"/>
  <c r="CE9" i="30" s="1"/>
  <c r="L284" i="30"/>
  <c r="CC25" i="30"/>
  <c r="CD8" i="30" s="1"/>
  <c r="L200" i="30" s="1"/>
  <c r="CC93" i="30"/>
  <c r="AU89" i="30"/>
  <c r="AT90" i="30"/>
  <c r="AT75" i="30" s="1"/>
  <c r="AT24" i="30" s="1"/>
  <c r="AU7" i="30" s="1"/>
  <c r="AT97" i="30"/>
  <c r="AT73" i="30"/>
  <c r="AT22" i="30" s="1"/>
  <c r="AU5" i="30" s="1"/>
  <c r="AT82" i="30"/>
  <c r="AT31" i="30" s="1"/>
  <c r="AU14" i="30" s="1"/>
  <c r="AT78" i="30"/>
  <c r="AT27" i="30" s="1"/>
  <c r="AU10" i="30" s="1"/>
  <c r="AT92" i="30"/>
  <c r="L286" i="30" l="1"/>
  <c r="AT86" i="30"/>
  <c r="AT35" i="30" s="1"/>
  <c r="AU18" i="30" s="1"/>
  <c r="AU103" i="30" s="1"/>
  <c r="CE104" i="30"/>
  <c r="CE36" i="30"/>
  <c r="CF19" i="30" s="1"/>
  <c r="CE34" i="30"/>
  <c r="CF17" i="30" s="1"/>
  <c r="CE102" i="30"/>
  <c r="CE83" i="30" s="1"/>
  <c r="CD96" i="30"/>
  <c r="CD101" i="30"/>
  <c r="L291" i="30"/>
  <c r="CD33" i="30"/>
  <c r="CE16" i="30" s="1"/>
  <c r="CD100" i="30"/>
  <c r="CD79" i="30" s="1"/>
  <c r="CD28" i="30" s="1"/>
  <c r="CE11" i="30" s="1"/>
  <c r="CE96" i="30" s="1"/>
  <c r="L290" i="30"/>
  <c r="CD32" i="30"/>
  <c r="CE15" i="30" s="1"/>
  <c r="CE94" i="30"/>
  <c r="CE26" i="30"/>
  <c r="CF9" i="30" s="1"/>
  <c r="CD93" i="30"/>
  <c r="CD25" i="30"/>
  <c r="CE8" i="30" s="1"/>
  <c r="L283" i="30"/>
  <c r="AU92" i="30"/>
  <c r="AU90" i="30"/>
  <c r="AU99" i="30"/>
  <c r="AU72" i="30" s="1"/>
  <c r="AU21" i="30" s="1"/>
  <c r="AV4" i="30" s="1"/>
  <c r="AU95" i="30"/>
  <c r="AT74" i="30"/>
  <c r="AT23" i="30" s="1"/>
  <c r="AU6" i="30" s="1"/>
  <c r="AT81" i="30"/>
  <c r="AT30" i="30" s="1"/>
  <c r="AU13" i="30" s="1"/>
  <c r="AT80" i="30"/>
  <c r="AT29" i="30" s="1"/>
  <c r="AU12" i="30" s="1"/>
  <c r="AT71" i="30"/>
  <c r="AT20" i="30" s="1"/>
  <c r="AU3" i="30" s="1"/>
  <c r="AU78" i="30"/>
  <c r="AU27" i="30" s="1"/>
  <c r="AV10" i="30" s="1"/>
  <c r="CF104" i="30" l="1"/>
  <c r="CF36" i="30"/>
  <c r="CG19" i="30" s="1"/>
  <c r="CF34" i="30"/>
  <c r="CG17" i="30" s="1"/>
  <c r="CF102" i="30"/>
  <c r="CF83" i="30" s="1"/>
  <c r="CE101" i="30"/>
  <c r="CE33" i="30"/>
  <c r="CF16" i="30" s="1"/>
  <c r="CE100" i="30"/>
  <c r="CE79" i="30" s="1"/>
  <c r="CE28" i="30" s="1"/>
  <c r="CF11" i="30" s="1"/>
  <c r="CF96" i="30" s="1"/>
  <c r="CE32" i="30"/>
  <c r="CF15" i="30" s="1"/>
  <c r="CF94" i="30"/>
  <c r="CF26" i="30"/>
  <c r="CG9" i="30" s="1"/>
  <c r="CE93" i="30"/>
  <c r="CE25" i="30"/>
  <c r="CF8" i="30" s="1"/>
  <c r="AU91" i="30"/>
  <c r="AV89" i="30"/>
  <c r="AU74" i="30"/>
  <c r="AU23" i="30" s="1"/>
  <c r="AV6" i="30" s="1"/>
  <c r="AU81" i="30"/>
  <c r="AU30" i="30" s="1"/>
  <c r="AV13" i="30" s="1"/>
  <c r="AU98" i="30"/>
  <c r="AU73" i="30" s="1"/>
  <c r="AU22" i="30" s="1"/>
  <c r="AV5" i="30" s="1"/>
  <c r="AU88" i="30"/>
  <c r="AU97" i="30"/>
  <c r="AV95" i="30"/>
  <c r="AU71" i="30" l="1"/>
  <c r="AU20" i="30" s="1"/>
  <c r="AV3" i="30" s="1"/>
  <c r="AV88" i="30" s="1"/>
  <c r="CG104" i="30"/>
  <c r="CG36" i="30"/>
  <c r="CH19" i="30" s="1"/>
  <c r="CG102" i="30"/>
  <c r="CG83" i="30" s="1"/>
  <c r="CG34" i="30"/>
  <c r="CH17" i="30" s="1"/>
  <c r="CF101" i="30"/>
  <c r="CF33" i="30"/>
  <c r="CG16" i="30" s="1"/>
  <c r="CF100" i="30"/>
  <c r="CF79" i="30" s="1"/>
  <c r="CF28" i="30" s="1"/>
  <c r="CG11" i="30" s="1"/>
  <c r="CG96" i="30" s="1"/>
  <c r="CF32" i="30"/>
  <c r="CG15" i="30" s="1"/>
  <c r="CG94" i="30"/>
  <c r="CG26" i="30"/>
  <c r="CH9" i="30" s="1"/>
  <c r="CF93" i="30"/>
  <c r="CF25" i="30"/>
  <c r="CG8" i="30" s="1"/>
  <c r="AV91" i="30"/>
  <c r="AV98" i="30"/>
  <c r="AV90" i="30"/>
  <c r="AV78" i="30"/>
  <c r="AV27" i="30" s="1"/>
  <c r="AW10" i="30" s="1"/>
  <c r="AU75" i="30"/>
  <c r="AU24" i="30" s="1"/>
  <c r="AV7" i="30" s="1"/>
  <c r="AU80" i="30"/>
  <c r="AU29" i="30" s="1"/>
  <c r="AV12" i="30" s="1"/>
  <c r="AU86" i="30"/>
  <c r="AU35" i="30" s="1"/>
  <c r="AV18" i="30" s="1"/>
  <c r="AU82" i="30"/>
  <c r="AU31" i="30" s="1"/>
  <c r="AV14" i="30" s="1"/>
  <c r="CH36" i="30" l="1"/>
  <c r="CI19" i="30" s="1"/>
  <c r="CH104" i="30"/>
  <c r="CH34" i="30"/>
  <c r="CI17" i="30" s="1"/>
  <c r="CH102" i="30"/>
  <c r="CH83" i="30" s="1"/>
  <c r="CG101" i="30"/>
  <c r="CG33" i="30"/>
  <c r="CH16" i="30" s="1"/>
  <c r="CG100" i="30"/>
  <c r="CG79" i="30" s="1"/>
  <c r="CG28" i="30" s="1"/>
  <c r="CH11" i="30" s="1"/>
  <c r="CH96" i="30" s="1"/>
  <c r="CG32" i="30"/>
  <c r="CH15" i="30" s="1"/>
  <c r="AV82" i="30"/>
  <c r="AV31" i="30" s="1"/>
  <c r="AW14" i="30" s="1"/>
  <c r="CH94" i="30"/>
  <c r="CH26" i="30"/>
  <c r="CI9" i="30" s="1"/>
  <c r="CG25" i="30"/>
  <c r="CH8" i="30" s="1"/>
  <c r="CG93" i="30"/>
  <c r="AV99" i="30"/>
  <c r="AV81" i="30"/>
  <c r="AV30" i="30" s="1"/>
  <c r="AW13" i="30" s="1"/>
  <c r="AV97" i="30"/>
  <c r="AV71" i="30" s="1"/>
  <c r="AV20" i="30" s="1"/>
  <c r="AW3" i="30" s="1"/>
  <c r="AV103" i="30"/>
  <c r="AV80" i="30" s="1"/>
  <c r="AV29" i="30" s="1"/>
  <c r="AW12" i="30" s="1"/>
  <c r="AV92" i="30"/>
  <c r="AW95" i="30"/>
  <c r="AV75" i="30"/>
  <c r="AV24" i="30" s="1"/>
  <c r="AW7" i="30" s="1"/>
  <c r="CI104" i="30" l="1"/>
  <c r="CI36" i="30"/>
  <c r="CJ19" i="30" s="1"/>
  <c r="CI102" i="30"/>
  <c r="CI83" i="30" s="1"/>
  <c r="CI34" i="30"/>
  <c r="CJ17" i="30" s="1"/>
  <c r="CH101" i="30"/>
  <c r="CH33" i="30"/>
  <c r="CI16" i="30" s="1"/>
  <c r="CH100" i="30"/>
  <c r="CH79" i="30" s="1"/>
  <c r="CH28" i="30" s="1"/>
  <c r="CI11" i="30" s="1"/>
  <c r="CI96" i="30" s="1"/>
  <c r="CH32" i="30"/>
  <c r="CI15" i="30" s="1"/>
  <c r="AV86" i="30"/>
  <c r="AV35" i="30" s="1"/>
  <c r="AW18" i="30" s="1"/>
  <c r="AW103" i="30" s="1"/>
  <c r="CI26" i="30"/>
  <c r="CJ9" i="30" s="1"/>
  <c r="CI94" i="30"/>
  <c r="CH25" i="30"/>
  <c r="CI8" i="30" s="1"/>
  <c r="CH93" i="30"/>
  <c r="AW88" i="30"/>
  <c r="AW92" i="30"/>
  <c r="AW99" i="30"/>
  <c r="AW72" i="30" s="1"/>
  <c r="AW97" i="30"/>
  <c r="AV74" i="30"/>
  <c r="AV23" i="30" s="1"/>
  <c r="AW6" i="30" s="1"/>
  <c r="AV72" i="30"/>
  <c r="AV21" i="30" s="1"/>
  <c r="AW4" i="30" s="1"/>
  <c r="AV73" i="30"/>
  <c r="AV22" i="30" s="1"/>
  <c r="AW5" i="30" s="1"/>
  <c r="AW98" i="30"/>
  <c r="CJ36" i="30" l="1"/>
  <c r="CK19" i="30" s="1"/>
  <c r="CJ104" i="30"/>
  <c r="CJ34" i="30"/>
  <c r="CK17" i="30" s="1"/>
  <c r="CJ102" i="30"/>
  <c r="CJ83" i="30" s="1"/>
  <c r="CI101" i="30"/>
  <c r="CI33" i="30"/>
  <c r="CJ16" i="30" s="1"/>
  <c r="CI100" i="30"/>
  <c r="CI79" i="30" s="1"/>
  <c r="CI28" i="30" s="1"/>
  <c r="CJ11" i="30" s="1"/>
  <c r="CJ96" i="30" s="1"/>
  <c r="CI32" i="30"/>
  <c r="CJ15" i="30" s="1"/>
  <c r="CJ26" i="30"/>
  <c r="CK9" i="30" s="1"/>
  <c r="CJ94" i="30"/>
  <c r="CI93" i="30"/>
  <c r="CI25" i="30"/>
  <c r="CJ8" i="30" s="1"/>
  <c r="AW91" i="30"/>
  <c r="AW86" i="30" s="1"/>
  <c r="AW35" i="30" s="1"/>
  <c r="AX18" i="30" s="1"/>
  <c r="H250" i="30" s="1"/>
  <c r="H251" i="30" s="1"/>
  <c r="B252" i="30" s="1"/>
  <c r="AW89" i="30"/>
  <c r="AW90" i="30"/>
  <c r="AW21" i="30"/>
  <c r="AX4" i="30" s="1"/>
  <c r="H180" i="30" s="1"/>
  <c r="H181" i="30" s="1"/>
  <c r="B182" i="30" s="1"/>
  <c r="CK104" i="30" l="1"/>
  <c r="CK36" i="30"/>
  <c r="CL19" i="30" s="1"/>
  <c r="M255" i="30" s="1"/>
  <c r="CK34" i="30"/>
  <c r="CL17" i="30" s="1"/>
  <c r="M245" i="30" s="1"/>
  <c r="CK102" i="30"/>
  <c r="CK83" i="30" s="1"/>
  <c r="CJ33" i="30"/>
  <c r="CK16" i="30" s="1"/>
  <c r="CJ101" i="30"/>
  <c r="CJ100" i="30"/>
  <c r="CJ79" i="30" s="1"/>
  <c r="CJ28" i="30" s="1"/>
  <c r="CK11" i="30" s="1"/>
  <c r="CK96" i="30" s="1"/>
  <c r="CJ32" i="30"/>
  <c r="CK15" i="30" s="1"/>
  <c r="CK94" i="30"/>
  <c r="CK26" i="30"/>
  <c r="CL9" i="30" s="1"/>
  <c r="M205" i="30" s="1"/>
  <c r="CJ25" i="30"/>
  <c r="CK8" i="30" s="1"/>
  <c r="CJ93" i="30"/>
  <c r="AW75" i="30"/>
  <c r="AW24" i="30" s="1"/>
  <c r="AX7" i="30" s="1"/>
  <c r="H195" i="30" s="1"/>
  <c r="H196" i="30" s="1"/>
  <c r="B197" i="30" s="1"/>
  <c r="H279" i="30"/>
  <c r="R279" i="30" s="1"/>
  <c r="AX89" i="30"/>
  <c r="AW80" i="30"/>
  <c r="AW29" i="30" s="1"/>
  <c r="AX12" i="30" s="1"/>
  <c r="H220" i="30" s="1"/>
  <c r="H221" i="30" s="1"/>
  <c r="B222" i="30" s="1"/>
  <c r="AW81" i="30"/>
  <c r="AW30" i="30" s="1"/>
  <c r="AX13" i="30" s="1"/>
  <c r="H225" i="30" s="1"/>
  <c r="H226" i="30" s="1"/>
  <c r="B227" i="30" s="1"/>
  <c r="AW74" i="30"/>
  <c r="AW23" i="30" s="1"/>
  <c r="AX6" i="30" s="1"/>
  <c r="H190" i="30" s="1"/>
  <c r="H191" i="30" s="1"/>
  <c r="B192" i="30" s="1"/>
  <c r="AX103" i="30"/>
  <c r="H293" i="30"/>
  <c r="R293" i="30" s="1"/>
  <c r="AW78" i="30"/>
  <c r="AW27" i="30" s="1"/>
  <c r="AX10" i="30" s="1"/>
  <c r="H210" i="30" s="1"/>
  <c r="H211" i="30" s="1"/>
  <c r="B212" i="30" s="1"/>
  <c r="AW73" i="30"/>
  <c r="AW22" i="30" s="1"/>
  <c r="AX5" i="30" s="1"/>
  <c r="H185" i="30" s="1"/>
  <c r="H186" i="30" s="1"/>
  <c r="B187" i="30" s="1"/>
  <c r="AW82" i="30"/>
  <c r="AW31" i="30" s="1"/>
  <c r="AX14" i="30" s="1"/>
  <c r="H230" i="30" s="1"/>
  <c r="H231" i="30" s="1"/>
  <c r="B232" i="30" s="1"/>
  <c r="AW71" i="30"/>
  <c r="AW20" i="30" s="1"/>
  <c r="AX3" i="30" s="1"/>
  <c r="H175" i="30" s="1"/>
  <c r="H176" i="30" s="1"/>
  <c r="B177" i="30" s="1"/>
  <c r="H282" i="30" l="1"/>
  <c r="R282" i="30" s="1"/>
  <c r="M294" i="30"/>
  <c r="CL104" i="30"/>
  <c r="CL36" i="30"/>
  <c r="CM19" i="30" s="1"/>
  <c r="CL34" i="30"/>
  <c r="CM17" i="30" s="1"/>
  <c r="M292" i="30"/>
  <c r="CL102" i="30"/>
  <c r="CL83" i="30" s="1"/>
  <c r="CK101" i="30"/>
  <c r="CK33" i="30"/>
  <c r="CL16" i="30" s="1"/>
  <c r="M240" i="30" s="1"/>
  <c r="CK100" i="30"/>
  <c r="CK79" i="30" s="1"/>
  <c r="CK28" i="30" s="1"/>
  <c r="CL11" i="30" s="1"/>
  <c r="M215" i="30" s="1"/>
  <c r="CK32" i="30"/>
  <c r="CL15" i="30" s="1"/>
  <c r="M235" i="30" s="1"/>
  <c r="CL94" i="30"/>
  <c r="M284" i="30"/>
  <c r="CL26" i="30"/>
  <c r="CM9" i="30" s="1"/>
  <c r="AX92" i="30"/>
  <c r="CK93" i="30"/>
  <c r="CK25" i="30"/>
  <c r="CL8" i="30" s="1"/>
  <c r="M200" i="30" s="1"/>
  <c r="H289" i="30"/>
  <c r="R289" i="30" s="1"/>
  <c r="AX99" i="30"/>
  <c r="AX72" i="30" s="1"/>
  <c r="AX21" i="30" s="1"/>
  <c r="AY4" i="30" s="1"/>
  <c r="AY89" i="30" s="1"/>
  <c r="H287" i="30"/>
  <c r="R287" i="30" s="1"/>
  <c r="AX97" i="30"/>
  <c r="AX78" i="30"/>
  <c r="AX27" i="30" s="1"/>
  <c r="AY10" i="30" s="1"/>
  <c r="AY95" i="30" s="1"/>
  <c r="H280" i="30"/>
  <c r="R280" i="30" s="1"/>
  <c r="AX90" i="30"/>
  <c r="H273" i="30"/>
  <c r="I273" i="30" s="1"/>
  <c r="H278" i="30"/>
  <c r="AX88" i="30"/>
  <c r="H288" i="30"/>
  <c r="R288" i="30" s="1"/>
  <c r="AX98" i="30"/>
  <c r="AX95" i="30"/>
  <c r="H285" i="30"/>
  <c r="R285" i="30" s="1"/>
  <c r="AX91" i="30"/>
  <c r="H281" i="30"/>
  <c r="R281" i="30" s="1"/>
  <c r="H259" i="30"/>
  <c r="H277" i="30" l="1"/>
  <c r="R277" i="30" s="1"/>
  <c r="M286" i="30"/>
  <c r="H262" i="30"/>
  <c r="I262" i="30" s="1"/>
  <c r="CM36" i="30"/>
  <c r="CN19" i="30" s="1"/>
  <c r="CM104" i="30"/>
  <c r="CM34" i="30"/>
  <c r="CN17" i="30" s="1"/>
  <c r="CM102" i="30"/>
  <c r="CM83" i="30" s="1"/>
  <c r="CL96" i="30"/>
  <c r="CL33" i="30"/>
  <c r="CM16" i="30" s="1"/>
  <c r="CL101" i="30"/>
  <c r="M291" i="30"/>
  <c r="M290" i="30"/>
  <c r="CL100" i="30"/>
  <c r="CL79" i="30" s="1"/>
  <c r="CL28" i="30" s="1"/>
  <c r="CM11" i="30" s="1"/>
  <c r="CM96" i="30" s="1"/>
  <c r="CL32" i="30"/>
  <c r="CM15" i="30" s="1"/>
  <c r="CM26" i="30"/>
  <c r="CN9" i="30" s="1"/>
  <c r="CM94" i="30"/>
  <c r="AX73" i="30"/>
  <c r="AX22" i="30" s="1"/>
  <c r="AY5" i="30" s="1"/>
  <c r="AY90" i="30" s="1"/>
  <c r="AY81" i="30" s="1"/>
  <c r="CL93" i="30"/>
  <c r="M283" i="30"/>
  <c r="CL25" i="30"/>
  <c r="CM8" i="30" s="1"/>
  <c r="AX71" i="30"/>
  <c r="AX20" i="30" s="1"/>
  <c r="AY3" i="30" s="1"/>
  <c r="AY88" i="30" s="1"/>
  <c r="AX86" i="30"/>
  <c r="AX35" i="30" s="1"/>
  <c r="AY18" i="30" s="1"/>
  <c r="AY103" i="30" s="1"/>
  <c r="H265" i="30"/>
  <c r="I265" i="30" s="1"/>
  <c r="AX80" i="30"/>
  <c r="AX29" i="30" s="1"/>
  <c r="AY12" i="30" s="1"/>
  <c r="AY97" i="30" s="1"/>
  <c r="AX75" i="30"/>
  <c r="AX24" i="30" s="1"/>
  <c r="AY7" i="30" s="1"/>
  <c r="AY92" i="30" s="1"/>
  <c r="H261" i="30"/>
  <c r="I261" i="30" s="1"/>
  <c r="R278" i="30"/>
  <c r="AX74" i="30"/>
  <c r="AX23" i="30" s="1"/>
  <c r="AY6" i="30" s="1"/>
  <c r="AY91" i="30" s="1"/>
  <c r="AX81" i="30"/>
  <c r="AX30" i="30" s="1"/>
  <c r="AY13" i="30" s="1"/>
  <c r="AY98" i="30" s="1"/>
  <c r="AX82" i="30"/>
  <c r="AX31" i="30" s="1"/>
  <c r="AY14" i="30" s="1"/>
  <c r="AY99" i="30" s="1"/>
  <c r="AY72" i="30" s="1"/>
  <c r="AY21" i="30" s="1"/>
  <c r="AZ4" i="30" s="1"/>
  <c r="AZ89" i="30" s="1"/>
  <c r="H269" i="30"/>
  <c r="I269" i="30" s="1"/>
  <c r="I259" i="30"/>
  <c r="H258" i="30"/>
  <c r="H267" i="30"/>
  <c r="I267" i="30" s="1"/>
  <c r="H268" i="30"/>
  <c r="I268" i="30" s="1"/>
  <c r="H260" i="30"/>
  <c r="I260" i="30" s="1"/>
  <c r="AY78" i="30"/>
  <c r="AY27" i="30" s="1"/>
  <c r="AZ10" i="30" s="1"/>
  <c r="AZ95" i="30" s="1"/>
  <c r="I258" i="30" l="1"/>
  <c r="J258" i="30" s="1"/>
  <c r="H275" i="30"/>
  <c r="AY82" i="30"/>
  <c r="AY31" i="30" s="1"/>
  <c r="AZ14" i="30" s="1"/>
  <c r="AZ99" i="30" s="1"/>
  <c r="AZ72" i="30" s="1"/>
  <c r="AZ21" i="30" s="1"/>
  <c r="BA4" i="30" s="1"/>
  <c r="BA89" i="30" s="1"/>
  <c r="BA78" i="30" s="1"/>
  <c r="CN104" i="30"/>
  <c r="CN36" i="30"/>
  <c r="CO19" i="30" s="1"/>
  <c r="AY75" i="30"/>
  <c r="AY24" i="30" s="1"/>
  <c r="AZ7" i="30" s="1"/>
  <c r="AZ92" i="30" s="1"/>
  <c r="CN34" i="30"/>
  <c r="CO17" i="30" s="1"/>
  <c r="CN102" i="30"/>
  <c r="CN83" i="30" s="1"/>
  <c r="CM33" i="30"/>
  <c r="CN16" i="30" s="1"/>
  <c r="CM101" i="30"/>
  <c r="CM100" i="30"/>
  <c r="CM79" i="30" s="1"/>
  <c r="CM28" i="30" s="1"/>
  <c r="CN11" i="30" s="1"/>
  <c r="CN96" i="30" s="1"/>
  <c r="CM32" i="30"/>
  <c r="CN15" i="30" s="1"/>
  <c r="AY80" i="30"/>
  <c r="AY29" i="30" s="1"/>
  <c r="AZ12" i="30" s="1"/>
  <c r="AZ97" i="30" s="1"/>
  <c r="CN94" i="30"/>
  <c r="CN26" i="30"/>
  <c r="CO9" i="30" s="1"/>
  <c r="CM25" i="30"/>
  <c r="CN8" i="30" s="1"/>
  <c r="CM93" i="30"/>
  <c r="AY74" i="30"/>
  <c r="AY23" i="30" s="1"/>
  <c r="AZ6" i="30" s="1"/>
  <c r="AZ91" i="30" s="1"/>
  <c r="AY73" i="30"/>
  <c r="AY22" i="30" s="1"/>
  <c r="AZ5" i="30" s="1"/>
  <c r="AZ90" i="30" s="1"/>
  <c r="AY86" i="30"/>
  <c r="AY35" i="30" s="1"/>
  <c r="AZ18" i="30" s="1"/>
  <c r="AZ103" i="30" s="1"/>
  <c r="AY71" i="30"/>
  <c r="AY20" i="30" s="1"/>
  <c r="AZ3" i="30" s="1"/>
  <c r="AZ88" i="30" s="1"/>
  <c r="AZ78" i="30"/>
  <c r="AZ27" i="30" s="1"/>
  <c r="BA10" i="30" s="1"/>
  <c r="BA95" i="30" s="1"/>
  <c r="AY30" i="30"/>
  <c r="AZ13" i="30" s="1"/>
  <c r="AZ98" i="30" s="1"/>
  <c r="AZ74" i="30" l="1"/>
  <c r="AZ23" i="30" s="1"/>
  <c r="BA6" i="30" s="1"/>
  <c r="BA91" i="30" s="1"/>
  <c r="CO36" i="30"/>
  <c r="CP19" i="30" s="1"/>
  <c r="CO104" i="30"/>
  <c r="CO102" i="30"/>
  <c r="CO83" i="30" s="1"/>
  <c r="CO34" i="30"/>
  <c r="CP17" i="30" s="1"/>
  <c r="CN33" i="30"/>
  <c r="CO16" i="30" s="1"/>
  <c r="CN101" i="30"/>
  <c r="AZ81" i="30"/>
  <c r="AZ30" i="30" s="1"/>
  <c r="BA13" i="30" s="1"/>
  <c r="BA98" i="30" s="1"/>
  <c r="CN100" i="30"/>
  <c r="CN79" i="30" s="1"/>
  <c r="CN28" i="30" s="1"/>
  <c r="CO11" i="30" s="1"/>
  <c r="CO96" i="30" s="1"/>
  <c r="CN32" i="30"/>
  <c r="CO15" i="30" s="1"/>
  <c r="CO94" i="30"/>
  <c r="CO26" i="30"/>
  <c r="CP9" i="30" s="1"/>
  <c r="CN25" i="30"/>
  <c r="CO8" i="30" s="1"/>
  <c r="CN93" i="30"/>
  <c r="AZ80" i="30"/>
  <c r="AZ29" i="30" s="1"/>
  <c r="BA12" i="30" s="1"/>
  <c r="BA97" i="30" s="1"/>
  <c r="AZ75" i="30"/>
  <c r="AZ24" i="30" s="1"/>
  <c r="BA7" i="30" s="1"/>
  <c r="BA92" i="30" s="1"/>
  <c r="AZ86" i="30"/>
  <c r="AZ35" i="30" s="1"/>
  <c r="BA18" i="30" s="1"/>
  <c r="BA103" i="30" s="1"/>
  <c r="BA27" i="30"/>
  <c r="BB10" i="30" s="1"/>
  <c r="BB95" i="30" s="1"/>
  <c r="AZ71" i="30"/>
  <c r="AZ20" i="30" s="1"/>
  <c r="BA3" i="30" s="1"/>
  <c r="BA88" i="30" s="1"/>
  <c r="AZ73" i="30"/>
  <c r="AZ22" i="30" s="1"/>
  <c r="BA5" i="30" s="1"/>
  <c r="BA90" i="30" s="1"/>
  <c r="AZ82" i="30"/>
  <c r="AZ31" i="30" s="1"/>
  <c r="BA14" i="30" s="1"/>
  <c r="BA99" i="30" s="1"/>
  <c r="BA72" i="30" s="1"/>
  <c r="BA21" i="30" s="1"/>
  <c r="BB4" i="30" s="1"/>
  <c r="BB89" i="30" s="1"/>
  <c r="CP104" i="30" l="1"/>
  <c r="CP36" i="30"/>
  <c r="CQ19" i="30" s="1"/>
  <c r="CP102" i="30"/>
  <c r="CP83" i="30" s="1"/>
  <c r="CP34" i="30"/>
  <c r="CQ17" i="30" s="1"/>
  <c r="CO33" i="30"/>
  <c r="CP16" i="30" s="1"/>
  <c r="CO101" i="30"/>
  <c r="CO100" i="30"/>
  <c r="CO79" i="30" s="1"/>
  <c r="CO28" i="30" s="1"/>
  <c r="CP11" i="30" s="1"/>
  <c r="CP96" i="30" s="1"/>
  <c r="CO32" i="30"/>
  <c r="CP15" i="30" s="1"/>
  <c r="CP94" i="30"/>
  <c r="CP26" i="30"/>
  <c r="CQ9" i="30" s="1"/>
  <c r="CO93" i="30"/>
  <c r="CO25" i="30"/>
  <c r="CP8" i="30" s="1"/>
  <c r="BB78" i="30"/>
  <c r="BB27" i="30" s="1"/>
  <c r="BC10" i="30" s="1"/>
  <c r="BC95" i="30" s="1"/>
  <c r="BA81" i="30"/>
  <c r="BA30" i="30" s="1"/>
  <c r="BB13" i="30" s="1"/>
  <c r="BB98" i="30" s="1"/>
  <c r="BA74" i="30"/>
  <c r="BA23" i="30" s="1"/>
  <c r="BB6" i="30" s="1"/>
  <c r="BB91" i="30" s="1"/>
  <c r="BA71" i="30"/>
  <c r="BA20" i="30" s="1"/>
  <c r="BB3" i="30" s="1"/>
  <c r="BB88" i="30" s="1"/>
  <c r="BA73" i="30"/>
  <c r="BA22" i="30" s="1"/>
  <c r="BB5" i="30" s="1"/>
  <c r="BB90" i="30" s="1"/>
  <c r="BB81" i="30" s="1"/>
  <c r="BA82" i="30"/>
  <c r="BA31" i="30" s="1"/>
  <c r="BB14" i="30" s="1"/>
  <c r="BB99" i="30" s="1"/>
  <c r="BA80" i="30"/>
  <c r="BA29" i="30" s="1"/>
  <c r="BB12" i="30" s="1"/>
  <c r="BB97" i="30" s="1"/>
  <c r="BA75" i="30"/>
  <c r="BA24" i="30" s="1"/>
  <c r="BB7" i="30" s="1"/>
  <c r="BB92" i="30" s="1"/>
  <c r="BA86" i="30"/>
  <c r="BA35" i="30" s="1"/>
  <c r="BB18" i="30" s="1"/>
  <c r="BB103" i="30" s="1"/>
  <c r="BB80" i="30" l="1"/>
  <c r="BB29" i="30" s="1"/>
  <c r="BC12" i="30" s="1"/>
  <c r="BC97" i="30" s="1"/>
  <c r="CQ104" i="30"/>
  <c r="CQ36" i="30"/>
  <c r="CR19" i="30" s="1"/>
  <c r="CQ34" i="30"/>
  <c r="CR17" i="30" s="1"/>
  <c r="CQ102" i="30"/>
  <c r="CQ83" i="30" s="1"/>
  <c r="CP33" i="30"/>
  <c r="CQ16" i="30" s="1"/>
  <c r="CP101" i="30"/>
  <c r="CP100" i="30"/>
  <c r="CP79" i="30" s="1"/>
  <c r="CP28" i="30" s="1"/>
  <c r="CQ11" i="30" s="1"/>
  <c r="CQ96" i="30" s="1"/>
  <c r="CP32" i="30"/>
  <c r="CQ15" i="30" s="1"/>
  <c r="CQ26" i="30"/>
  <c r="CR9" i="30" s="1"/>
  <c r="CQ94" i="30"/>
  <c r="CP93" i="30"/>
  <c r="CP25" i="30"/>
  <c r="CQ8" i="30" s="1"/>
  <c r="BB75" i="30"/>
  <c r="BB24" i="30" s="1"/>
  <c r="BC7" i="30" s="1"/>
  <c r="BC92" i="30" s="1"/>
  <c r="BB73" i="30"/>
  <c r="BB22" i="30" s="1"/>
  <c r="BC5" i="30" s="1"/>
  <c r="BC90" i="30" s="1"/>
  <c r="BC81" i="30" s="1"/>
  <c r="BB30" i="30"/>
  <c r="BC13" i="30" s="1"/>
  <c r="BC98" i="30" s="1"/>
  <c r="BB71" i="30"/>
  <c r="BB20" i="30" s="1"/>
  <c r="BC3" i="30" s="1"/>
  <c r="BC88" i="30" s="1"/>
  <c r="BB86" i="30"/>
  <c r="BB35" i="30" s="1"/>
  <c r="BC18" i="30" s="1"/>
  <c r="BC103" i="30" s="1"/>
  <c r="BB82" i="30"/>
  <c r="BB31" i="30" s="1"/>
  <c r="BC14" i="30" s="1"/>
  <c r="BC99" i="30" s="1"/>
  <c r="BC72" i="30" s="1"/>
  <c r="BB74" i="30"/>
  <c r="BB23" i="30" s="1"/>
  <c r="BC6" i="30" s="1"/>
  <c r="BC91" i="30" s="1"/>
  <c r="BB72" i="30"/>
  <c r="BB21" i="30" s="1"/>
  <c r="BC4" i="30" s="1"/>
  <c r="BC89" i="30" s="1"/>
  <c r="CR104" i="30" l="1"/>
  <c r="CR36" i="30"/>
  <c r="CS19" i="30" s="1"/>
  <c r="CR34" i="30"/>
  <c r="CS17" i="30" s="1"/>
  <c r="CR102" i="30"/>
  <c r="CR83" i="30" s="1"/>
  <c r="CQ101" i="30"/>
  <c r="CQ33" i="30"/>
  <c r="CR16" i="30" s="1"/>
  <c r="CQ100" i="30"/>
  <c r="CQ79" i="30" s="1"/>
  <c r="CQ28" i="30" s="1"/>
  <c r="CR11" i="30" s="1"/>
  <c r="CR96" i="30" s="1"/>
  <c r="CQ32" i="30"/>
  <c r="CR15" i="30" s="1"/>
  <c r="BC30" i="30"/>
  <c r="BD13" i="30" s="1"/>
  <c r="BD98" i="30" s="1"/>
  <c r="CR94" i="30"/>
  <c r="CR26" i="30"/>
  <c r="CS9" i="30" s="1"/>
  <c r="BC86" i="30"/>
  <c r="BC35" i="30" s="1"/>
  <c r="BD18" i="30" s="1"/>
  <c r="BD103" i="30" s="1"/>
  <c r="CQ93" i="30"/>
  <c r="CQ25" i="30"/>
  <c r="CR8" i="30" s="1"/>
  <c r="BC74" i="30"/>
  <c r="BC23" i="30" s="1"/>
  <c r="BD6" i="30" s="1"/>
  <c r="BD91" i="30" s="1"/>
  <c r="BC78" i="30"/>
  <c r="BC27" i="30" s="1"/>
  <c r="BD10" i="30" s="1"/>
  <c r="BD95" i="30" s="1"/>
  <c r="BC71" i="30"/>
  <c r="BC20" i="30" s="1"/>
  <c r="BD3" i="30" s="1"/>
  <c r="BD88" i="30" s="1"/>
  <c r="BC82" i="30"/>
  <c r="BC31" i="30" s="1"/>
  <c r="BD14" i="30" s="1"/>
  <c r="BD99" i="30" s="1"/>
  <c r="BD72" i="30" s="1"/>
  <c r="BC73" i="30"/>
  <c r="BC22" i="30" s="1"/>
  <c r="BD5" i="30" s="1"/>
  <c r="BD90" i="30" s="1"/>
  <c r="BC75" i="30"/>
  <c r="BC24" i="30" s="1"/>
  <c r="BD7" i="30" s="1"/>
  <c r="BD92" i="30" s="1"/>
  <c r="BC80" i="30"/>
  <c r="BC29" i="30" s="1"/>
  <c r="BD12" i="30" s="1"/>
  <c r="BD97" i="30" s="1"/>
  <c r="BC21" i="30"/>
  <c r="BD4" i="30" s="1"/>
  <c r="BD89" i="30" s="1"/>
  <c r="CS36" i="30" l="1"/>
  <c r="CT19" i="30" s="1"/>
  <c r="CS104" i="30"/>
  <c r="CS102" i="30"/>
  <c r="CS83" i="30" s="1"/>
  <c r="CS34" i="30"/>
  <c r="CT17" i="30" s="1"/>
  <c r="CR101" i="30"/>
  <c r="CR33" i="30"/>
  <c r="CS16" i="30" s="1"/>
  <c r="CR100" i="30"/>
  <c r="CR79" i="30" s="1"/>
  <c r="CR28" i="30" s="1"/>
  <c r="CS11" i="30" s="1"/>
  <c r="CS96" i="30" s="1"/>
  <c r="CR32" i="30"/>
  <c r="CS15" i="30" s="1"/>
  <c r="CS26" i="30"/>
  <c r="CT9" i="30" s="1"/>
  <c r="CS94" i="30"/>
  <c r="CR93" i="30"/>
  <c r="CR25" i="30"/>
  <c r="CS8" i="30" s="1"/>
  <c r="BD86" i="30"/>
  <c r="BD35" i="30" s="1"/>
  <c r="BE18" i="30" s="1"/>
  <c r="BE103" i="30" s="1"/>
  <c r="BD78" i="30"/>
  <c r="BD27" i="30" s="1"/>
  <c r="BE10" i="30" s="1"/>
  <c r="BE95" i="30" s="1"/>
  <c r="BD71" i="30"/>
  <c r="BD20" i="30" s="1"/>
  <c r="BE3" i="30" s="1"/>
  <c r="BE88" i="30" s="1"/>
  <c r="BD73" i="30"/>
  <c r="BD22" i="30" s="1"/>
  <c r="BE5" i="30" s="1"/>
  <c r="BE90" i="30" s="1"/>
  <c r="BD82" i="30"/>
  <c r="BD31" i="30" s="1"/>
  <c r="BE14" i="30" s="1"/>
  <c r="BE99" i="30" s="1"/>
  <c r="BE72" i="30" s="1"/>
  <c r="BD21" i="30"/>
  <c r="BE4" i="30" s="1"/>
  <c r="BE89" i="30" s="1"/>
  <c r="BD75" i="30"/>
  <c r="BD24" i="30" s="1"/>
  <c r="BE7" i="30" s="1"/>
  <c r="BE92" i="30" s="1"/>
  <c r="BD80" i="30"/>
  <c r="BD29" i="30" s="1"/>
  <c r="BE12" i="30" s="1"/>
  <c r="BE97" i="30" s="1"/>
  <c r="BD81" i="30"/>
  <c r="BD30" i="30" s="1"/>
  <c r="BE13" i="30" s="1"/>
  <c r="BE98" i="30" s="1"/>
  <c r="BD74" i="30"/>
  <c r="BD23" i="30" s="1"/>
  <c r="BE6" i="30" s="1"/>
  <c r="BE91" i="30" s="1"/>
  <c r="CT104" i="30" l="1"/>
  <c r="N294" i="30"/>
  <c r="CT36" i="30"/>
  <c r="CU19" i="30" s="1"/>
  <c r="N292" i="30"/>
  <c r="CT34" i="30"/>
  <c r="CU17" i="30" s="1"/>
  <c r="CT102" i="30"/>
  <c r="CT83" i="30" s="1"/>
  <c r="CS33" i="30"/>
  <c r="CT16" i="30" s="1"/>
  <c r="CS101" i="30"/>
  <c r="CS100" i="30"/>
  <c r="CS79" i="30" s="1"/>
  <c r="CS28" i="30" s="1"/>
  <c r="CT11" i="30" s="1"/>
  <c r="N286" i="30" s="1"/>
  <c r="CS32" i="30"/>
  <c r="CT15" i="30" s="1"/>
  <c r="CT94" i="30"/>
  <c r="CT26" i="30"/>
  <c r="CU9" i="30" s="1"/>
  <c r="N284" i="30"/>
  <c r="CS25" i="30"/>
  <c r="CT8" i="30" s="1"/>
  <c r="CS93" i="30"/>
  <c r="BE21" i="30"/>
  <c r="BF4" i="30" s="1"/>
  <c r="I180" i="30" s="1"/>
  <c r="BE81" i="30"/>
  <c r="BE30" i="30" s="1"/>
  <c r="BF13" i="30" s="1"/>
  <c r="I225" i="30" s="1"/>
  <c r="BE74" i="30"/>
  <c r="BE23" i="30" s="1"/>
  <c r="BF6" i="30" s="1"/>
  <c r="I190" i="30" s="1"/>
  <c r="BE75" i="30"/>
  <c r="BE24" i="30" s="1"/>
  <c r="BF7" i="30" s="1"/>
  <c r="I195" i="30" s="1"/>
  <c r="BE80" i="30"/>
  <c r="BE29" i="30" s="1"/>
  <c r="BF12" i="30" s="1"/>
  <c r="I220" i="30" s="1"/>
  <c r="BE86" i="30"/>
  <c r="BE35" i="30" s="1"/>
  <c r="BF18" i="30" s="1"/>
  <c r="I250" i="30" s="1"/>
  <c r="BE78" i="30"/>
  <c r="BE27" i="30" s="1"/>
  <c r="BF10" i="30" s="1"/>
  <c r="I210" i="30" s="1"/>
  <c r="BE82" i="30"/>
  <c r="BE31" i="30" s="1"/>
  <c r="BF14" i="30" s="1"/>
  <c r="I230" i="30" s="1"/>
  <c r="BE71" i="30"/>
  <c r="BE20" i="30" s="1"/>
  <c r="BF3" i="30" s="1"/>
  <c r="I175" i="30" s="1"/>
  <c r="BE73" i="30"/>
  <c r="BE22" i="30" s="1"/>
  <c r="BF5" i="30" s="1"/>
  <c r="I185" i="30" s="1"/>
  <c r="I279" i="30" l="1"/>
  <c r="CU104" i="30"/>
  <c r="CU36" i="30"/>
  <c r="CV19" i="30" s="1"/>
  <c r="N255" i="30" s="1"/>
  <c r="CU34" i="30"/>
  <c r="CV17" i="30" s="1"/>
  <c r="N245" i="30" s="1"/>
  <c r="CU102" i="30"/>
  <c r="CU83" i="30" s="1"/>
  <c r="CT33" i="30"/>
  <c r="CU16" i="30" s="1"/>
  <c r="N291" i="30"/>
  <c r="CT101" i="30"/>
  <c r="CT96" i="30"/>
  <c r="CT100" i="30"/>
  <c r="CT79" i="30" s="1"/>
  <c r="CT28" i="30" s="1"/>
  <c r="CU11" i="30" s="1"/>
  <c r="CU96" i="30" s="1"/>
  <c r="N290" i="30"/>
  <c r="CT32" i="30"/>
  <c r="CU15" i="30" s="1"/>
  <c r="CU94" i="30"/>
  <c r="CU26" i="30"/>
  <c r="CV9" i="30" s="1"/>
  <c r="N205" i="30" s="1"/>
  <c r="BF89" i="30"/>
  <c r="BF78" i="30" s="1"/>
  <c r="BF27" i="30" s="1"/>
  <c r="BG10" i="30" s="1"/>
  <c r="BG95" i="30" s="1"/>
  <c r="N283" i="30"/>
  <c r="CT93" i="30"/>
  <c r="CT25" i="30"/>
  <c r="CU8" i="30" s="1"/>
  <c r="BF90" i="30"/>
  <c r="I280" i="30"/>
  <c r="BF98" i="30"/>
  <c r="I288" i="30"/>
  <c r="BF88" i="30"/>
  <c r="I278" i="30"/>
  <c r="BF97" i="30"/>
  <c r="I287" i="30"/>
  <c r="BF99" i="30"/>
  <c r="BF72" i="30" s="1"/>
  <c r="BF21" i="30" s="1"/>
  <c r="BG4" i="30" s="1"/>
  <c r="BG89" i="30" s="1"/>
  <c r="I289" i="30"/>
  <c r="I282" i="30"/>
  <c r="BF92" i="30"/>
  <c r="I293" i="30"/>
  <c r="BF103" i="30"/>
  <c r="BF95" i="30"/>
  <c r="I285" i="30"/>
  <c r="I281" i="30"/>
  <c r="BF91" i="30"/>
  <c r="I277" i="30" l="1"/>
  <c r="CV104" i="30"/>
  <c r="CV36" i="30"/>
  <c r="CW19" i="30" s="1"/>
  <c r="CV102" i="30"/>
  <c r="CV83" i="30" s="1"/>
  <c r="CV34" i="30"/>
  <c r="CW17" i="30" s="1"/>
  <c r="CU101" i="30"/>
  <c r="CU33" i="30"/>
  <c r="CV16" i="30" s="1"/>
  <c r="N240" i="30" s="1"/>
  <c r="CU100" i="30"/>
  <c r="CU79" i="30" s="1"/>
  <c r="CU28" i="30" s="1"/>
  <c r="CV11" i="30" s="1"/>
  <c r="N215" i="30" s="1"/>
  <c r="CU32" i="30"/>
  <c r="CV15" i="30" s="1"/>
  <c r="N235" i="30" s="1"/>
  <c r="BF71" i="30"/>
  <c r="BF20" i="30" s="1"/>
  <c r="BG3" i="30" s="1"/>
  <c r="BG88" i="30" s="1"/>
  <c r="CV94" i="30"/>
  <c r="CV26" i="30"/>
  <c r="CW9" i="30" s="1"/>
  <c r="CU93" i="30"/>
  <c r="CU25" i="30"/>
  <c r="CV8" i="30" s="1"/>
  <c r="N200" i="30" s="1"/>
  <c r="BF80" i="30"/>
  <c r="BF29" i="30" s="1"/>
  <c r="BG12" i="30" s="1"/>
  <c r="BG97" i="30" s="1"/>
  <c r="BF75" i="30"/>
  <c r="BF24" i="30" s="1"/>
  <c r="BG7" i="30" s="1"/>
  <c r="BG92" i="30" s="1"/>
  <c r="BF86" i="30"/>
  <c r="BF35" i="30" s="1"/>
  <c r="BG18" i="30" s="1"/>
  <c r="BG103" i="30" s="1"/>
  <c r="BF82" i="30"/>
  <c r="BF31" i="30" s="1"/>
  <c r="BG14" i="30" s="1"/>
  <c r="BG99" i="30" s="1"/>
  <c r="BG72" i="30" s="1"/>
  <c r="BG21" i="30" s="1"/>
  <c r="BH4" i="30" s="1"/>
  <c r="BH89" i="30" s="1"/>
  <c r="BG78" i="30"/>
  <c r="BG27" i="30" s="1"/>
  <c r="BH10" i="30" s="1"/>
  <c r="BH95" i="30" s="1"/>
  <c r="BF73" i="30"/>
  <c r="BF22" i="30" s="1"/>
  <c r="BG5" i="30" s="1"/>
  <c r="BG90" i="30" s="1"/>
  <c r="BF81" i="30"/>
  <c r="BF30" i="30" s="1"/>
  <c r="BG13" i="30" s="1"/>
  <c r="BG98" i="30" s="1"/>
  <c r="BF74" i="30"/>
  <c r="BF23" i="30" s="1"/>
  <c r="BG6" i="30" s="1"/>
  <c r="BG91" i="30" s="1"/>
  <c r="CV96" i="30" l="1"/>
  <c r="CW36" i="30"/>
  <c r="CX19" i="30" s="1"/>
  <c r="CW104" i="30"/>
  <c r="CW34" i="30"/>
  <c r="CX17" i="30" s="1"/>
  <c r="CW102" i="30"/>
  <c r="CW83" i="30" s="1"/>
  <c r="CV101" i="30"/>
  <c r="CV33" i="30"/>
  <c r="CW16" i="30" s="1"/>
  <c r="CV100" i="30"/>
  <c r="CV79" i="30" s="1"/>
  <c r="CV28" i="30" s="1"/>
  <c r="CW11" i="30" s="1"/>
  <c r="CW96" i="30" s="1"/>
  <c r="CV32" i="30"/>
  <c r="CW15" i="30" s="1"/>
  <c r="CW26" i="30"/>
  <c r="CX9" i="30" s="1"/>
  <c r="CW94" i="30"/>
  <c r="CV93" i="30"/>
  <c r="CV25" i="30"/>
  <c r="CW8" i="30" s="1"/>
  <c r="BG73" i="30"/>
  <c r="BG22" i="30" s="1"/>
  <c r="BH5" i="30" s="1"/>
  <c r="BH90" i="30" s="1"/>
  <c r="BH81" i="30" s="1"/>
  <c r="BG75" i="30"/>
  <c r="BG24" i="30" s="1"/>
  <c r="BH7" i="30" s="1"/>
  <c r="BH92" i="30" s="1"/>
  <c r="BG86" i="30"/>
  <c r="BG35" i="30" s="1"/>
  <c r="BH18" i="30" s="1"/>
  <c r="BH103" i="30" s="1"/>
  <c r="BG82" i="30"/>
  <c r="BG31" i="30" s="1"/>
  <c r="BH14" i="30" s="1"/>
  <c r="BH99" i="30" s="1"/>
  <c r="BH72" i="30" s="1"/>
  <c r="BH21" i="30" s="1"/>
  <c r="BI4" i="30" s="1"/>
  <c r="BI89" i="30" s="1"/>
  <c r="BG81" i="30"/>
  <c r="BG30" i="30" s="1"/>
  <c r="BH13" i="30" s="1"/>
  <c r="BH98" i="30" s="1"/>
  <c r="BG74" i="30"/>
  <c r="BG23" i="30" s="1"/>
  <c r="BH6" i="30" s="1"/>
  <c r="BH91" i="30" s="1"/>
  <c r="BG71" i="30"/>
  <c r="BG20" i="30" s="1"/>
  <c r="BH3" i="30" s="1"/>
  <c r="BH88" i="30" s="1"/>
  <c r="BH78" i="30"/>
  <c r="BH27" i="30" s="1"/>
  <c r="BI10" i="30" s="1"/>
  <c r="BI95" i="30" s="1"/>
  <c r="BG80" i="30"/>
  <c r="BG29" i="30" s="1"/>
  <c r="BH12" i="30" s="1"/>
  <c r="BH97" i="30" s="1"/>
  <c r="BH71" i="30" l="1"/>
  <c r="BH20" i="30" s="1"/>
  <c r="BI3" i="30" s="1"/>
  <c r="BI88" i="30" s="1"/>
  <c r="CX36" i="30"/>
  <c r="CY19" i="30" s="1"/>
  <c r="CX104" i="30"/>
  <c r="CX34" i="30"/>
  <c r="CY17" i="30" s="1"/>
  <c r="CX102" i="30"/>
  <c r="CX83" i="30" s="1"/>
  <c r="CW101" i="30"/>
  <c r="CW33" i="30"/>
  <c r="CX16" i="30" s="1"/>
  <c r="CW100" i="30"/>
  <c r="CW79" i="30" s="1"/>
  <c r="CW28" i="30" s="1"/>
  <c r="CX11" i="30" s="1"/>
  <c r="CX96" i="30" s="1"/>
  <c r="CW32" i="30"/>
  <c r="CX15" i="30" s="1"/>
  <c r="BH73" i="30"/>
  <c r="BH22" i="30" s="1"/>
  <c r="BI5" i="30" s="1"/>
  <c r="BI90" i="30" s="1"/>
  <c r="BI81" i="30" s="1"/>
  <c r="CX26" i="30"/>
  <c r="CY9" i="30" s="1"/>
  <c r="CX94" i="30"/>
  <c r="CW25" i="30"/>
  <c r="CX8" i="30" s="1"/>
  <c r="CW93" i="30"/>
  <c r="BH82" i="30"/>
  <c r="BH31" i="30" s="1"/>
  <c r="BI14" i="30" s="1"/>
  <c r="BI99" i="30" s="1"/>
  <c r="BI72" i="30" s="1"/>
  <c r="BI21" i="30" s="1"/>
  <c r="BJ4" i="30" s="1"/>
  <c r="BJ89" i="30" s="1"/>
  <c r="BJ78" i="30" s="1"/>
  <c r="BH74" i="30"/>
  <c r="BH23" i="30" s="1"/>
  <c r="BI6" i="30" s="1"/>
  <c r="BI91" i="30" s="1"/>
  <c r="BH75" i="30"/>
  <c r="BH24" i="30" s="1"/>
  <c r="BI7" i="30" s="1"/>
  <c r="BI92" i="30" s="1"/>
  <c r="BH80" i="30"/>
  <c r="BH29" i="30" s="1"/>
  <c r="BI12" i="30" s="1"/>
  <c r="BI97" i="30" s="1"/>
  <c r="BH86" i="30"/>
  <c r="BH35" i="30" s="1"/>
  <c r="BI18" i="30" s="1"/>
  <c r="BI103" i="30" s="1"/>
  <c r="BI78" i="30"/>
  <c r="BI27" i="30" s="1"/>
  <c r="BJ10" i="30" s="1"/>
  <c r="BJ95" i="30" s="1"/>
  <c r="BH30" i="30"/>
  <c r="BI13" i="30" s="1"/>
  <c r="BI98" i="30" s="1"/>
  <c r="BI80" i="30" l="1"/>
  <c r="BI29" i="30" s="1"/>
  <c r="BJ12" i="30" s="1"/>
  <c r="BJ97" i="30" s="1"/>
  <c r="BI73" i="30"/>
  <c r="BI22" i="30" s="1"/>
  <c r="BJ5" i="30" s="1"/>
  <c r="BJ90" i="30" s="1"/>
  <c r="BJ81" i="30" s="1"/>
  <c r="CY104" i="30"/>
  <c r="CY36" i="30"/>
  <c r="CZ19" i="30" s="1"/>
  <c r="BI75" i="30"/>
  <c r="BI24" i="30" s="1"/>
  <c r="BJ7" i="30" s="1"/>
  <c r="BJ92" i="30" s="1"/>
  <c r="CY34" i="30"/>
  <c r="CZ17" i="30" s="1"/>
  <c r="CY102" i="30"/>
  <c r="CY83" i="30" s="1"/>
  <c r="CX101" i="30"/>
  <c r="CX33" i="30"/>
  <c r="CY16" i="30" s="1"/>
  <c r="CX100" i="30"/>
  <c r="CX79" i="30" s="1"/>
  <c r="CX28" i="30" s="1"/>
  <c r="CY11" i="30" s="1"/>
  <c r="CY96" i="30" s="1"/>
  <c r="CX32" i="30"/>
  <c r="CY15" i="30" s="1"/>
  <c r="CY94" i="30"/>
  <c r="CY26" i="30"/>
  <c r="CZ9" i="30" s="1"/>
  <c r="BI74" i="30"/>
  <c r="BI23" i="30" s="1"/>
  <c r="BJ6" i="30" s="1"/>
  <c r="BJ91" i="30" s="1"/>
  <c r="CX25" i="30"/>
  <c r="CY8" i="30" s="1"/>
  <c r="CX93" i="30"/>
  <c r="BI86" i="30"/>
  <c r="BI35" i="30" s="1"/>
  <c r="BJ18" i="30" s="1"/>
  <c r="BJ103" i="30" s="1"/>
  <c r="BI71" i="30"/>
  <c r="BI20" i="30" s="1"/>
  <c r="BJ3" i="30" s="1"/>
  <c r="BJ88" i="30" s="1"/>
  <c r="BI82" i="30"/>
  <c r="BI31" i="30" s="1"/>
  <c r="BJ14" i="30" s="1"/>
  <c r="BJ99" i="30" s="1"/>
  <c r="BJ72" i="30" s="1"/>
  <c r="BJ21" i="30" s="1"/>
  <c r="BK4" i="30" s="1"/>
  <c r="BK89" i="30" s="1"/>
  <c r="BJ27" i="30"/>
  <c r="BK10" i="30" s="1"/>
  <c r="BK95" i="30" s="1"/>
  <c r="BI30" i="30"/>
  <c r="BJ13" i="30" s="1"/>
  <c r="BJ98" i="30" s="1"/>
  <c r="BJ71" i="30" l="1"/>
  <c r="BJ20" i="30" s="1"/>
  <c r="BK3" i="30" s="1"/>
  <c r="BK88" i="30" s="1"/>
  <c r="CZ36" i="30"/>
  <c r="DA19" i="30" s="1"/>
  <c r="CZ104" i="30"/>
  <c r="CZ34" i="30"/>
  <c r="DA17" i="30" s="1"/>
  <c r="CZ102" i="30"/>
  <c r="CZ83" i="30" s="1"/>
  <c r="CY101" i="30"/>
  <c r="CY33" i="30"/>
  <c r="CZ16" i="30" s="1"/>
  <c r="CY100" i="30"/>
  <c r="CY79" i="30" s="1"/>
  <c r="CY28" i="30" s="1"/>
  <c r="CZ11" i="30" s="1"/>
  <c r="CZ96" i="30" s="1"/>
  <c r="CY32" i="30"/>
  <c r="CZ15" i="30" s="1"/>
  <c r="CZ94" i="30"/>
  <c r="CZ26" i="30"/>
  <c r="DA9" i="30" s="1"/>
  <c r="CY25" i="30"/>
  <c r="CZ8" i="30" s="1"/>
  <c r="CY93" i="30"/>
  <c r="BJ86" i="30"/>
  <c r="BJ35" i="30" s="1"/>
  <c r="BK18" i="30" s="1"/>
  <c r="BK103" i="30" s="1"/>
  <c r="BJ82" i="30"/>
  <c r="BJ31" i="30" s="1"/>
  <c r="BK14" i="30" s="1"/>
  <c r="BK99" i="30" s="1"/>
  <c r="BK72" i="30" s="1"/>
  <c r="BK21" i="30" s="1"/>
  <c r="BL4" i="30" s="1"/>
  <c r="BL89" i="30" s="1"/>
  <c r="BJ74" i="30"/>
  <c r="BJ23" i="30" s="1"/>
  <c r="BK6" i="30" s="1"/>
  <c r="BK91" i="30" s="1"/>
  <c r="BJ75" i="30"/>
  <c r="BJ24" i="30" s="1"/>
  <c r="BK7" i="30" s="1"/>
  <c r="BK92" i="30" s="1"/>
  <c r="BJ80" i="30"/>
  <c r="BJ29" i="30" s="1"/>
  <c r="BK12" i="30" s="1"/>
  <c r="BK97" i="30" s="1"/>
  <c r="BK78" i="30"/>
  <c r="BK27" i="30" s="1"/>
  <c r="BL10" i="30" s="1"/>
  <c r="BL95" i="30" s="1"/>
  <c r="BJ73" i="30"/>
  <c r="BJ22" i="30" s="1"/>
  <c r="BK5" i="30" s="1"/>
  <c r="BK90" i="30" s="1"/>
  <c r="BJ30" i="30"/>
  <c r="BK13" i="30" s="1"/>
  <c r="BK98" i="30" s="1"/>
  <c r="DA104" i="30" l="1"/>
  <c r="DA36" i="30"/>
  <c r="DB19" i="30" s="1"/>
  <c r="O255" i="30" s="1"/>
  <c r="DA102" i="30"/>
  <c r="DA83" i="30" s="1"/>
  <c r="DA34" i="30"/>
  <c r="DB17" i="30" s="1"/>
  <c r="O245" i="30" s="1"/>
  <c r="CZ101" i="30"/>
  <c r="CZ33" i="30"/>
  <c r="DA16" i="30" s="1"/>
  <c r="CZ100" i="30"/>
  <c r="CZ79" i="30" s="1"/>
  <c r="CZ28" i="30" s="1"/>
  <c r="DA11" i="30" s="1"/>
  <c r="DA96" i="30" s="1"/>
  <c r="CZ32" i="30"/>
  <c r="DA15" i="30" s="1"/>
  <c r="DA94" i="30"/>
  <c r="DA26" i="30"/>
  <c r="DB9" i="30" s="1"/>
  <c r="O205" i="30" s="1"/>
  <c r="CZ93" i="30"/>
  <c r="CZ25" i="30"/>
  <c r="DA8" i="30" s="1"/>
  <c r="BK73" i="30"/>
  <c r="BK22" i="30" s="1"/>
  <c r="BL5" i="30" s="1"/>
  <c r="BL90" i="30" s="1"/>
  <c r="BL81" i="30" s="1"/>
  <c r="BK82" i="30"/>
  <c r="BK31" i="30" s="1"/>
  <c r="BL14" i="30" s="1"/>
  <c r="BL99" i="30" s="1"/>
  <c r="BL72" i="30" s="1"/>
  <c r="BL21" i="30" s="1"/>
  <c r="BM4" i="30" s="1"/>
  <c r="BM89" i="30" s="1"/>
  <c r="BK86" i="30"/>
  <c r="BK35" i="30" s="1"/>
  <c r="BL18" i="30" s="1"/>
  <c r="BL103" i="30" s="1"/>
  <c r="BL78" i="30"/>
  <c r="BL27" i="30" s="1"/>
  <c r="BM10" i="30" s="1"/>
  <c r="BM95" i="30" s="1"/>
  <c r="BK81" i="30"/>
  <c r="BK30" i="30" s="1"/>
  <c r="BL13" i="30" s="1"/>
  <c r="BL98" i="30" s="1"/>
  <c r="BK74" i="30"/>
  <c r="BK23" i="30" s="1"/>
  <c r="BL6" i="30" s="1"/>
  <c r="BL91" i="30" s="1"/>
  <c r="BK71" i="30"/>
  <c r="BK20" i="30" s="1"/>
  <c r="BL3" i="30" s="1"/>
  <c r="BL88" i="30" s="1"/>
  <c r="BK80" i="30"/>
  <c r="BK29" i="30" s="1"/>
  <c r="BL12" i="30" s="1"/>
  <c r="BL97" i="30" s="1"/>
  <c r="BK75" i="30"/>
  <c r="BK24" i="30" s="1"/>
  <c r="BL7" i="30" s="1"/>
  <c r="BL92" i="30" s="1"/>
  <c r="B170" i="30" l="1"/>
  <c r="K170" i="30" s="1"/>
  <c r="B162" i="30"/>
  <c r="K162" i="30" s="1"/>
  <c r="B172" i="30"/>
  <c r="K172" i="30" s="1"/>
  <c r="BL74" i="30"/>
  <c r="BL23" i="30" s="1"/>
  <c r="BM6" i="30" s="1"/>
  <c r="BM91" i="30" s="1"/>
  <c r="DB104" i="30"/>
  <c r="O294" i="30"/>
  <c r="S294" i="30" s="1"/>
  <c r="DB36" i="30"/>
  <c r="DC19" i="30" s="1"/>
  <c r="DB34" i="30"/>
  <c r="DC17" i="30" s="1"/>
  <c r="O292" i="30"/>
  <c r="S292" i="30" s="1"/>
  <c r="DB102" i="30"/>
  <c r="DB83" i="30" s="1"/>
  <c r="DA101" i="30"/>
  <c r="DA33" i="30"/>
  <c r="DB16" i="30" s="1"/>
  <c r="O240" i="30" s="1"/>
  <c r="DA100" i="30"/>
  <c r="DA79" i="30" s="1"/>
  <c r="DA28" i="30" s="1"/>
  <c r="DB11" i="30" s="1"/>
  <c r="O215" i="30" s="1"/>
  <c r="DA32" i="30"/>
  <c r="DB15" i="30" s="1"/>
  <c r="O235" i="30" s="1"/>
  <c r="DB94" i="30"/>
  <c r="O284" i="30"/>
  <c r="S284" i="30" s="1"/>
  <c r="DB26" i="30"/>
  <c r="DC9" i="30" s="1"/>
  <c r="DA93" i="30"/>
  <c r="DA25" i="30"/>
  <c r="DB8" i="30" s="1"/>
  <c r="O200" i="30" s="1"/>
  <c r="BL73" i="30"/>
  <c r="BL22" i="30" s="1"/>
  <c r="BM5" i="30" s="1"/>
  <c r="BM90" i="30" s="1"/>
  <c r="BM81" i="30" s="1"/>
  <c r="BL86" i="30"/>
  <c r="BL35" i="30" s="1"/>
  <c r="BM18" i="30" s="1"/>
  <c r="BM103" i="30" s="1"/>
  <c r="BL71" i="30"/>
  <c r="BL20" i="30" s="1"/>
  <c r="BM3" i="30" s="1"/>
  <c r="BM88" i="30" s="1"/>
  <c r="BL82" i="30"/>
  <c r="BL31" i="30" s="1"/>
  <c r="BM14" i="30" s="1"/>
  <c r="BM99" i="30" s="1"/>
  <c r="BM72" i="30" s="1"/>
  <c r="BM21" i="30" s="1"/>
  <c r="BN4" i="30" s="1"/>
  <c r="J180" i="30" s="1"/>
  <c r="BL80" i="30"/>
  <c r="BL29" i="30" s="1"/>
  <c r="BM12" i="30" s="1"/>
  <c r="BM97" i="30" s="1"/>
  <c r="BL75" i="30"/>
  <c r="BL24" i="30" s="1"/>
  <c r="BM7" i="30" s="1"/>
  <c r="BM92" i="30" s="1"/>
  <c r="BM78" i="30"/>
  <c r="BM27" i="30" s="1"/>
  <c r="BN10" i="30" s="1"/>
  <c r="J210" i="30" s="1"/>
  <c r="BL30" i="30"/>
  <c r="BM13" i="30" s="1"/>
  <c r="BM98" i="30" s="1"/>
  <c r="B168" i="30" l="1"/>
  <c r="K168" i="30" s="1"/>
  <c r="B164" i="30"/>
  <c r="K164" i="30" s="1"/>
  <c r="B161" i="30"/>
  <c r="K161" i="30" s="1"/>
  <c r="B169" i="30"/>
  <c r="K169" i="30" s="1"/>
  <c r="O286" i="30"/>
  <c r="S286" i="30" s="1"/>
  <c r="DC104" i="30"/>
  <c r="DC36" i="30"/>
  <c r="DD19" i="30" s="1"/>
  <c r="DC34" i="30"/>
  <c r="DD17" i="30" s="1"/>
  <c r="DC102" i="30"/>
  <c r="DC83" i="30" s="1"/>
  <c r="DB101" i="30"/>
  <c r="DB33" i="30"/>
  <c r="DC16" i="30" s="1"/>
  <c r="O291" i="30"/>
  <c r="S291" i="30" s="1"/>
  <c r="DB96" i="30"/>
  <c r="O290" i="30"/>
  <c r="S290" i="30" s="1"/>
  <c r="DB100" i="30"/>
  <c r="DB79" i="30" s="1"/>
  <c r="DB28" i="30" s="1"/>
  <c r="DC11" i="30" s="1"/>
  <c r="DC96" i="30" s="1"/>
  <c r="DB32" i="30"/>
  <c r="DC15" i="30" s="1"/>
  <c r="BM75" i="30"/>
  <c r="BM24" i="30" s="1"/>
  <c r="BN7" i="30" s="1"/>
  <c r="J195" i="30" s="1"/>
  <c r="BM82" i="30"/>
  <c r="BM31" i="30" s="1"/>
  <c r="BN14" i="30" s="1"/>
  <c r="J230" i="30" s="1"/>
  <c r="DC94" i="30"/>
  <c r="DC26" i="30"/>
  <c r="DD9" i="30" s="1"/>
  <c r="O283" i="30"/>
  <c r="S283" i="30" s="1"/>
  <c r="DB25" i="30"/>
  <c r="DC8" i="30" s="1"/>
  <c r="DB93" i="30"/>
  <c r="BM71" i="30"/>
  <c r="BM20" i="30" s="1"/>
  <c r="BN3" i="30" s="1"/>
  <c r="J175" i="30" s="1"/>
  <c r="BM30" i="30"/>
  <c r="BN13" i="30" s="1"/>
  <c r="J225" i="30" s="1"/>
  <c r="BM80" i="30"/>
  <c r="BM29" i="30" s="1"/>
  <c r="BN12" i="30" s="1"/>
  <c r="J220" i="30" s="1"/>
  <c r="BM86" i="30"/>
  <c r="BM35" i="30" s="1"/>
  <c r="BN18" i="30" s="1"/>
  <c r="J250" i="30" s="1"/>
  <c r="J279" i="30"/>
  <c r="BN89" i="30"/>
  <c r="BM73" i="30"/>
  <c r="BM22" i="30" s="1"/>
  <c r="BN5" i="30" s="1"/>
  <c r="J185" i="30" s="1"/>
  <c r="BM74" i="30"/>
  <c r="BM23" i="30" s="1"/>
  <c r="BN6" i="30" s="1"/>
  <c r="J190" i="30" s="1"/>
  <c r="BN95" i="30"/>
  <c r="J285" i="30"/>
  <c r="J289" i="30" l="1"/>
  <c r="J278" i="30"/>
  <c r="BN103" i="30"/>
  <c r="BN98" i="30"/>
  <c r="J288" i="30"/>
  <c r="DD104" i="30"/>
  <c r="DD36" i="30"/>
  <c r="DE19" i="30" s="1"/>
  <c r="DD34" i="30"/>
  <c r="DE17" i="30" s="1"/>
  <c r="DD102" i="30"/>
  <c r="DD83" i="30" s="1"/>
  <c r="DC101" i="30"/>
  <c r="DC33" i="30"/>
  <c r="DD16" i="30" s="1"/>
  <c r="DC100" i="30"/>
  <c r="DC79" i="30" s="1"/>
  <c r="DC28" i="30" s="1"/>
  <c r="DD11" i="30" s="1"/>
  <c r="DD96" i="30" s="1"/>
  <c r="DC32" i="30"/>
  <c r="DD15" i="30" s="1"/>
  <c r="BN88" i="30"/>
  <c r="BN99" i="30"/>
  <c r="BN72" i="30" s="1"/>
  <c r="BN21" i="30" s="1"/>
  <c r="BO4" i="30" s="1"/>
  <c r="BO89" i="30" s="1"/>
  <c r="BO78" i="30" s="1"/>
  <c r="DD94" i="30"/>
  <c r="DD26" i="30"/>
  <c r="DE9" i="30" s="1"/>
  <c r="DC25" i="30"/>
  <c r="DD8" i="30" s="1"/>
  <c r="DC93" i="30"/>
  <c r="J293" i="30"/>
  <c r="J280" i="30"/>
  <c r="BN90" i="30"/>
  <c r="BN78" i="30"/>
  <c r="BN27" i="30" s="1"/>
  <c r="BO10" i="30" s="1"/>
  <c r="BO95" i="30" s="1"/>
  <c r="J282" i="30"/>
  <c r="BN92" i="30"/>
  <c r="BN97" i="30"/>
  <c r="J287" i="30"/>
  <c r="J281" i="30"/>
  <c r="BN91" i="30"/>
  <c r="J277" i="30" l="1"/>
  <c r="BN73" i="30"/>
  <c r="BN22" i="30" s="1"/>
  <c r="BO5" i="30" s="1"/>
  <c r="BO90" i="30" s="1"/>
  <c r="BO81" i="30" s="1"/>
  <c r="BN80" i="30"/>
  <c r="BN29" i="30" s="1"/>
  <c r="BO12" i="30" s="1"/>
  <c r="BO97" i="30" s="1"/>
  <c r="DE104" i="30"/>
  <c r="DE36" i="30"/>
  <c r="DF19" i="30" s="1"/>
  <c r="DE102" i="30"/>
  <c r="DE83" i="30" s="1"/>
  <c r="DE34" i="30"/>
  <c r="DF17" i="30" s="1"/>
  <c r="DD101" i="30"/>
  <c r="DD33" i="30"/>
  <c r="DE16" i="30" s="1"/>
  <c r="DD100" i="30"/>
  <c r="DD79" i="30" s="1"/>
  <c r="DD28" i="30" s="1"/>
  <c r="DE11" i="30" s="1"/>
  <c r="DE96" i="30" s="1"/>
  <c r="DD32" i="30"/>
  <c r="DE15" i="30" s="1"/>
  <c r="DE94" i="30"/>
  <c r="DE26" i="30"/>
  <c r="DF9" i="30" s="1"/>
  <c r="BO27" i="30"/>
  <c r="BP10" i="30" s="1"/>
  <c r="BP95" i="30" s="1"/>
  <c r="DD25" i="30"/>
  <c r="DE8" i="30" s="1"/>
  <c r="DD93" i="30"/>
  <c r="BN86" i="30"/>
  <c r="BN35" i="30" s="1"/>
  <c r="BO18" i="30" s="1"/>
  <c r="BO103" i="30" s="1"/>
  <c r="BN75" i="30"/>
  <c r="BN24" i="30" s="1"/>
  <c r="BO7" i="30" s="1"/>
  <c r="BO92" i="30" s="1"/>
  <c r="BN82" i="30"/>
  <c r="BN31" i="30" s="1"/>
  <c r="BO14" i="30" s="1"/>
  <c r="BO99" i="30" s="1"/>
  <c r="BO72" i="30" s="1"/>
  <c r="BO21" i="30" s="1"/>
  <c r="BP4" i="30" s="1"/>
  <c r="BP89" i="30" s="1"/>
  <c r="BN74" i="30"/>
  <c r="BN23" i="30" s="1"/>
  <c r="BO6" i="30" s="1"/>
  <c r="BO91" i="30" s="1"/>
  <c r="BN81" i="30"/>
  <c r="BN30" i="30" s="1"/>
  <c r="BO13" i="30" s="1"/>
  <c r="BO98" i="30" s="1"/>
  <c r="BN71" i="30"/>
  <c r="BN20" i="30" s="1"/>
  <c r="BO3" i="30" s="1"/>
  <c r="BO88" i="30" s="1"/>
  <c r="BO73" i="30" l="1"/>
  <c r="BO22" i="30" s="1"/>
  <c r="BP5" i="30" s="1"/>
  <c r="BP90" i="30" s="1"/>
  <c r="BP81" i="30" s="1"/>
  <c r="BO74" i="30"/>
  <c r="BO23" i="30" s="1"/>
  <c r="BP6" i="30" s="1"/>
  <c r="BP91" i="30" s="1"/>
  <c r="DF104" i="30"/>
  <c r="DF36" i="30"/>
  <c r="DG19" i="30" s="1"/>
  <c r="DF34" i="30"/>
  <c r="DG17" i="30" s="1"/>
  <c r="DF102" i="30"/>
  <c r="DF83" i="30" s="1"/>
  <c r="DE101" i="30"/>
  <c r="DE33" i="30"/>
  <c r="DF16" i="30" s="1"/>
  <c r="DE100" i="30"/>
  <c r="DE79" i="30" s="1"/>
  <c r="DE28" i="30" s="1"/>
  <c r="DF11" i="30" s="1"/>
  <c r="DF96" i="30" s="1"/>
  <c r="DE32" i="30"/>
  <c r="DF15" i="30" s="1"/>
  <c r="DF94" i="30"/>
  <c r="DF26" i="30"/>
  <c r="DG9" i="30" s="1"/>
  <c r="DE93" i="30"/>
  <c r="DE25" i="30"/>
  <c r="DF8" i="30" s="1"/>
  <c r="BO30" i="30"/>
  <c r="BP13" i="30" s="1"/>
  <c r="BP98" i="30" s="1"/>
  <c r="BO75" i="30"/>
  <c r="BO24" i="30" s="1"/>
  <c r="BP7" i="30" s="1"/>
  <c r="BP92" i="30" s="1"/>
  <c r="BO80" i="30"/>
  <c r="BO29" i="30" s="1"/>
  <c r="BP12" i="30" s="1"/>
  <c r="BP97" i="30" s="1"/>
  <c r="BO86" i="30"/>
  <c r="BO35" i="30" s="1"/>
  <c r="BP18" i="30" s="1"/>
  <c r="BP103" i="30" s="1"/>
  <c r="BO82" i="30"/>
  <c r="BO31" i="30" s="1"/>
  <c r="BP14" i="30" s="1"/>
  <c r="BP99" i="30" s="1"/>
  <c r="BP72" i="30" s="1"/>
  <c r="BP21" i="30" s="1"/>
  <c r="BQ4" i="30" s="1"/>
  <c r="BQ89" i="30" s="1"/>
  <c r="BP78" i="30"/>
  <c r="BP27" i="30" s="1"/>
  <c r="BQ10" i="30" s="1"/>
  <c r="BQ95" i="30" s="1"/>
  <c r="BO71" i="30"/>
  <c r="BO20" i="30" s="1"/>
  <c r="BP3" i="30" s="1"/>
  <c r="BP88" i="30" s="1"/>
  <c r="BP30" i="30" l="1"/>
  <c r="BQ13" i="30" s="1"/>
  <c r="BQ98" i="30" s="1"/>
  <c r="BP80" i="30"/>
  <c r="BP29" i="30" s="1"/>
  <c r="BQ12" i="30" s="1"/>
  <c r="BQ97" i="30" s="1"/>
  <c r="BP82" i="30"/>
  <c r="BP31" i="30" s="1"/>
  <c r="BQ14" i="30" s="1"/>
  <c r="BQ99" i="30" s="1"/>
  <c r="BQ72" i="30" s="1"/>
  <c r="BQ21" i="30" s="1"/>
  <c r="BR4" i="30" s="1"/>
  <c r="BR89" i="30" s="1"/>
  <c r="BR78" i="30" s="1"/>
  <c r="DG104" i="30"/>
  <c r="DG36" i="30"/>
  <c r="DH19" i="30" s="1"/>
  <c r="DG34" i="30"/>
  <c r="DH17" i="30" s="1"/>
  <c r="DG102" i="30"/>
  <c r="DG83" i="30" s="1"/>
  <c r="DF101" i="30"/>
  <c r="DF33" i="30"/>
  <c r="DG16" i="30" s="1"/>
  <c r="DF100" i="30"/>
  <c r="DF79" i="30" s="1"/>
  <c r="DF28" i="30" s="1"/>
  <c r="DG11" i="30" s="1"/>
  <c r="DG96" i="30" s="1"/>
  <c r="DF32" i="30"/>
  <c r="DG15" i="30" s="1"/>
  <c r="BP74" i="30"/>
  <c r="BP23" i="30" s="1"/>
  <c r="BQ6" i="30" s="1"/>
  <c r="BQ91" i="30" s="1"/>
  <c r="DG26" i="30"/>
  <c r="DH9" i="30" s="1"/>
  <c r="DG94" i="30"/>
  <c r="DF25" i="30"/>
  <c r="DG8" i="30" s="1"/>
  <c r="DF93" i="30"/>
  <c r="BP86" i="30"/>
  <c r="BP35" i="30" s="1"/>
  <c r="BQ18" i="30" s="1"/>
  <c r="BQ103" i="30" s="1"/>
  <c r="BP71" i="30"/>
  <c r="BP20" i="30" s="1"/>
  <c r="BQ3" i="30" s="1"/>
  <c r="BQ88" i="30" s="1"/>
  <c r="BP73" i="30"/>
  <c r="BP22" i="30" s="1"/>
  <c r="BQ5" i="30" s="1"/>
  <c r="BQ90" i="30" s="1"/>
  <c r="BQ78" i="30"/>
  <c r="BQ27" i="30" s="1"/>
  <c r="BR10" i="30" s="1"/>
  <c r="BR95" i="30" s="1"/>
  <c r="BP75" i="30"/>
  <c r="BP24" i="30" s="1"/>
  <c r="BQ7" i="30" s="1"/>
  <c r="BQ92" i="30" s="1"/>
  <c r="BQ82" i="30" l="1"/>
  <c r="BQ31" i="30" s="1"/>
  <c r="BR14" i="30" s="1"/>
  <c r="BR99" i="30" s="1"/>
  <c r="BR72" i="30" s="1"/>
  <c r="BR21" i="30" s="1"/>
  <c r="BS4" i="30" s="1"/>
  <c r="BS89" i="30" s="1"/>
  <c r="BS78" i="30" s="1"/>
  <c r="BQ71" i="30"/>
  <c r="BQ20" i="30" s="1"/>
  <c r="BR3" i="30" s="1"/>
  <c r="BR88" i="30" s="1"/>
  <c r="BQ73" i="30"/>
  <c r="BQ22" i="30" s="1"/>
  <c r="BR5" i="30" s="1"/>
  <c r="BR90" i="30" s="1"/>
  <c r="BR81" i="30" s="1"/>
  <c r="BQ86" i="30"/>
  <c r="BQ35" i="30" s="1"/>
  <c r="BR18" i="30" s="1"/>
  <c r="BR103" i="30" s="1"/>
  <c r="DH36" i="30"/>
  <c r="DI19" i="30" s="1"/>
  <c r="DH104" i="30"/>
  <c r="DH102" i="30"/>
  <c r="DH83" i="30" s="1"/>
  <c r="DH34" i="30"/>
  <c r="DI17" i="30" s="1"/>
  <c r="DG33" i="30"/>
  <c r="DH16" i="30" s="1"/>
  <c r="DG101" i="30"/>
  <c r="DG100" i="30"/>
  <c r="DG79" i="30" s="1"/>
  <c r="DG28" i="30" s="1"/>
  <c r="DH11" i="30" s="1"/>
  <c r="DH96" i="30" s="1"/>
  <c r="DG32" i="30"/>
  <c r="DH15" i="30" s="1"/>
  <c r="BR27" i="30"/>
  <c r="BS10" i="30" s="1"/>
  <c r="BS95" i="30" s="1"/>
  <c r="DH26" i="30"/>
  <c r="DI9" i="30" s="1"/>
  <c r="DH94" i="30"/>
  <c r="DG93" i="30"/>
  <c r="DG25" i="30"/>
  <c r="DH8" i="30" s="1"/>
  <c r="BQ81" i="30"/>
  <c r="BQ30" i="30" s="1"/>
  <c r="BR13" i="30" s="1"/>
  <c r="BR98" i="30" s="1"/>
  <c r="BQ75" i="30"/>
  <c r="BQ24" i="30" s="1"/>
  <c r="BR7" i="30" s="1"/>
  <c r="BR92" i="30" s="1"/>
  <c r="BQ80" i="30"/>
  <c r="BQ29" i="30" s="1"/>
  <c r="BR12" i="30" s="1"/>
  <c r="BR97" i="30" s="1"/>
  <c r="BQ74" i="30"/>
  <c r="BQ23" i="30" s="1"/>
  <c r="BR6" i="30" s="1"/>
  <c r="BR91" i="30" s="1"/>
  <c r="BR73" i="30" l="1"/>
  <c r="BR22" i="30" s="1"/>
  <c r="BS5" i="30" s="1"/>
  <c r="BS90" i="30" s="1"/>
  <c r="BS81" i="30" s="1"/>
  <c r="BS27" i="30"/>
  <c r="BT10" i="30" s="1"/>
  <c r="BT95" i="30" s="1"/>
  <c r="BR30" i="30"/>
  <c r="BS13" i="30" s="1"/>
  <c r="BS98" i="30" s="1"/>
  <c r="DI104" i="30"/>
  <c r="DI36" i="30"/>
  <c r="DJ19" i="30" s="1"/>
  <c r="P255" i="30" s="1"/>
  <c r="BR74" i="30"/>
  <c r="BR23" i="30" s="1"/>
  <c r="BS6" i="30" s="1"/>
  <c r="BS91" i="30" s="1"/>
  <c r="DI102" i="30"/>
  <c r="DI83" i="30" s="1"/>
  <c r="DI34" i="30"/>
  <c r="DJ17" i="30" s="1"/>
  <c r="P245" i="30" s="1"/>
  <c r="DH101" i="30"/>
  <c r="DH33" i="30"/>
  <c r="DI16" i="30" s="1"/>
  <c r="DH100" i="30"/>
  <c r="DH79" i="30" s="1"/>
  <c r="DH28" i="30" s="1"/>
  <c r="DI11" i="30" s="1"/>
  <c r="DI96" i="30" s="1"/>
  <c r="DH32" i="30"/>
  <c r="DI15" i="30" s="1"/>
  <c r="BR71" i="30"/>
  <c r="BR20" i="30" s="1"/>
  <c r="BS3" i="30" s="1"/>
  <c r="BS88" i="30" s="1"/>
  <c r="DI94" i="30"/>
  <c r="DI26" i="30"/>
  <c r="DJ9" i="30" s="1"/>
  <c r="P205" i="30" s="1"/>
  <c r="DH25" i="30"/>
  <c r="DI8" i="30" s="1"/>
  <c r="DH93" i="30"/>
  <c r="BR86" i="30"/>
  <c r="BR35" i="30" s="1"/>
  <c r="BS18" i="30" s="1"/>
  <c r="BS103" i="30" s="1"/>
  <c r="BR82" i="30"/>
  <c r="BR31" i="30" s="1"/>
  <c r="BS14" i="30" s="1"/>
  <c r="BS99" i="30" s="1"/>
  <c r="BS72" i="30" s="1"/>
  <c r="BS21" i="30" s="1"/>
  <c r="BT4" i="30" s="1"/>
  <c r="BT89" i="30" s="1"/>
  <c r="BR80" i="30"/>
  <c r="BR29" i="30" s="1"/>
  <c r="BS12" i="30" s="1"/>
  <c r="BS97" i="30" s="1"/>
  <c r="BR75" i="30"/>
  <c r="BR24" i="30" s="1"/>
  <c r="BS7" i="30" s="1"/>
  <c r="BS92" i="30" s="1"/>
  <c r="BS30" i="30" l="1"/>
  <c r="BT13" i="30" s="1"/>
  <c r="BT98" i="30" s="1"/>
  <c r="BS82" i="30"/>
  <c r="BS31" i="30" s="1"/>
  <c r="BT14" i="30" s="1"/>
  <c r="BT99" i="30" s="1"/>
  <c r="BT72" i="30" s="1"/>
  <c r="BT21" i="30" s="1"/>
  <c r="BU4" i="30" s="1"/>
  <c r="BU89" i="30" s="1"/>
  <c r="BU78" i="30" s="1"/>
  <c r="BS71" i="30"/>
  <c r="BS20" i="30" s="1"/>
  <c r="BT3" i="30" s="1"/>
  <c r="BT88" i="30" s="1"/>
  <c r="DJ36" i="30"/>
  <c r="DK19" i="30" s="1"/>
  <c r="DJ104" i="30"/>
  <c r="DJ102" i="30"/>
  <c r="DJ83" i="30" s="1"/>
  <c r="DJ34" i="30"/>
  <c r="DK17" i="30" s="1"/>
  <c r="DI101" i="30"/>
  <c r="DI33" i="30"/>
  <c r="DJ16" i="30" s="1"/>
  <c r="P240" i="30" s="1"/>
  <c r="DI100" i="30"/>
  <c r="DI79" i="30" s="1"/>
  <c r="DI28" i="30" s="1"/>
  <c r="DJ11" i="30" s="1"/>
  <c r="P215" i="30" s="1"/>
  <c r="DI32" i="30"/>
  <c r="DJ15" i="30" s="1"/>
  <c r="P235" i="30" s="1"/>
  <c r="BS80" i="30"/>
  <c r="BS29" i="30" s="1"/>
  <c r="BT12" i="30" s="1"/>
  <c r="BT97" i="30" s="1"/>
  <c r="BS75" i="30"/>
  <c r="BS24" i="30" s="1"/>
  <c r="BT7" i="30" s="1"/>
  <c r="BT92" i="30" s="1"/>
  <c r="BS86" i="30"/>
  <c r="BS35" i="30" s="1"/>
  <c r="BT18" i="30" s="1"/>
  <c r="BT103" i="30" s="1"/>
  <c r="DJ94" i="30"/>
  <c r="DJ26" i="30"/>
  <c r="DK9" i="30" s="1"/>
  <c r="DI93" i="30"/>
  <c r="DI25" i="30"/>
  <c r="DJ8" i="30" s="1"/>
  <c r="P200" i="30" s="1"/>
  <c r="BT78" i="30"/>
  <c r="BT27" i="30" s="1"/>
  <c r="BU10" i="30" s="1"/>
  <c r="BU95" i="30" s="1"/>
  <c r="BS74" i="30"/>
  <c r="BS23" i="30" s="1"/>
  <c r="BT6" i="30" s="1"/>
  <c r="BT91" i="30" s="1"/>
  <c r="BS73" i="30"/>
  <c r="BS22" i="30" s="1"/>
  <c r="BT5" i="30" s="1"/>
  <c r="BT90" i="30" s="1"/>
  <c r="BT73" i="30" l="1"/>
  <c r="BT22" i="30" s="1"/>
  <c r="BU5" i="30" s="1"/>
  <c r="BU90" i="30" s="1"/>
  <c r="DK104" i="30"/>
  <c r="DK36" i="30"/>
  <c r="DL19" i="30" s="1"/>
  <c r="DK102" i="30"/>
  <c r="DK83" i="30" s="1"/>
  <c r="DK34" i="30"/>
  <c r="DL17" i="30" s="1"/>
  <c r="DJ96" i="30"/>
  <c r="DJ33" i="30"/>
  <c r="DK16" i="30" s="1"/>
  <c r="DJ101" i="30"/>
  <c r="DJ100" i="30"/>
  <c r="DJ79" i="30" s="1"/>
  <c r="DJ28" i="30" s="1"/>
  <c r="DK11" i="30" s="1"/>
  <c r="DK96" i="30" s="1"/>
  <c r="DJ32" i="30"/>
  <c r="DK15" i="30" s="1"/>
  <c r="BT86" i="30"/>
  <c r="BT35" i="30" s="1"/>
  <c r="BU18" i="30" s="1"/>
  <c r="BU103" i="30" s="1"/>
  <c r="DK94" i="30"/>
  <c r="DK26" i="30"/>
  <c r="DL9" i="30" s="1"/>
  <c r="DJ25" i="30"/>
  <c r="DK8" i="30" s="1"/>
  <c r="DJ93" i="30"/>
  <c r="BT81" i="30"/>
  <c r="BT30" i="30" s="1"/>
  <c r="BU13" i="30" s="1"/>
  <c r="BU98" i="30" s="1"/>
  <c r="BT74" i="30"/>
  <c r="BT23" i="30" s="1"/>
  <c r="BU6" i="30" s="1"/>
  <c r="BU91" i="30" s="1"/>
  <c r="BT71" i="30"/>
  <c r="BT20" i="30" s="1"/>
  <c r="BU3" i="30" s="1"/>
  <c r="BU88" i="30" s="1"/>
  <c r="BT82" i="30"/>
  <c r="BT31" i="30" s="1"/>
  <c r="BU14" i="30" s="1"/>
  <c r="BU99" i="30" s="1"/>
  <c r="BU72" i="30" s="1"/>
  <c r="BU21" i="30" s="1"/>
  <c r="BV4" i="30" s="1"/>
  <c r="K180" i="30" s="1"/>
  <c r="BT75" i="30"/>
  <c r="BT24" i="30" s="1"/>
  <c r="BU7" i="30" s="1"/>
  <c r="BU92" i="30" s="1"/>
  <c r="BT80" i="30"/>
  <c r="BT29" i="30" s="1"/>
  <c r="BU12" i="30" s="1"/>
  <c r="BU97" i="30" s="1"/>
  <c r="BU27" i="30"/>
  <c r="BV10" i="30" s="1"/>
  <c r="K210" i="30" s="1"/>
  <c r="DL36" i="30" l="1"/>
  <c r="DM19" i="30" s="1"/>
  <c r="DL104" i="30"/>
  <c r="DL34" i="30"/>
  <c r="DM17" i="30" s="1"/>
  <c r="DL102" i="30"/>
  <c r="DL83" i="30" s="1"/>
  <c r="DK33" i="30"/>
  <c r="DL16" i="30" s="1"/>
  <c r="DK101" i="30"/>
  <c r="DK100" i="30"/>
  <c r="DK79" i="30" s="1"/>
  <c r="DK28" i="30" s="1"/>
  <c r="DL11" i="30" s="1"/>
  <c r="DL96" i="30" s="1"/>
  <c r="DK32" i="30"/>
  <c r="DL15" i="30" s="1"/>
  <c r="BU82" i="30"/>
  <c r="BU31" i="30" s="1"/>
  <c r="BV14" i="30" s="1"/>
  <c r="K230" i="30" s="1"/>
  <c r="DL26" i="30"/>
  <c r="DM9" i="30" s="1"/>
  <c r="DL94" i="30"/>
  <c r="DK93" i="30"/>
  <c r="DK25" i="30"/>
  <c r="DL8" i="30" s="1"/>
  <c r="K285" i="30"/>
  <c r="BV95" i="30"/>
  <c r="K279" i="30"/>
  <c r="BV89" i="30"/>
  <c r="BU75" i="30"/>
  <c r="BU24" i="30" s="1"/>
  <c r="BV7" i="30" s="1"/>
  <c r="K195" i="30" s="1"/>
  <c r="BU80" i="30"/>
  <c r="BU29" i="30" s="1"/>
  <c r="BV12" i="30" s="1"/>
  <c r="K220" i="30" s="1"/>
  <c r="BU74" i="30"/>
  <c r="BU23" i="30" s="1"/>
  <c r="BV6" i="30" s="1"/>
  <c r="K190" i="30" s="1"/>
  <c r="BU81" i="30"/>
  <c r="BU30" i="30" s="1"/>
  <c r="BV13" i="30" s="1"/>
  <c r="K225" i="30" s="1"/>
  <c r="BU71" i="30"/>
  <c r="BU20" i="30" s="1"/>
  <c r="BV3" i="30" s="1"/>
  <c r="K175" i="30" s="1"/>
  <c r="BU86" i="30"/>
  <c r="BU35" i="30" s="1"/>
  <c r="BV18" i="30" s="1"/>
  <c r="K250" i="30" s="1"/>
  <c r="BU73" i="30"/>
  <c r="BU22" i="30" s="1"/>
  <c r="BV5" i="30" s="1"/>
  <c r="K185" i="30" s="1"/>
  <c r="DM104" i="30" l="1"/>
  <c r="DM36" i="30"/>
  <c r="DN19" i="30" s="1"/>
  <c r="DM34" i="30"/>
  <c r="DN17" i="30" s="1"/>
  <c r="DM102" i="30"/>
  <c r="DM83" i="30" s="1"/>
  <c r="DL101" i="30"/>
  <c r="DL33" i="30"/>
  <c r="DM16" i="30" s="1"/>
  <c r="DL100" i="30"/>
  <c r="DL79" i="30" s="1"/>
  <c r="DL28" i="30" s="1"/>
  <c r="DM11" i="30" s="1"/>
  <c r="DM96" i="30" s="1"/>
  <c r="DL32" i="30"/>
  <c r="DM15" i="30" s="1"/>
  <c r="K289" i="30"/>
  <c r="BV99" i="30"/>
  <c r="BV72" i="30" s="1"/>
  <c r="BV21" i="30" s="1"/>
  <c r="BW4" i="30" s="1"/>
  <c r="BW89" i="30" s="1"/>
  <c r="BW78" i="30" s="1"/>
  <c r="DM94" i="30"/>
  <c r="DM26" i="30"/>
  <c r="DN9" i="30" s="1"/>
  <c r="DL25" i="30"/>
  <c r="DM8" i="30" s="1"/>
  <c r="DL93" i="30"/>
  <c r="BV90" i="30"/>
  <c r="K280" i="30"/>
  <c r="BV97" i="30"/>
  <c r="K287" i="30"/>
  <c r="BV103" i="30"/>
  <c r="K293" i="30"/>
  <c r="BV88" i="30"/>
  <c r="K278" i="30"/>
  <c r="BV92" i="30"/>
  <c r="K282" i="30"/>
  <c r="K288" i="30"/>
  <c r="BV98" i="30"/>
  <c r="BV78" i="30"/>
  <c r="BV27" i="30" s="1"/>
  <c r="BW10" i="30" s="1"/>
  <c r="BW95" i="30" s="1"/>
  <c r="K281" i="30"/>
  <c r="BV91" i="30"/>
  <c r="K277" i="30" l="1"/>
  <c r="BV73" i="30"/>
  <c r="BV22" i="30" s="1"/>
  <c r="BW5" i="30" s="1"/>
  <c r="BW90" i="30" s="1"/>
  <c r="BW81" i="30" s="1"/>
  <c r="BV86" i="30"/>
  <c r="BV35" i="30" s="1"/>
  <c r="BW18" i="30" s="1"/>
  <c r="BW103" i="30" s="1"/>
  <c r="DN104" i="30"/>
  <c r="DN36" i="30"/>
  <c r="DO19" i="30" s="1"/>
  <c r="DN34" i="30"/>
  <c r="DO17" i="30" s="1"/>
  <c r="DN102" i="30"/>
  <c r="DN83" i="30" s="1"/>
  <c r="DM101" i="30"/>
  <c r="DM33" i="30"/>
  <c r="DN16" i="30" s="1"/>
  <c r="DM100" i="30"/>
  <c r="DM79" i="30" s="1"/>
  <c r="DM28" i="30" s="1"/>
  <c r="DN11" i="30" s="1"/>
  <c r="DN96" i="30" s="1"/>
  <c r="DM32" i="30"/>
  <c r="DN15" i="30" s="1"/>
  <c r="DN26" i="30"/>
  <c r="DO9" i="30" s="1"/>
  <c r="DN94" i="30"/>
  <c r="DM25" i="30"/>
  <c r="DN8" i="30" s="1"/>
  <c r="DM93" i="30"/>
  <c r="BV71" i="30"/>
  <c r="BV20" i="30" s="1"/>
  <c r="BW3" i="30" s="1"/>
  <c r="BW88" i="30" s="1"/>
  <c r="BV82" i="30"/>
  <c r="BV31" i="30" s="1"/>
  <c r="BW14" i="30" s="1"/>
  <c r="BW99" i="30" s="1"/>
  <c r="BW72" i="30" s="1"/>
  <c r="BW21" i="30" s="1"/>
  <c r="BX4" i="30" s="1"/>
  <c r="BX89" i="30" s="1"/>
  <c r="BW27" i="30"/>
  <c r="BX10" i="30" s="1"/>
  <c r="BX95" i="30" s="1"/>
  <c r="BV75" i="30"/>
  <c r="BV24" i="30" s="1"/>
  <c r="BW7" i="30" s="1"/>
  <c r="BW92" i="30" s="1"/>
  <c r="BV80" i="30"/>
  <c r="BV29" i="30" s="1"/>
  <c r="BW12" i="30" s="1"/>
  <c r="BW97" i="30" s="1"/>
  <c r="BV74" i="30"/>
  <c r="BV23" i="30" s="1"/>
  <c r="BW6" i="30" s="1"/>
  <c r="BW91" i="30" s="1"/>
  <c r="BV81" i="30"/>
  <c r="BV30" i="30" s="1"/>
  <c r="BW13" i="30" s="1"/>
  <c r="BW98" i="30" s="1"/>
  <c r="BW74" i="30" l="1"/>
  <c r="BW23" i="30" s="1"/>
  <c r="BX6" i="30" s="1"/>
  <c r="BX91" i="30" s="1"/>
  <c r="BW75" i="30"/>
  <c r="BW24" i="30" s="1"/>
  <c r="BX7" i="30" s="1"/>
  <c r="BX92" i="30" s="1"/>
  <c r="BW80" i="30"/>
  <c r="BW29" i="30" s="1"/>
  <c r="BX12" i="30" s="1"/>
  <c r="BX97" i="30" s="1"/>
  <c r="BW73" i="30"/>
  <c r="BW22" i="30" s="1"/>
  <c r="BX5" i="30" s="1"/>
  <c r="BX90" i="30" s="1"/>
  <c r="BX81" i="30" s="1"/>
  <c r="DO104" i="30"/>
  <c r="DO36" i="30"/>
  <c r="DP19" i="30" s="1"/>
  <c r="DO34" i="30"/>
  <c r="DP17" i="30" s="1"/>
  <c r="DO102" i="30"/>
  <c r="DO83" i="30" s="1"/>
  <c r="DN101" i="30"/>
  <c r="DN33" i="30"/>
  <c r="DO16" i="30" s="1"/>
  <c r="DN100" i="30"/>
  <c r="DN79" i="30" s="1"/>
  <c r="DN28" i="30" s="1"/>
  <c r="DO11" i="30" s="1"/>
  <c r="DO96" i="30" s="1"/>
  <c r="DN32" i="30"/>
  <c r="DO15" i="30" s="1"/>
  <c r="DO26" i="30"/>
  <c r="DP9" i="30" s="1"/>
  <c r="DO94" i="30"/>
  <c r="DN93" i="30"/>
  <c r="DN25" i="30"/>
  <c r="DO8" i="30" s="1"/>
  <c r="BW71" i="30"/>
  <c r="BW20" i="30" s="1"/>
  <c r="BX3" i="30" s="1"/>
  <c r="BX88" i="30" s="1"/>
  <c r="BW30" i="30"/>
  <c r="BX13" i="30" s="1"/>
  <c r="BX98" i="30" s="1"/>
  <c r="BX78" i="30"/>
  <c r="BX27" i="30" s="1"/>
  <c r="BY10" i="30" s="1"/>
  <c r="BY95" i="30" s="1"/>
  <c r="BW86" i="30"/>
  <c r="BW35" i="30" s="1"/>
  <c r="BX18" i="30" s="1"/>
  <c r="BX103" i="30" s="1"/>
  <c r="BW82" i="30"/>
  <c r="BW31" i="30" s="1"/>
  <c r="BX14" i="30" s="1"/>
  <c r="BX99" i="30" s="1"/>
  <c r="BX72" i="30" s="1"/>
  <c r="BX21" i="30" s="1"/>
  <c r="BY4" i="30" s="1"/>
  <c r="BY89" i="30" s="1"/>
  <c r="BX82" i="30" l="1"/>
  <c r="BX31" i="30" s="1"/>
  <c r="BY14" i="30" s="1"/>
  <c r="BY99" i="30" s="1"/>
  <c r="BY72" i="30" s="1"/>
  <c r="BY21" i="30" s="1"/>
  <c r="BZ4" i="30" s="1"/>
  <c r="BZ89" i="30" s="1"/>
  <c r="BX80" i="30"/>
  <c r="BX29" i="30" s="1"/>
  <c r="BY12" i="30" s="1"/>
  <c r="BY97" i="30" s="1"/>
  <c r="BX86" i="30"/>
  <c r="BX35" i="30" s="1"/>
  <c r="BY18" i="30" s="1"/>
  <c r="BY103" i="30" s="1"/>
  <c r="DP36" i="30"/>
  <c r="DQ19" i="30" s="1"/>
  <c r="DP104" i="30"/>
  <c r="DP102" i="30"/>
  <c r="DP83" i="30" s="1"/>
  <c r="DP34" i="30"/>
  <c r="DQ17" i="30" s="1"/>
  <c r="DO101" i="30"/>
  <c r="DO33" i="30"/>
  <c r="DP16" i="30" s="1"/>
  <c r="DO100" i="30"/>
  <c r="DO79" i="30" s="1"/>
  <c r="DO28" i="30" s="1"/>
  <c r="DP11" i="30" s="1"/>
  <c r="DP96" i="30" s="1"/>
  <c r="DO32" i="30"/>
  <c r="DP15" i="30" s="1"/>
  <c r="BX75" i="30"/>
  <c r="BX24" i="30" s="1"/>
  <c r="BY7" i="30" s="1"/>
  <c r="BY92" i="30" s="1"/>
  <c r="DP94" i="30"/>
  <c r="DP26" i="30"/>
  <c r="DQ9" i="30" s="1"/>
  <c r="BX30" i="30"/>
  <c r="BY13" i="30" s="1"/>
  <c r="BY98" i="30" s="1"/>
  <c r="DO25" i="30"/>
  <c r="DP8" i="30" s="1"/>
  <c r="DO93" i="30"/>
  <c r="BX71" i="30"/>
  <c r="BX20" i="30" s="1"/>
  <c r="BY3" i="30" s="1"/>
  <c r="BY88" i="30" s="1"/>
  <c r="BY78" i="30"/>
  <c r="BY27" i="30" s="1"/>
  <c r="BZ10" i="30" s="1"/>
  <c r="BZ95" i="30" s="1"/>
  <c r="BX73" i="30"/>
  <c r="BX22" i="30" s="1"/>
  <c r="BY5" i="30" s="1"/>
  <c r="BY90" i="30" s="1"/>
  <c r="BY81" i="30" s="1"/>
  <c r="BX74" i="30"/>
  <c r="BX23" i="30" s="1"/>
  <c r="BY6" i="30" s="1"/>
  <c r="BY91" i="30" s="1"/>
  <c r="BY30" i="30" l="1"/>
  <c r="BZ13" i="30" s="1"/>
  <c r="BZ98" i="30" s="1"/>
  <c r="DQ104" i="30"/>
  <c r="DQ36" i="30"/>
  <c r="DR19" i="30" s="1"/>
  <c r="Q255" i="30" s="1"/>
  <c r="DQ102" i="30"/>
  <c r="DQ83" i="30" s="1"/>
  <c r="DQ34" i="30"/>
  <c r="DR17" i="30" s="1"/>
  <c r="Q245" i="30" s="1"/>
  <c r="DP101" i="30"/>
  <c r="DP33" i="30"/>
  <c r="DQ16" i="30" s="1"/>
  <c r="DP100" i="30"/>
  <c r="DP79" i="30" s="1"/>
  <c r="DP28" i="30" s="1"/>
  <c r="DQ11" i="30" s="1"/>
  <c r="DQ96" i="30" s="1"/>
  <c r="DP32" i="30"/>
  <c r="DQ15" i="30" s="1"/>
  <c r="BY86" i="30"/>
  <c r="BY35" i="30" s="1"/>
  <c r="BZ18" i="30" s="1"/>
  <c r="BZ103" i="30" s="1"/>
  <c r="DQ94" i="30"/>
  <c r="DQ26" i="30"/>
  <c r="DR9" i="30" s="1"/>
  <c r="Q205" i="30" s="1"/>
  <c r="DP25" i="30"/>
  <c r="DQ8" i="30" s="1"/>
  <c r="DP93" i="30"/>
  <c r="BY73" i="30"/>
  <c r="BY22" i="30" s="1"/>
  <c r="BZ5" i="30" s="1"/>
  <c r="BZ90" i="30" s="1"/>
  <c r="BZ81" i="30" s="1"/>
  <c r="BZ78" i="30"/>
  <c r="BZ27" i="30" s="1"/>
  <c r="CA10" i="30" s="1"/>
  <c r="CA95" i="30" s="1"/>
  <c r="BY71" i="30"/>
  <c r="BY20" i="30" s="1"/>
  <c r="BZ3" i="30" s="1"/>
  <c r="BZ88" i="30" s="1"/>
  <c r="BY74" i="30"/>
  <c r="BY23" i="30" s="1"/>
  <c r="BZ6" i="30" s="1"/>
  <c r="BZ91" i="30" s="1"/>
  <c r="BY82" i="30"/>
  <c r="BY31" i="30" s="1"/>
  <c r="BZ14" i="30" s="1"/>
  <c r="BZ99" i="30" s="1"/>
  <c r="BZ72" i="30" s="1"/>
  <c r="BZ21" i="30" s="1"/>
  <c r="CA4" i="30" s="1"/>
  <c r="CA89" i="30" s="1"/>
  <c r="BY75" i="30"/>
  <c r="BY24" i="30" s="1"/>
  <c r="BZ7" i="30" s="1"/>
  <c r="BZ92" i="30" s="1"/>
  <c r="BY80" i="30"/>
  <c r="BY29" i="30" s="1"/>
  <c r="BZ12" i="30" s="1"/>
  <c r="BZ97" i="30" s="1"/>
  <c r="BZ30" i="30" l="1"/>
  <c r="CA13" i="30" s="1"/>
  <c r="CA98" i="30" s="1"/>
  <c r="BZ71" i="30"/>
  <c r="BZ20" i="30" s="1"/>
  <c r="CA3" i="30" s="1"/>
  <c r="CA88" i="30" s="1"/>
  <c r="DR36" i="30"/>
  <c r="DS19" i="30" s="1"/>
  <c r="DR104" i="30"/>
  <c r="DR102" i="30"/>
  <c r="DR83" i="30" s="1"/>
  <c r="DR34" i="30"/>
  <c r="DS17" i="30" s="1"/>
  <c r="DQ33" i="30"/>
  <c r="DR16" i="30" s="1"/>
  <c r="Q240" i="30" s="1"/>
  <c r="DQ101" i="30"/>
  <c r="DQ100" i="30"/>
  <c r="DQ79" i="30" s="1"/>
  <c r="DQ28" i="30" s="1"/>
  <c r="DR11" i="30" s="1"/>
  <c r="Q215" i="30" s="1"/>
  <c r="DQ32" i="30"/>
  <c r="DR15" i="30" s="1"/>
  <c r="Q235" i="30" s="1"/>
  <c r="DR94" i="30"/>
  <c r="DR26" i="30"/>
  <c r="DS9" i="30" s="1"/>
  <c r="DQ93" i="30"/>
  <c r="DQ25" i="30"/>
  <c r="DR8" i="30" s="1"/>
  <c r="Q200" i="30" s="1"/>
  <c r="BZ74" i="30"/>
  <c r="BZ23" i="30" s="1"/>
  <c r="CA6" i="30" s="1"/>
  <c r="CA91" i="30" s="1"/>
  <c r="CA78" i="30"/>
  <c r="CA27" i="30" s="1"/>
  <c r="CB10" i="30" s="1"/>
  <c r="CB95" i="30" s="1"/>
  <c r="BZ80" i="30"/>
  <c r="BZ29" i="30" s="1"/>
  <c r="CA12" i="30" s="1"/>
  <c r="CA97" i="30" s="1"/>
  <c r="BZ75" i="30"/>
  <c r="BZ24" i="30" s="1"/>
  <c r="CA7" i="30" s="1"/>
  <c r="CA92" i="30" s="1"/>
  <c r="BZ86" i="30"/>
  <c r="BZ35" i="30" s="1"/>
  <c r="CA18" i="30" s="1"/>
  <c r="CA103" i="30" s="1"/>
  <c r="BZ73" i="30"/>
  <c r="BZ22" i="30" s="1"/>
  <c r="CA5" i="30" s="1"/>
  <c r="CA90" i="30" s="1"/>
  <c r="BZ82" i="30"/>
  <c r="BZ31" i="30" s="1"/>
  <c r="CA14" i="30" s="1"/>
  <c r="CA99" i="30" s="1"/>
  <c r="CA72" i="30" s="1"/>
  <c r="CA21" i="30" s="1"/>
  <c r="CB4" i="30" s="1"/>
  <c r="CB89" i="30" s="1"/>
  <c r="DR96" i="30" l="1"/>
  <c r="CA82" i="30"/>
  <c r="CA31" i="30" s="1"/>
  <c r="CB14" i="30" s="1"/>
  <c r="CB99" i="30" s="1"/>
  <c r="CB72" i="30" s="1"/>
  <c r="CB21" i="30" s="1"/>
  <c r="CC4" i="30" s="1"/>
  <c r="CC89" i="30" s="1"/>
  <c r="CA75" i="30"/>
  <c r="CA24" i="30" s="1"/>
  <c r="CB7" i="30" s="1"/>
  <c r="CB92" i="30" s="1"/>
  <c r="DS104" i="30"/>
  <c r="DS36" i="30"/>
  <c r="DT19" i="30" s="1"/>
  <c r="DS34" i="30"/>
  <c r="DT17" i="30" s="1"/>
  <c r="DS102" i="30"/>
  <c r="DS83" i="30" s="1"/>
  <c r="DR101" i="30"/>
  <c r="DR33" i="30"/>
  <c r="DS16" i="30" s="1"/>
  <c r="DR100" i="30"/>
  <c r="DR79" i="30" s="1"/>
  <c r="DR28" i="30" s="1"/>
  <c r="DS11" i="30" s="1"/>
  <c r="DS96" i="30" s="1"/>
  <c r="DR32" i="30"/>
  <c r="DS15" i="30" s="1"/>
  <c r="DS26" i="30"/>
  <c r="DT9" i="30" s="1"/>
  <c r="DS94" i="30"/>
  <c r="DR93" i="30"/>
  <c r="DR25" i="30"/>
  <c r="DS8" i="30" s="1"/>
  <c r="CA86" i="30"/>
  <c r="CA35" i="30" s="1"/>
  <c r="CB18" i="30" s="1"/>
  <c r="CB103" i="30" s="1"/>
  <c r="CA73" i="30"/>
  <c r="CA22" i="30" s="1"/>
  <c r="CB5" i="30" s="1"/>
  <c r="CB90" i="30" s="1"/>
  <c r="CB78" i="30"/>
  <c r="CB27" i="30" s="1"/>
  <c r="CC10" i="30" s="1"/>
  <c r="CC95" i="30" s="1"/>
  <c r="CA80" i="30"/>
  <c r="CA29" i="30" s="1"/>
  <c r="CB12" i="30" s="1"/>
  <c r="CB97" i="30" s="1"/>
  <c r="CA74" i="30"/>
  <c r="CA23" i="30" s="1"/>
  <c r="CB6" i="30" s="1"/>
  <c r="CB91" i="30" s="1"/>
  <c r="CA81" i="30"/>
  <c r="CA30" i="30" s="1"/>
  <c r="CB13" i="30" s="1"/>
  <c r="CB98" i="30" s="1"/>
  <c r="CA71" i="30"/>
  <c r="CA20" i="30" s="1"/>
  <c r="CB3" i="30" s="1"/>
  <c r="CB88" i="30" s="1"/>
  <c r="DT104" i="30" l="1"/>
  <c r="DT36" i="30"/>
  <c r="DU19" i="30" s="1"/>
  <c r="DT102" i="30"/>
  <c r="DT83" i="30" s="1"/>
  <c r="DT34" i="30"/>
  <c r="DU17" i="30" s="1"/>
  <c r="DS101" i="30"/>
  <c r="DS33" i="30"/>
  <c r="DT16" i="30" s="1"/>
  <c r="DS100" i="30"/>
  <c r="DS79" i="30" s="1"/>
  <c r="DS28" i="30" s="1"/>
  <c r="DT11" i="30" s="1"/>
  <c r="DT96" i="30" s="1"/>
  <c r="DS32" i="30"/>
  <c r="DT15" i="30" s="1"/>
  <c r="CB73" i="30"/>
  <c r="CB22" i="30" s="1"/>
  <c r="CC5" i="30" s="1"/>
  <c r="CC90" i="30" s="1"/>
  <c r="CC81" i="30" s="1"/>
  <c r="DT94" i="30"/>
  <c r="DT26" i="30"/>
  <c r="DU9" i="30" s="1"/>
  <c r="DS25" i="30"/>
  <c r="DT8" i="30" s="1"/>
  <c r="DS93" i="30"/>
  <c r="CB86" i="30"/>
  <c r="CB35" i="30" s="1"/>
  <c r="CC18" i="30" s="1"/>
  <c r="CC103" i="30" s="1"/>
  <c r="CB71" i="30"/>
  <c r="CB20" i="30" s="1"/>
  <c r="CC3" i="30" s="1"/>
  <c r="CC88" i="30" s="1"/>
  <c r="CB82" i="30"/>
  <c r="CB31" i="30" s="1"/>
  <c r="CC14" i="30" s="1"/>
  <c r="CC99" i="30" s="1"/>
  <c r="CC72" i="30" s="1"/>
  <c r="CC21" i="30" s="1"/>
  <c r="CD4" i="30" s="1"/>
  <c r="L180" i="30" s="1"/>
  <c r="CB80" i="30"/>
  <c r="CB29" i="30" s="1"/>
  <c r="CC12" i="30" s="1"/>
  <c r="CC97" i="30" s="1"/>
  <c r="CB75" i="30"/>
  <c r="CB24" i="30" s="1"/>
  <c r="CC7" i="30" s="1"/>
  <c r="CC92" i="30" s="1"/>
  <c r="CC78" i="30"/>
  <c r="CC27" i="30" s="1"/>
  <c r="CD10" i="30" s="1"/>
  <c r="L210" i="30" s="1"/>
  <c r="CB81" i="30"/>
  <c r="CB30" i="30" s="1"/>
  <c r="CC13" i="30" s="1"/>
  <c r="CC98" i="30" s="1"/>
  <c r="CB74" i="30"/>
  <c r="CB23" i="30" s="1"/>
  <c r="CC6" i="30" s="1"/>
  <c r="CC91" i="30" s="1"/>
  <c r="DU36" i="30" l="1"/>
  <c r="DV19" i="30" s="1"/>
  <c r="DU104" i="30"/>
  <c r="DU34" i="30"/>
  <c r="DV17" i="30" s="1"/>
  <c r="DU102" i="30"/>
  <c r="DU83" i="30" s="1"/>
  <c r="DT33" i="30"/>
  <c r="DU16" i="30" s="1"/>
  <c r="DT101" i="30"/>
  <c r="CC74" i="30"/>
  <c r="CC23" i="30" s="1"/>
  <c r="CD6" i="30" s="1"/>
  <c r="L190" i="30" s="1"/>
  <c r="DT100" i="30"/>
  <c r="DT79" i="30" s="1"/>
  <c r="DT28" i="30" s="1"/>
  <c r="DU11" i="30" s="1"/>
  <c r="DU96" i="30" s="1"/>
  <c r="DT32" i="30"/>
  <c r="DU15" i="30" s="1"/>
  <c r="DU94" i="30"/>
  <c r="DU26" i="30"/>
  <c r="DV9" i="30" s="1"/>
  <c r="DT93" i="30"/>
  <c r="DT25" i="30"/>
  <c r="DU8" i="30" s="1"/>
  <c r="CC80" i="30"/>
  <c r="CC29" i="30" s="1"/>
  <c r="CD12" i="30" s="1"/>
  <c r="L220" i="30" s="1"/>
  <c r="CC82" i="30"/>
  <c r="CC31" i="30" s="1"/>
  <c r="CD14" i="30" s="1"/>
  <c r="L230" i="30" s="1"/>
  <c r="CC86" i="30"/>
  <c r="CC35" i="30" s="1"/>
  <c r="CD18" i="30" s="1"/>
  <c r="L250" i="30" s="1"/>
  <c r="L285" i="30"/>
  <c r="CD95" i="30"/>
  <c r="CC30" i="30"/>
  <c r="CD13" i="30" s="1"/>
  <c r="L225" i="30" s="1"/>
  <c r="CC73" i="30"/>
  <c r="CC22" i="30" s="1"/>
  <c r="CD5" i="30" s="1"/>
  <c r="L185" i="30" s="1"/>
  <c r="CC71" i="30"/>
  <c r="CC20" i="30" s="1"/>
  <c r="CD3" i="30" s="1"/>
  <c r="L175" i="30" s="1"/>
  <c r="CC75" i="30"/>
  <c r="CC24" i="30" s="1"/>
  <c r="CD7" i="30" s="1"/>
  <c r="L195" i="30" s="1"/>
  <c r="CD89" i="30"/>
  <c r="L279" i="30"/>
  <c r="DV36" i="30" l="1"/>
  <c r="DW19" i="30" s="1"/>
  <c r="DV104" i="30"/>
  <c r="DV102" i="30"/>
  <c r="DV83" i="30" s="1"/>
  <c r="DV34" i="30"/>
  <c r="DW17" i="30" s="1"/>
  <c r="DU101" i="30"/>
  <c r="DU33" i="30"/>
  <c r="DV16" i="30" s="1"/>
  <c r="DU100" i="30"/>
  <c r="DU79" i="30" s="1"/>
  <c r="DU28" i="30" s="1"/>
  <c r="DV11" i="30" s="1"/>
  <c r="DV96" i="30" s="1"/>
  <c r="DU32" i="30"/>
  <c r="DV15" i="30" s="1"/>
  <c r="DV26" i="30"/>
  <c r="DW9" i="30" s="1"/>
  <c r="DV94" i="30"/>
  <c r="DU93" i="30"/>
  <c r="DU25" i="30"/>
  <c r="DV8" i="30" s="1"/>
  <c r="L289" i="30"/>
  <c r="CD91" i="30"/>
  <c r="L281" i="30"/>
  <c r="CD99" i="30"/>
  <c r="CD72" i="30" s="1"/>
  <c r="CD21" i="30" s="1"/>
  <c r="CE4" i="30" s="1"/>
  <c r="CE89" i="30" s="1"/>
  <c r="CE78" i="30" s="1"/>
  <c r="CD78" i="30"/>
  <c r="CD27" i="30" s="1"/>
  <c r="CE10" i="30" s="1"/>
  <c r="CE95" i="30" s="1"/>
  <c r="L280" i="30"/>
  <c r="CD90" i="30"/>
  <c r="CD98" i="30"/>
  <c r="L288" i="30"/>
  <c r="L293" i="30"/>
  <c r="CD103" i="30"/>
  <c r="CD92" i="30"/>
  <c r="L282" i="30"/>
  <c r="L287" i="30"/>
  <c r="CD97" i="30"/>
  <c r="L278" i="30"/>
  <c r="CD88" i="30"/>
  <c r="L277" i="30" l="1"/>
  <c r="CE27" i="30"/>
  <c r="CF10" i="30" s="1"/>
  <c r="CF95" i="30" s="1"/>
  <c r="DW36" i="30"/>
  <c r="DX19" i="30" s="1"/>
  <c r="DW104" i="30"/>
  <c r="DW34" i="30"/>
  <c r="DX17" i="30" s="1"/>
  <c r="DW102" i="30"/>
  <c r="DW83" i="30" s="1"/>
  <c r="DV101" i="30"/>
  <c r="DV33" i="30"/>
  <c r="DW16" i="30" s="1"/>
  <c r="DV100" i="30"/>
  <c r="DV79" i="30" s="1"/>
  <c r="DV28" i="30" s="1"/>
  <c r="DW11" i="30" s="1"/>
  <c r="DW96" i="30" s="1"/>
  <c r="DV32" i="30"/>
  <c r="DW15" i="30" s="1"/>
  <c r="CD73" i="30"/>
  <c r="CD22" i="30" s="1"/>
  <c r="CE5" i="30" s="1"/>
  <c r="CE90" i="30" s="1"/>
  <c r="CE81" i="30" s="1"/>
  <c r="DW26" i="30"/>
  <c r="DX9" i="30" s="1"/>
  <c r="DW94" i="30"/>
  <c r="DV25" i="30"/>
  <c r="DW8" i="30" s="1"/>
  <c r="DV93" i="30"/>
  <c r="CD86" i="30"/>
  <c r="CD35" i="30" s="1"/>
  <c r="CE18" i="30" s="1"/>
  <c r="CE103" i="30" s="1"/>
  <c r="CD82" i="30"/>
  <c r="CD31" i="30" s="1"/>
  <c r="CE14" i="30" s="1"/>
  <c r="CE99" i="30" s="1"/>
  <c r="CE72" i="30" s="1"/>
  <c r="CE21" i="30" s="1"/>
  <c r="CF4" i="30" s="1"/>
  <c r="CF89" i="30" s="1"/>
  <c r="CF78" i="30" s="1"/>
  <c r="CD71" i="30"/>
  <c r="CD20" i="30" s="1"/>
  <c r="CE3" i="30" s="1"/>
  <c r="CE88" i="30" s="1"/>
  <c r="CD74" i="30"/>
  <c r="CD23" i="30" s="1"/>
  <c r="CE6" i="30" s="1"/>
  <c r="CE91" i="30" s="1"/>
  <c r="CD81" i="30"/>
  <c r="CD30" i="30" s="1"/>
  <c r="CE13" i="30" s="1"/>
  <c r="CE98" i="30" s="1"/>
  <c r="CD80" i="30"/>
  <c r="CD29" i="30" s="1"/>
  <c r="CE12" i="30" s="1"/>
  <c r="CE97" i="30" s="1"/>
  <c r="CD75" i="30"/>
  <c r="CD24" i="30" s="1"/>
  <c r="CE7" i="30" s="1"/>
  <c r="CE92" i="30" s="1"/>
  <c r="CF27" i="30" l="1"/>
  <c r="CG10" i="30" s="1"/>
  <c r="CG95" i="30" s="1"/>
  <c r="CE73" i="30"/>
  <c r="CE22" i="30" s="1"/>
  <c r="CF5" i="30" s="1"/>
  <c r="CF90" i="30" s="1"/>
  <c r="CF81" i="30" s="1"/>
  <c r="DX104" i="30"/>
  <c r="DX36" i="30"/>
  <c r="DY19" i="30" s="1"/>
  <c r="DX102" i="30"/>
  <c r="DX83" i="30" s="1"/>
  <c r="DX34" i="30"/>
  <c r="DY17" i="30" s="1"/>
  <c r="DW33" i="30"/>
  <c r="DX16" i="30" s="1"/>
  <c r="DW101" i="30"/>
  <c r="DW100" i="30"/>
  <c r="DW79" i="30" s="1"/>
  <c r="DW28" i="30" s="1"/>
  <c r="DX11" i="30" s="1"/>
  <c r="DX96" i="30" s="1"/>
  <c r="DW32" i="30"/>
  <c r="DX15" i="30" s="1"/>
  <c r="CE80" i="30"/>
  <c r="CE29" i="30" s="1"/>
  <c r="CF12" i="30" s="1"/>
  <c r="CF97" i="30" s="1"/>
  <c r="DX94" i="30"/>
  <c r="DX26" i="30"/>
  <c r="DY9" i="30" s="1"/>
  <c r="DW25" i="30"/>
  <c r="DX8" i="30" s="1"/>
  <c r="DW93" i="30"/>
  <c r="CE74" i="30"/>
  <c r="CE23" i="30" s="1"/>
  <c r="CF6" i="30" s="1"/>
  <c r="CF91" i="30" s="1"/>
  <c r="CE71" i="30"/>
  <c r="CE20" i="30" s="1"/>
  <c r="CF3" i="30" s="1"/>
  <c r="CF88" i="30" s="1"/>
  <c r="CE86" i="30"/>
  <c r="CE35" i="30" s="1"/>
  <c r="CF18" i="30" s="1"/>
  <c r="CF103" i="30" s="1"/>
  <c r="CE82" i="30"/>
  <c r="CE31" i="30" s="1"/>
  <c r="CF14" i="30" s="1"/>
  <c r="CF99" i="30" s="1"/>
  <c r="CF72" i="30" s="1"/>
  <c r="CF21" i="30" s="1"/>
  <c r="CG4" i="30" s="1"/>
  <c r="CG89" i="30" s="1"/>
  <c r="CE75" i="30"/>
  <c r="CE24" i="30" s="1"/>
  <c r="CF7" i="30" s="1"/>
  <c r="CF92" i="30" s="1"/>
  <c r="CE30" i="30"/>
  <c r="CF13" i="30" s="1"/>
  <c r="CF98" i="30" s="1"/>
  <c r="DY104" i="30" l="1"/>
  <c r="DY36" i="30"/>
  <c r="DZ19" i="30" s="1"/>
  <c r="R255" i="30" s="1"/>
  <c r="DY34" i="30"/>
  <c r="DZ17" i="30" s="1"/>
  <c r="R245" i="30" s="1"/>
  <c r="DY102" i="30"/>
  <c r="DY83" i="30" s="1"/>
  <c r="DX101" i="30"/>
  <c r="DX33" i="30"/>
  <c r="DY16" i="30" s="1"/>
  <c r="DX100" i="30"/>
  <c r="DX79" i="30" s="1"/>
  <c r="DX28" i="30" s="1"/>
  <c r="DY11" i="30" s="1"/>
  <c r="DY96" i="30" s="1"/>
  <c r="DX32" i="30"/>
  <c r="DY15" i="30" s="1"/>
  <c r="CF86" i="30"/>
  <c r="CF35" i="30" s="1"/>
  <c r="CG18" i="30" s="1"/>
  <c r="CG103" i="30" s="1"/>
  <c r="DY94" i="30"/>
  <c r="DY26" i="30"/>
  <c r="DZ9" i="30" s="1"/>
  <c r="R205" i="30" s="1"/>
  <c r="CF75" i="30"/>
  <c r="CF24" i="30" s="1"/>
  <c r="CG7" i="30" s="1"/>
  <c r="CG92" i="30" s="1"/>
  <c r="DX25" i="30"/>
  <c r="DY8" i="30" s="1"/>
  <c r="DX93" i="30"/>
  <c r="CF80" i="30"/>
  <c r="CF29" i="30" s="1"/>
  <c r="CG12" i="30" s="1"/>
  <c r="CG97" i="30" s="1"/>
  <c r="CF73" i="30"/>
  <c r="CF22" i="30" s="1"/>
  <c r="CG5" i="30" s="1"/>
  <c r="CG90" i="30" s="1"/>
  <c r="CG81" i="30" s="1"/>
  <c r="CF71" i="30"/>
  <c r="CF20" i="30" s="1"/>
  <c r="CG3" i="30" s="1"/>
  <c r="CG88" i="30" s="1"/>
  <c r="CF30" i="30"/>
  <c r="CG13" i="30" s="1"/>
  <c r="CG98" i="30" s="1"/>
  <c r="CF74" i="30"/>
  <c r="CF23" i="30" s="1"/>
  <c r="CG6" i="30" s="1"/>
  <c r="CG91" i="30" s="1"/>
  <c r="CG78" i="30"/>
  <c r="CG27" i="30" s="1"/>
  <c r="CH10" i="30" s="1"/>
  <c r="CH95" i="30" s="1"/>
  <c r="CF82" i="30"/>
  <c r="CF31" i="30" s="1"/>
  <c r="CG14" i="30" s="1"/>
  <c r="CG99" i="30" s="1"/>
  <c r="CG72" i="30" s="1"/>
  <c r="CG21" i="30" s="1"/>
  <c r="CH4" i="30" s="1"/>
  <c r="CH89" i="30" s="1"/>
  <c r="CG82" i="30" l="1"/>
  <c r="CG31" i="30" s="1"/>
  <c r="CH14" i="30" s="1"/>
  <c r="CH99" i="30" s="1"/>
  <c r="CG30" i="30"/>
  <c r="CH13" i="30" s="1"/>
  <c r="CH98" i="30" s="1"/>
  <c r="DZ36" i="30"/>
  <c r="EA19" i="30" s="1"/>
  <c r="DZ104" i="30"/>
  <c r="DZ102" i="30"/>
  <c r="DZ83" i="30" s="1"/>
  <c r="DZ34" i="30"/>
  <c r="EA17" i="30" s="1"/>
  <c r="DY101" i="30"/>
  <c r="DY33" i="30"/>
  <c r="DZ16" i="30" s="1"/>
  <c r="R240" i="30" s="1"/>
  <c r="DY100" i="30"/>
  <c r="DY79" i="30" s="1"/>
  <c r="DY28" i="30" s="1"/>
  <c r="DZ11" i="30" s="1"/>
  <c r="R215" i="30" s="1"/>
  <c r="DY32" i="30"/>
  <c r="DZ15" i="30" s="1"/>
  <c r="R235" i="30" s="1"/>
  <c r="DZ94" i="30"/>
  <c r="DZ26" i="30"/>
  <c r="EA9" i="30" s="1"/>
  <c r="CG80" i="30"/>
  <c r="CG29" i="30" s="1"/>
  <c r="CH12" i="30" s="1"/>
  <c r="CH97" i="30" s="1"/>
  <c r="DY25" i="30"/>
  <c r="DZ8" i="30" s="1"/>
  <c r="R200" i="30" s="1"/>
  <c r="DY93" i="30"/>
  <c r="CG71" i="30"/>
  <c r="CG20" i="30" s="1"/>
  <c r="CH3" i="30" s="1"/>
  <c r="CH88" i="30" s="1"/>
  <c r="CG86" i="30"/>
  <c r="CG35" i="30" s="1"/>
  <c r="CH18" i="30" s="1"/>
  <c r="CH103" i="30" s="1"/>
  <c r="CG74" i="30"/>
  <c r="CG23" i="30" s="1"/>
  <c r="CH6" i="30" s="1"/>
  <c r="CH91" i="30" s="1"/>
  <c r="CH78" i="30"/>
  <c r="CH27" i="30" s="1"/>
  <c r="CI10" i="30" s="1"/>
  <c r="CI95" i="30" s="1"/>
  <c r="CG73" i="30"/>
  <c r="CG22" i="30" s="1"/>
  <c r="CH5" i="30" s="1"/>
  <c r="CH90" i="30" s="1"/>
  <c r="CG75" i="30"/>
  <c r="CG24" i="30" s="1"/>
  <c r="CH7" i="30" s="1"/>
  <c r="CH92" i="30" s="1"/>
  <c r="DZ96" i="30" l="1"/>
  <c r="CH71" i="30"/>
  <c r="CH20" i="30" s="1"/>
  <c r="CI3" i="30" s="1"/>
  <c r="CI88" i="30" s="1"/>
  <c r="CH72" i="30"/>
  <c r="CH21" i="30" s="1"/>
  <c r="CI4" i="30" s="1"/>
  <c r="CI89" i="30" s="1"/>
  <c r="CI78" i="30" s="1"/>
  <c r="CI27" i="30" s="1"/>
  <c r="CJ10" i="30" s="1"/>
  <c r="CJ95" i="30" s="1"/>
  <c r="CH73" i="30"/>
  <c r="CH22" i="30" s="1"/>
  <c r="CI5" i="30" s="1"/>
  <c r="CI90" i="30" s="1"/>
  <c r="CH82" i="30"/>
  <c r="CH31" i="30" s="1"/>
  <c r="CI14" i="30" s="1"/>
  <c r="CI99" i="30" s="1"/>
  <c r="CI72" i="30" s="1"/>
  <c r="EA104" i="30"/>
  <c r="EA36" i="30"/>
  <c r="EB19" i="30" s="1"/>
  <c r="EA34" i="30"/>
  <c r="EB17" i="30" s="1"/>
  <c r="EA102" i="30"/>
  <c r="EA83" i="30" s="1"/>
  <c r="DZ33" i="30"/>
  <c r="EA16" i="30" s="1"/>
  <c r="DZ101" i="30"/>
  <c r="DZ100" i="30"/>
  <c r="DZ79" i="30" s="1"/>
  <c r="DZ28" i="30" s="1"/>
  <c r="EA11" i="30" s="1"/>
  <c r="EA96" i="30" s="1"/>
  <c r="DZ32" i="30"/>
  <c r="EA15" i="30" s="1"/>
  <c r="EA94" i="30"/>
  <c r="EA26" i="30"/>
  <c r="EB9" i="30" s="1"/>
  <c r="DZ25" i="30"/>
  <c r="EA8" i="30" s="1"/>
  <c r="DZ93" i="30"/>
  <c r="CH86" i="30"/>
  <c r="CH35" i="30" s="1"/>
  <c r="CI18" i="30" s="1"/>
  <c r="CI103" i="30" s="1"/>
  <c r="CH80" i="30"/>
  <c r="CH29" i="30" s="1"/>
  <c r="CI12" i="30" s="1"/>
  <c r="CI97" i="30" s="1"/>
  <c r="CH75" i="30"/>
  <c r="CH24" i="30" s="1"/>
  <c r="CI7" i="30" s="1"/>
  <c r="CI92" i="30" s="1"/>
  <c r="CH81" i="30"/>
  <c r="CH30" i="30" s="1"/>
  <c r="CI13" i="30" s="1"/>
  <c r="CI98" i="30" s="1"/>
  <c r="CH74" i="30"/>
  <c r="CH23" i="30" s="1"/>
  <c r="CI6" i="30" s="1"/>
  <c r="CI91" i="30" s="1"/>
  <c r="CI21" i="30" l="1"/>
  <c r="CJ4" i="30" s="1"/>
  <c r="CJ89" i="30" s="1"/>
  <c r="CJ78" i="30" s="1"/>
  <c r="CJ27" i="30" s="1"/>
  <c r="CK10" i="30" s="1"/>
  <c r="CK95" i="30" s="1"/>
  <c r="CI73" i="30"/>
  <c r="CI22" i="30" s="1"/>
  <c r="CJ5" i="30" s="1"/>
  <c r="CJ90" i="30" s="1"/>
  <c r="CJ81" i="30" s="1"/>
  <c r="EB36" i="30"/>
  <c r="EC19" i="30" s="1"/>
  <c r="EB104" i="30"/>
  <c r="EB34" i="30"/>
  <c r="EC17" i="30" s="1"/>
  <c r="EB102" i="30"/>
  <c r="EB83" i="30" s="1"/>
  <c r="EA33" i="30"/>
  <c r="EB16" i="30" s="1"/>
  <c r="EA101" i="30"/>
  <c r="EA100" i="30"/>
  <c r="EA79" i="30" s="1"/>
  <c r="EA28" i="30" s="1"/>
  <c r="EB11" i="30" s="1"/>
  <c r="EB96" i="30" s="1"/>
  <c r="EA32" i="30"/>
  <c r="EB15" i="30" s="1"/>
  <c r="EB94" i="30"/>
  <c r="EB26" i="30"/>
  <c r="EC9" i="30" s="1"/>
  <c r="EA25" i="30"/>
  <c r="EB8" i="30" s="1"/>
  <c r="EA93" i="30"/>
  <c r="CI81" i="30"/>
  <c r="CI30" i="30" s="1"/>
  <c r="CJ13" i="30" s="1"/>
  <c r="CJ98" i="30" s="1"/>
  <c r="CI74" i="30"/>
  <c r="CI23" i="30" s="1"/>
  <c r="CJ6" i="30" s="1"/>
  <c r="CJ91" i="30" s="1"/>
  <c r="CI71" i="30"/>
  <c r="CI20" i="30" s="1"/>
  <c r="CJ3" i="30" s="1"/>
  <c r="CJ88" i="30" s="1"/>
  <c r="CI75" i="30"/>
  <c r="CI24" i="30" s="1"/>
  <c r="CJ7" i="30" s="1"/>
  <c r="CJ92" i="30" s="1"/>
  <c r="CI86" i="30"/>
  <c r="CI35" i="30" s="1"/>
  <c r="CJ18" i="30" s="1"/>
  <c r="CJ103" i="30" s="1"/>
  <c r="CI82" i="30"/>
  <c r="CI31" i="30" s="1"/>
  <c r="CJ14" i="30" s="1"/>
  <c r="CJ99" i="30" s="1"/>
  <c r="CJ72" i="30" s="1"/>
  <c r="CI80" i="30"/>
  <c r="CI29" i="30" s="1"/>
  <c r="CJ12" i="30" s="1"/>
  <c r="CJ97" i="30" s="1"/>
  <c r="CJ21" i="30" l="1"/>
  <c r="CK4" i="30" s="1"/>
  <c r="CK89" i="30" s="1"/>
  <c r="CK78" i="30" s="1"/>
  <c r="CK27" i="30" s="1"/>
  <c r="CL10" i="30" s="1"/>
  <c r="M210" i="30" s="1"/>
  <c r="CJ71" i="30"/>
  <c r="CJ20" i="30" s="1"/>
  <c r="CK3" i="30" s="1"/>
  <c r="CK88" i="30" s="1"/>
  <c r="EC104" i="30"/>
  <c r="EC36" i="30"/>
  <c r="ED19" i="30" s="1"/>
  <c r="CJ75" i="30"/>
  <c r="CJ24" i="30" s="1"/>
  <c r="CK7" i="30" s="1"/>
  <c r="CK92" i="30" s="1"/>
  <c r="EC102" i="30"/>
  <c r="EC83" i="30" s="1"/>
  <c r="EC34" i="30"/>
  <c r="ED17" i="30" s="1"/>
  <c r="EB101" i="30"/>
  <c r="EB33" i="30"/>
  <c r="EC16" i="30" s="1"/>
  <c r="EB100" i="30"/>
  <c r="EB79" i="30" s="1"/>
  <c r="EB28" i="30" s="1"/>
  <c r="EC11" i="30" s="1"/>
  <c r="EC96" i="30" s="1"/>
  <c r="EB32" i="30"/>
  <c r="EC15" i="30" s="1"/>
  <c r="EC94" i="30"/>
  <c r="EC26" i="30"/>
  <c r="ED9" i="30" s="1"/>
  <c r="EB25" i="30"/>
  <c r="EC8" i="30" s="1"/>
  <c r="EB93" i="30"/>
  <c r="CJ74" i="30"/>
  <c r="CJ23" i="30" s="1"/>
  <c r="CK6" i="30" s="1"/>
  <c r="CK91" i="30" s="1"/>
  <c r="CJ73" i="30"/>
  <c r="CJ22" i="30" s="1"/>
  <c r="CK5" i="30" s="1"/>
  <c r="CK90" i="30" s="1"/>
  <c r="CJ30" i="30"/>
  <c r="CK13" i="30" s="1"/>
  <c r="CK98" i="30" s="1"/>
  <c r="CJ86" i="30"/>
  <c r="CJ35" i="30" s="1"/>
  <c r="CK18" i="30" s="1"/>
  <c r="CK103" i="30" s="1"/>
  <c r="CJ82" i="30"/>
  <c r="CJ31" i="30" s="1"/>
  <c r="CK14" i="30" s="1"/>
  <c r="CK99" i="30" s="1"/>
  <c r="CK72" i="30" s="1"/>
  <c r="CJ80" i="30"/>
  <c r="CJ29" i="30" s="1"/>
  <c r="CK12" i="30" s="1"/>
  <c r="CK97" i="30" s="1"/>
  <c r="CK21" i="30" l="1"/>
  <c r="CL4" i="30" s="1"/>
  <c r="M180" i="30" s="1"/>
  <c r="CK80" i="30"/>
  <c r="CK29" i="30" s="1"/>
  <c r="CL12" i="30" s="1"/>
  <c r="M220" i="30" s="1"/>
  <c r="ED104" i="30"/>
  <c r="ED36" i="30"/>
  <c r="EE19" i="30" s="1"/>
  <c r="ED102" i="30"/>
  <c r="ED83" i="30" s="1"/>
  <c r="ED34" i="30"/>
  <c r="EE17" i="30" s="1"/>
  <c r="EC33" i="30"/>
  <c r="ED16" i="30" s="1"/>
  <c r="EC101" i="30"/>
  <c r="EC100" i="30"/>
  <c r="EC79" i="30" s="1"/>
  <c r="EC28" i="30" s="1"/>
  <c r="ED11" i="30" s="1"/>
  <c r="ED96" i="30" s="1"/>
  <c r="EC32" i="30"/>
  <c r="ED15" i="30" s="1"/>
  <c r="ED94" i="30"/>
  <c r="ED26" i="30"/>
  <c r="EE9" i="30" s="1"/>
  <c r="CK82" i="30"/>
  <c r="CK31" i="30" s="1"/>
  <c r="CL14" i="30" s="1"/>
  <c r="M230" i="30" s="1"/>
  <c r="EC25" i="30"/>
  <c r="ED8" i="30" s="1"/>
  <c r="EC93" i="30"/>
  <c r="CK86" i="30"/>
  <c r="CK35" i="30" s="1"/>
  <c r="CL18" i="30" s="1"/>
  <c r="M250" i="30" s="1"/>
  <c r="CK71" i="30"/>
  <c r="CK20" i="30" s="1"/>
  <c r="CL3" i="30" s="1"/>
  <c r="M175" i="30" s="1"/>
  <c r="CK81" i="30"/>
  <c r="CK30" i="30" s="1"/>
  <c r="CL13" i="30" s="1"/>
  <c r="M225" i="30" s="1"/>
  <c r="CK74" i="30"/>
  <c r="CK23" i="30" s="1"/>
  <c r="CL6" i="30" s="1"/>
  <c r="M190" i="30" s="1"/>
  <c r="CK73" i="30"/>
  <c r="CK22" i="30" s="1"/>
  <c r="CL5" i="30" s="1"/>
  <c r="M185" i="30" s="1"/>
  <c r="CL95" i="30"/>
  <c r="M285" i="30"/>
  <c r="CK75" i="30"/>
  <c r="CK24" i="30" s="1"/>
  <c r="CL7" i="30" s="1"/>
  <c r="M195" i="30" s="1"/>
  <c r="CL99" i="30" l="1"/>
  <c r="CL72" i="30" s="1"/>
  <c r="CL21" i="30" s="1"/>
  <c r="CM4" i="30" s="1"/>
  <c r="CM89" i="30" s="1"/>
  <c r="CM78" i="30" s="1"/>
  <c r="M279" i="30"/>
  <c r="CL89" i="30"/>
  <c r="CL78" i="30" s="1"/>
  <c r="CL27" i="30" s="1"/>
  <c r="CM10" i="30" s="1"/>
  <c r="CM95" i="30" s="1"/>
  <c r="EE104" i="30"/>
  <c r="EE36" i="30"/>
  <c r="EF19" i="30" s="1"/>
  <c r="EE34" i="30"/>
  <c r="EF17" i="30" s="1"/>
  <c r="EE102" i="30"/>
  <c r="EE83" i="30" s="1"/>
  <c r="ED33" i="30"/>
  <c r="EE16" i="30" s="1"/>
  <c r="ED101" i="30"/>
  <c r="ED100" i="30"/>
  <c r="ED79" i="30" s="1"/>
  <c r="ED28" i="30" s="1"/>
  <c r="EE11" i="30" s="1"/>
  <c r="EE96" i="30" s="1"/>
  <c r="ED32" i="30"/>
  <c r="EE15" i="30" s="1"/>
  <c r="EE94" i="30"/>
  <c r="EE26" i="30"/>
  <c r="EF9" i="30" s="1"/>
  <c r="ED25" i="30"/>
  <c r="EE8" i="30" s="1"/>
  <c r="ED93" i="30"/>
  <c r="M289" i="30"/>
  <c r="CL103" i="30"/>
  <c r="M293" i="30"/>
  <c r="CL98" i="30"/>
  <c r="M288" i="30"/>
  <c r="CL88" i="30"/>
  <c r="M278" i="30"/>
  <c r="CL92" i="30"/>
  <c r="M282" i="30"/>
  <c r="M287" i="30"/>
  <c r="CL97" i="30"/>
  <c r="CL90" i="30"/>
  <c r="M280" i="30"/>
  <c r="CL91" i="30"/>
  <c r="M281" i="30"/>
  <c r="M277" i="30" l="1"/>
  <c r="CL73" i="30"/>
  <c r="CL22" i="30" s="1"/>
  <c r="CM5" i="30" s="1"/>
  <c r="CM90" i="30" s="1"/>
  <c r="CM81" i="30" s="1"/>
  <c r="CL80" i="30"/>
  <c r="CL29" i="30" s="1"/>
  <c r="CM12" i="30" s="1"/>
  <c r="CM97" i="30" s="1"/>
  <c r="EF36" i="30"/>
  <c r="EG19" i="30" s="1"/>
  <c r="EF104" i="30"/>
  <c r="EF34" i="30"/>
  <c r="EG17" i="30" s="1"/>
  <c r="EF102" i="30"/>
  <c r="EF83" i="30" s="1"/>
  <c r="EE101" i="30"/>
  <c r="EE33" i="30"/>
  <c r="EF16" i="30" s="1"/>
  <c r="EE100" i="30"/>
  <c r="EE79" i="30" s="1"/>
  <c r="EE28" i="30" s="1"/>
  <c r="EF11" i="30" s="1"/>
  <c r="EF96" i="30" s="1"/>
  <c r="EE32" i="30"/>
  <c r="EF15" i="30" s="1"/>
  <c r="EF26" i="30"/>
  <c r="EG9" i="30" s="1"/>
  <c r="EF94" i="30"/>
  <c r="EE93" i="30"/>
  <c r="EE25" i="30"/>
  <c r="EF8" i="30" s="1"/>
  <c r="CM27" i="30"/>
  <c r="CN10" i="30" s="1"/>
  <c r="CN95" i="30" s="1"/>
  <c r="CL71" i="30"/>
  <c r="CL20" i="30" s="1"/>
  <c r="CM3" i="30" s="1"/>
  <c r="CM88" i="30" s="1"/>
  <c r="CL75" i="30"/>
  <c r="CL24" i="30" s="1"/>
  <c r="CM7" i="30" s="1"/>
  <c r="CM92" i="30" s="1"/>
  <c r="CL86" i="30"/>
  <c r="CL35" i="30" s="1"/>
  <c r="CM18" i="30" s="1"/>
  <c r="CM103" i="30" s="1"/>
  <c r="CL81" i="30"/>
  <c r="CL30" i="30" s="1"/>
  <c r="CM13" i="30" s="1"/>
  <c r="CM98" i="30" s="1"/>
  <c r="CL74" i="30"/>
  <c r="CL23" i="30" s="1"/>
  <c r="CM6" i="30" s="1"/>
  <c r="CM91" i="30" s="1"/>
  <c r="CL82" i="30"/>
  <c r="CL31" i="30" s="1"/>
  <c r="CM14" i="30" s="1"/>
  <c r="CM99" i="30" s="1"/>
  <c r="CM72" i="30" s="1"/>
  <c r="CM21" i="30" s="1"/>
  <c r="CN4" i="30" s="1"/>
  <c r="CN89" i="30" s="1"/>
  <c r="CM30" i="30" l="1"/>
  <c r="CN13" i="30" s="1"/>
  <c r="CN98" i="30" s="1"/>
  <c r="EG104" i="30"/>
  <c r="EG36" i="30"/>
  <c r="EH19" i="30" s="1"/>
  <c r="S255" i="30" s="1"/>
  <c r="EG34" i="30"/>
  <c r="EH17" i="30" s="1"/>
  <c r="S245" i="30" s="1"/>
  <c r="EG102" i="30"/>
  <c r="EG83" i="30" s="1"/>
  <c r="EF101" i="30"/>
  <c r="EF33" i="30"/>
  <c r="EG16" i="30" s="1"/>
  <c r="EF100" i="30"/>
  <c r="EF79" i="30" s="1"/>
  <c r="EF28" i="30" s="1"/>
  <c r="EG11" i="30" s="1"/>
  <c r="EG96" i="30" s="1"/>
  <c r="EF32" i="30"/>
  <c r="EG15" i="30" s="1"/>
  <c r="CM80" i="30"/>
  <c r="CM29" i="30" s="1"/>
  <c r="CN12" i="30" s="1"/>
  <c r="CN97" i="30" s="1"/>
  <c r="EG94" i="30"/>
  <c r="EG26" i="30"/>
  <c r="EH9" i="30" s="1"/>
  <c r="S205" i="30" s="1"/>
  <c r="EF25" i="30"/>
  <c r="EG8" i="30" s="1"/>
  <c r="EF93" i="30"/>
  <c r="CM74" i="30"/>
  <c r="CM23" i="30" s="1"/>
  <c r="CN6" i="30" s="1"/>
  <c r="CN91" i="30" s="1"/>
  <c r="CN78" i="30"/>
  <c r="CN27" i="30" s="1"/>
  <c r="CO10" i="30" s="1"/>
  <c r="CO95" i="30" s="1"/>
  <c r="CM86" i="30"/>
  <c r="CM35" i="30" s="1"/>
  <c r="CN18" i="30" s="1"/>
  <c r="CN103" i="30" s="1"/>
  <c r="CM82" i="30"/>
  <c r="CM31" i="30" s="1"/>
  <c r="CN14" i="30" s="1"/>
  <c r="CN99" i="30" s="1"/>
  <c r="CN72" i="30" s="1"/>
  <c r="CN21" i="30" s="1"/>
  <c r="CO4" i="30" s="1"/>
  <c r="CO89" i="30" s="1"/>
  <c r="CM75" i="30"/>
  <c r="CM24" i="30" s="1"/>
  <c r="CN7" i="30" s="1"/>
  <c r="CN92" i="30" s="1"/>
  <c r="CM73" i="30"/>
  <c r="CM22" i="30" s="1"/>
  <c r="CN5" i="30" s="1"/>
  <c r="CN90" i="30" s="1"/>
  <c r="CM71" i="30"/>
  <c r="CM20" i="30" s="1"/>
  <c r="CN3" i="30" s="1"/>
  <c r="CN88" i="30" s="1"/>
  <c r="CN82" i="30" l="1"/>
  <c r="CN31" i="30" s="1"/>
  <c r="CO14" i="30" s="1"/>
  <c r="CO99" i="30" s="1"/>
  <c r="CO72" i="30" s="1"/>
  <c r="CO21" i="30" s="1"/>
  <c r="CP4" i="30" s="1"/>
  <c r="CP89" i="30" s="1"/>
  <c r="CN86" i="30"/>
  <c r="CN35" i="30" s="1"/>
  <c r="CO18" i="30" s="1"/>
  <c r="CO103" i="30" s="1"/>
  <c r="EH36" i="30"/>
  <c r="EI19" i="30" s="1"/>
  <c r="EH104" i="30"/>
  <c r="EH34" i="30"/>
  <c r="EI17" i="30" s="1"/>
  <c r="EH102" i="30"/>
  <c r="EH83" i="30" s="1"/>
  <c r="EG33" i="30"/>
  <c r="EH16" i="30" s="1"/>
  <c r="S240" i="30" s="1"/>
  <c r="EG101" i="30"/>
  <c r="EG100" i="30"/>
  <c r="EG79" i="30" s="1"/>
  <c r="EG28" i="30" s="1"/>
  <c r="EH11" i="30" s="1"/>
  <c r="S215" i="30" s="1"/>
  <c r="EG32" i="30"/>
  <c r="EH15" i="30" s="1"/>
  <c r="S235" i="30" s="1"/>
  <c r="EH94" i="30"/>
  <c r="EH26" i="30"/>
  <c r="EI9" i="30" s="1"/>
  <c r="EG93" i="30"/>
  <c r="EG25" i="30"/>
  <c r="EH8" i="30" s="1"/>
  <c r="S200" i="30" s="1"/>
  <c r="CN80" i="30"/>
  <c r="CN29" i="30" s="1"/>
  <c r="CO12" i="30" s="1"/>
  <c r="CO97" i="30" s="1"/>
  <c r="CO78" i="30"/>
  <c r="CO27" i="30" s="1"/>
  <c r="CP10" i="30" s="1"/>
  <c r="CP95" i="30" s="1"/>
  <c r="CN73" i="30"/>
  <c r="CN22" i="30" s="1"/>
  <c r="CO5" i="30" s="1"/>
  <c r="CO90" i="30" s="1"/>
  <c r="CN74" i="30"/>
  <c r="CN23" i="30" s="1"/>
  <c r="CO6" i="30" s="1"/>
  <c r="CO91" i="30" s="1"/>
  <c r="CN81" i="30"/>
  <c r="CN30" i="30" s="1"/>
  <c r="CO13" i="30" s="1"/>
  <c r="CO98" i="30" s="1"/>
  <c r="CN71" i="30"/>
  <c r="CN20" i="30" s="1"/>
  <c r="CO3" i="30" s="1"/>
  <c r="CO88" i="30" s="1"/>
  <c r="CN75" i="30"/>
  <c r="CN24" i="30" s="1"/>
  <c r="CO7" i="30" s="1"/>
  <c r="CO92" i="30" s="1"/>
  <c r="EI104" i="30" l="1"/>
  <c r="EI36" i="30"/>
  <c r="EJ19" i="30" s="1"/>
  <c r="EH96" i="30"/>
  <c r="EI102" i="30"/>
  <c r="EI83" i="30" s="1"/>
  <c r="EI34" i="30"/>
  <c r="EJ17" i="30" s="1"/>
  <c r="EH101" i="30"/>
  <c r="EH33" i="30"/>
  <c r="EI16" i="30" s="1"/>
  <c r="EH100" i="30"/>
  <c r="EH79" i="30" s="1"/>
  <c r="EH28" i="30" s="1"/>
  <c r="EI11" i="30" s="1"/>
  <c r="EI96" i="30" s="1"/>
  <c r="EH32" i="30"/>
  <c r="EI15" i="30" s="1"/>
  <c r="EI94" i="30"/>
  <c r="EI26" i="30"/>
  <c r="EJ9" i="30" s="1"/>
  <c r="EH93" i="30"/>
  <c r="EH25" i="30"/>
  <c r="EI8" i="30" s="1"/>
  <c r="CO71" i="30"/>
  <c r="CO20" i="30" s="1"/>
  <c r="CP3" i="30" s="1"/>
  <c r="CP88" i="30" s="1"/>
  <c r="CO73" i="30"/>
  <c r="CO22" i="30" s="1"/>
  <c r="CP5" i="30" s="1"/>
  <c r="CP90" i="30" s="1"/>
  <c r="CP81" i="30" s="1"/>
  <c r="CP78" i="30"/>
  <c r="CP27" i="30" s="1"/>
  <c r="CQ10" i="30" s="1"/>
  <c r="CQ95" i="30" s="1"/>
  <c r="CO86" i="30"/>
  <c r="CO35" i="30" s="1"/>
  <c r="CP18" i="30" s="1"/>
  <c r="CP103" i="30" s="1"/>
  <c r="CO82" i="30"/>
  <c r="CO31" i="30" s="1"/>
  <c r="CP14" i="30" s="1"/>
  <c r="CP99" i="30" s="1"/>
  <c r="CP72" i="30" s="1"/>
  <c r="CP21" i="30" s="1"/>
  <c r="CQ4" i="30" s="1"/>
  <c r="CQ89" i="30" s="1"/>
  <c r="CO80" i="30"/>
  <c r="CO29" i="30" s="1"/>
  <c r="CP12" i="30" s="1"/>
  <c r="CP97" i="30" s="1"/>
  <c r="CO75" i="30"/>
  <c r="CO24" i="30" s="1"/>
  <c r="CP7" i="30" s="1"/>
  <c r="CP92" i="30" s="1"/>
  <c r="CO74" i="30"/>
  <c r="CO23" i="30" s="1"/>
  <c r="CP6" i="30" s="1"/>
  <c r="CP91" i="30" s="1"/>
  <c r="CO81" i="30"/>
  <c r="CO30" i="30" s="1"/>
  <c r="CP13" i="30" s="1"/>
  <c r="CP98" i="30" s="1"/>
  <c r="CP73" i="30" l="1"/>
  <c r="CP22" i="30" s="1"/>
  <c r="CQ5" i="30" s="1"/>
  <c r="CQ90" i="30" s="1"/>
  <c r="CQ81" i="30" s="1"/>
  <c r="EJ36" i="30"/>
  <c r="EK19" i="30" s="1"/>
  <c r="EJ104" i="30"/>
  <c r="EJ102" i="30"/>
  <c r="EJ83" i="30" s="1"/>
  <c r="EJ34" i="30"/>
  <c r="EK17" i="30" s="1"/>
  <c r="EI101" i="30"/>
  <c r="EI33" i="30"/>
  <c r="EJ16" i="30" s="1"/>
  <c r="EI100" i="30"/>
  <c r="EI79" i="30" s="1"/>
  <c r="EI28" i="30" s="1"/>
  <c r="EJ11" i="30" s="1"/>
  <c r="EJ96" i="30" s="1"/>
  <c r="EI32" i="30"/>
  <c r="EJ15" i="30" s="1"/>
  <c r="EJ94" i="30"/>
  <c r="EJ26" i="30"/>
  <c r="EK9" i="30" s="1"/>
  <c r="CP75" i="30"/>
  <c r="CP24" i="30" s="1"/>
  <c r="CQ7" i="30" s="1"/>
  <c r="CQ92" i="30" s="1"/>
  <c r="CP80" i="30"/>
  <c r="CP29" i="30" s="1"/>
  <c r="CQ12" i="30" s="1"/>
  <c r="CQ97" i="30" s="1"/>
  <c r="EI25" i="30"/>
  <c r="EJ8" i="30" s="1"/>
  <c r="EI93" i="30"/>
  <c r="CP74" i="30"/>
  <c r="CP23" i="30" s="1"/>
  <c r="CQ6" i="30" s="1"/>
  <c r="CQ91" i="30" s="1"/>
  <c r="CP71" i="30"/>
  <c r="CP20" i="30" s="1"/>
  <c r="CQ3" i="30" s="1"/>
  <c r="CQ88" i="30" s="1"/>
  <c r="CP82" i="30"/>
  <c r="CP31" i="30" s="1"/>
  <c r="CQ14" i="30" s="1"/>
  <c r="CQ99" i="30" s="1"/>
  <c r="CQ72" i="30" s="1"/>
  <c r="CQ21" i="30" s="1"/>
  <c r="CR4" i="30" s="1"/>
  <c r="CR89" i="30" s="1"/>
  <c r="CQ78" i="30"/>
  <c r="CQ27" i="30" s="1"/>
  <c r="CR10" i="30" s="1"/>
  <c r="CR95" i="30" s="1"/>
  <c r="CP86" i="30"/>
  <c r="CP35" i="30" s="1"/>
  <c r="CQ18" i="30" s="1"/>
  <c r="CQ103" i="30" s="1"/>
  <c r="CP30" i="30"/>
  <c r="CQ13" i="30" s="1"/>
  <c r="CQ98" i="30" s="1"/>
  <c r="CQ80" i="30" l="1"/>
  <c r="CQ29" i="30" s="1"/>
  <c r="CR12" i="30" s="1"/>
  <c r="CR97" i="30" s="1"/>
  <c r="EK36" i="30"/>
  <c r="EL19" i="30" s="1"/>
  <c r="EK104" i="30"/>
  <c r="EK34" i="30"/>
  <c r="EL17" i="30" s="1"/>
  <c r="EK102" i="30"/>
  <c r="EK83" i="30" s="1"/>
  <c r="EJ101" i="30"/>
  <c r="EJ33" i="30"/>
  <c r="EK16" i="30" s="1"/>
  <c r="EJ100" i="30"/>
  <c r="EJ79" i="30" s="1"/>
  <c r="EJ28" i="30" s="1"/>
  <c r="EK11" i="30" s="1"/>
  <c r="EK96" i="30" s="1"/>
  <c r="EJ32" i="30"/>
  <c r="EK15" i="30" s="1"/>
  <c r="EK26" i="30"/>
  <c r="EL9" i="30" s="1"/>
  <c r="EK94" i="30"/>
  <c r="CQ75" i="30"/>
  <c r="CQ24" i="30" s="1"/>
  <c r="CR7" i="30" s="1"/>
  <c r="CR92" i="30" s="1"/>
  <c r="EJ25" i="30"/>
  <c r="EK8" i="30" s="1"/>
  <c r="EJ93" i="30"/>
  <c r="CQ82" i="30"/>
  <c r="CQ31" i="30" s="1"/>
  <c r="CR14" i="30" s="1"/>
  <c r="CR99" i="30" s="1"/>
  <c r="CR72" i="30" s="1"/>
  <c r="CR21" i="30" s="1"/>
  <c r="CS4" i="30" s="1"/>
  <c r="CS89" i="30" s="1"/>
  <c r="CS78" i="30" s="1"/>
  <c r="CQ71" i="30"/>
  <c r="CQ20" i="30" s="1"/>
  <c r="CR3" i="30" s="1"/>
  <c r="CR88" i="30" s="1"/>
  <c r="CQ86" i="30"/>
  <c r="CQ35" i="30" s="1"/>
  <c r="CR18" i="30" s="1"/>
  <c r="CR103" i="30" s="1"/>
  <c r="CR78" i="30"/>
  <c r="CR27" i="30" s="1"/>
  <c r="CS10" i="30" s="1"/>
  <c r="CS95" i="30" s="1"/>
  <c r="CQ74" i="30"/>
  <c r="CQ23" i="30" s="1"/>
  <c r="CR6" i="30" s="1"/>
  <c r="CR91" i="30" s="1"/>
  <c r="CQ73" i="30"/>
  <c r="CQ22" i="30" s="1"/>
  <c r="CR5" i="30" s="1"/>
  <c r="CR90" i="30" s="1"/>
  <c r="CR81" i="30" s="1"/>
  <c r="CQ30" i="30"/>
  <c r="CR13" i="30" s="1"/>
  <c r="CR98" i="30" s="1"/>
  <c r="CR30" i="30" l="1"/>
  <c r="CS13" i="30" s="1"/>
  <c r="CS98" i="30" s="1"/>
  <c r="CR73" i="30"/>
  <c r="CR22" i="30" s="1"/>
  <c r="CS5" i="30" s="1"/>
  <c r="CS90" i="30" s="1"/>
  <c r="CS81" i="30" s="1"/>
  <c r="EL36" i="30"/>
  <c r="EM19" i="30" s="1"/>
  <c r="EL104" i="30"/>
  <c r="EL102" i="30"/>
  <c r="EL83" i="30" s="1"/>
  <c r="EL34" i="30"/>
  <c r="EM17" i="30" s="1"/>
  <c r="EK101" i="30"/>
  <c r="EK33" i="30"/>
  <c r="EL16" i="30" s="1"/>
  <c r="EK100" i="30"/>
  <c r="EK79" i="30" s="1"/>
  <c r="EK28" i="30" s="1"/>
  <c r="EL11" i="30" s="1"/>
  <c r="EL96" i="30" s="1"/>
  <c r="EK32" i="30"/>
  <c r="EL15" i="30" s="1"/>
  <c r="EL26" i="30"/>
  <c r="EM9" i="30" s="1"/>
  <c r="EL94" i="30"/>
  <c r="EK93" i="30"/>
  <c r="EK25" i="30"/>
  <c r="EL8" i="30" s="1"/>
  <c r="CR86" i="30"/>
  <c r="CR35" i="30" s="1"/>
  <c r="CS18" i="30" s="1"/>
  <c r="CS103" i="30" s="1"/>
  <c r="CR80" i="30"/>
  <c r="CR29" i="30" s="1"/>
  <c r="CS12" i="30" s="1"/>
  <c r="CS97" i="30" s="1"/>
  <c r="CR82" i="30"/>
  <c r="CR31" i="30" s="1"/>
  <c r="CS14" i="30" s="1"/>
  <c r="CS99" i="30" s="1"/>
  <c r="CS72" i="30" s="1"/>
  <c r="CS21" i="30" s="1"/>
  <c r="CT4" i="30" s="1"/>
  <c r="CR74" i="30"/>
  <c r="CR23" i="30" s="1"/>
  <c r="CS6" i="30" s="1"/>
  <c r="CS91" i="30" s="1"/>
  <c r="CR71" i="30"/>
  <c r="CR20" i="30" s="1"/>
  <c r="CS3" i="30" s="1"/>
  <c r="CS88" i="30" s="1"/>
  <c r="CR75" i="30"/>
  <c r="CR24" i="30" s="1"/>
  <c r="CS7" i="30" s="1"/>
  <c r="CS92" i="30" s="1"/>
  <c r="CS27" i="30"/>
  <c r="CT10" i="30" s="1"/>
  <c r="CS30" i="30" l="1"/>
  <c r="CT13" i="30" s="1"/>
  <c r="CT98" i="30" s="1"/>
  <c r="CS74" i="30"/>
  <c r="CS23" i="30" s="1"/>
  <c r="CT6" i="30" s="1"/>
  <c r="EM36" i="30"/>
  <c r="EN19" i="30" s="1"/>
  <c r="EM104" i="30"/>
  <c r="EM34" i="30"/>
  <c r="EN17" i="30" s="1"/>
  <c r="EM102" i="30"/>
  <c r="EM83" i="30" s="1"/>
  <c r="EL101" i="30"/>
  <c r="EL33" i="30"/>
  <c r="EM16" i="30" s="1"/>
  <c r="EL100" i="30"/>
  <c r="EL79" i="30" s="1"/>
  <c r="EL28" i="30" s="1"/>
  <c r="EM11" i="30" s="1"/>
  <c r="EM96" i="30" s="1"/>
  <c r="EL32" i="30"/>
  <c r="EM15" i="30" s="1"/>
  <c r="CS75" i="30"/>
  <c r="CS24" i="30" s="1"/>
  <c r="CT7" i="30" s="1"/>
  <c r="N282" i="30" s="1"/>
  <c r="CS71" i="30"/>
  <c r="CS20" i="30" s="1"/>
  <c r="CT3" i="30" s="1"/>
  <c r="N278" i="30" s="1"/>
  <c r="EM26" i="30"/>
  <c r="EN9" i="30" s="1"/>
  <c r="EM94" i="30"/>
  <c r="EL93" i="30"/>
  <c r="EL25" i="30"/>
  <c r="EM8" i="30" s="1"/>
  <c r="CS80" i="30"/>
  <c r="CS29" i="30" s="1"/>
  <c r="CT12" i="30" s="1"/>
  <c r="N285" i="30"/>
  <c r="CT95" i="30"/>
  <c r="CS86" i="30"/>
  <c r="CS35" i="30" s="1"/>
  <c r="CT18" i="30" s="1"/>
  <c r="CS82" i="30"/>
  <c r="CS31" i="30" s="1"/>
  <c r="CT14" i="30" s="1"/>
  <c r="CT89" i="30"/>
  <c r="N279" i="30"/>
  <c r="CS73" i="30"/>
  <c r="CS22" i="30" s="1"/>
  <c r="CT5" i="30" s="1"/>
  <c r="N288" i="30" l="1"/>
  <c r="N281" i="30"/>
  <c r="CT91" i="30"/>
  <c r="CT82" i="30" s="1"/>
  <c r="CT31" i="30" s="1"/>
  <c r="CU14" i="30" s="1"/>
  <c r="CU99" i="30" s="1"/>
  <c r="CU72" i="30" s="1"/>
  <c r="EN104" i="30"/>
  <c r="EN36" i="30"/>
  <c r="EO19" i="30" s="1"/>
  <c r="EN102" i="30"/>
  <c r="EN83" i="30" s="1"/>
  <c r="EN34" i="30"/>
  <c r="EO17" i="30" s="1"/>
  <c r="EM33" i="30"/>
  <c r="EN16" i="30" s="1"/>
  <c r="EM101" i="30"/>
  <c r="EM100" i="30"/>
  <c r="EM79" i="30" s="1"/>
  <c r="EM28" i="30" s="1"/>
  <c r="EN11" i="30" s="1"/>
  <c r="EN96" i="30" s="1"/>
  <c r="EM32" i="30"/>
  <c r="EN15" i="30" s="1"/>
  <c r="CT88" i="30"/>
  <c r="EN94" i="30"/>
  <c r="EN26" i="30"/>
  <c r="EO9" i="30" s="1"/>
  <c r="CT92" i="30"/>
  <c r="EM25" i="30"/>
  <c r="EN8" i="30" s="1"/>
  <c r="EM93" i="30"/>
  <c r="N280" i="30"/>
  <c r="CT90" i="30"/>
  <c r="N293" i="30"/>
  <c r="CT103" i="30"/>
  <c r="N287" i="30"/>
  <c r="CT97" i="30"/>
  <c r="CT78" i="30"/>
  <c r="CT27" i="30" s="1"/>
  <c r="CU10" i="30" s="1"/>
  <c r="CU95" i="30" s="1"/>
  <c r="CT99" i="30"/>
  <c r="CT72" i="30" s="1"/>
  <c r="CT21" i="30" s="1"/>
  <c r="CU4" i="30" s="1"/>
  <c r="CU89" i="30" s="1"/>
  <c r="N289" i="30"/>
  <c r="N277" i="30" l="1"/>
  <c r="EO104" i="30"/>
  <c r="EO36" i="30"/>
  <c r="EP19" i="30" s="1"/>
  <c r="T255" i="30" s="1"/>
  <c r="EO34" i="30"/>
  <c r="EP17" i="30" s="1"/>
  <c r="T245" i="30" s="1"/>
  <c r="EO102" i="30"/>
  <c r="EO83" i="30" s="1"/>
  <c r="EN33" i="30"/>
  <c r="EO16" i="30" s="1"/>
  <c r="EN101" i="30"/>
  <c r="EN100" i="30"/>
  <c r="EN79" i="30" s="1"/>
  <c r="EN28" i="30" s="1"/>
  <c r="EO11" i="30" s="1"/>
  <c r="EO96" i="30" s="1"/>
  <c r="EN32" i="30"/>
  <c r="EO15" i="30" s="1"/>
  <c r="CT86" i="30"/>
  <c r="CT35" i="30" s="1"/>
  <c r="CU18" i="30" s="1"/>
  <c r="CU103" i="30" s="1"/>
  <c r="CT71" i="30"/>
  <c r="CT20" i="30" s="1"/>
  <c r="CU3" i="30" s="1"/>
  <c r="CU88" i="30" s="1"/>
  <c r="EO26" i="30"/>
  <c r="EP9" i="30" s="1"/>
  <c r="T205" i="30" s="1"/>
  <c r="EO94" i="30"/>
  <c r="EN93" i="30"/>
  <c r="EN25" i="30"/>
  <c r="EO8" i="30" s="1"/>
  <c r="CT80" i="30"/>
  <c r="CT29" i="30" s="1"/>
  <c r="CU12" i="30" s="1"/>
  <c r="CU97" i="30" s="1"/>
  <c r="CU21" i="30"/>
  <c r="CV4" i="30" s="1"/>
  <c r="N180" i="30" s="1"/>
  <c r="CU78" i="30"/>
  <c r="CU27" i="30" s="1"/>
  <c r="CV10" i="30" s="1"/>
  <c r="N210" i="30" s="1"/>
  <c r="CT73" i="30"/>
  <c r="CT22" i="30" s="1"/>
  <c r="CU5" i="30" s="1"/>
  <c r="CU90" i="30" s="1"/>
  <c r="CT81" i="30"/>
  <c r="CT30" i="30" s="1"/>
  <c r="CU13" i="30" s="1"/>
  <c r="CU98" i="30" s="1"/>
  <c r="CU73" i="30" s="1"/>
  <c r="CT74" i="30"/>
  <c r="CT23" i="30" s="1"/>
  <c r="CU6" i="30" s="1"/>
  <c r="CU91" i="30" s="1"/>
  <c r="CT75" i="30"/>
  <c r="CT24" i="30" s="1"/>
  <c r="CU7" i="30" s="1"/>
  <c r="CU92" i="30" s="1"/>
  <c r="CV89" i="30" l="1"/>
  <c r="CV78" i="30" s="1"/>
  <c r="CV27" i="30" s="1"/>
  <c r="CW10" i="30" s="1"/>
  <c r="CW95" i="30" s="1"/>
  <c r="CU80" i="30"/>
  <c r="CU29" i="30" s="1"/>
  <c r="CV12" i="30" s="1"/>
  <c r="N220" i="30" s="1"/>
  <c r="CU22" i="30"/>
  <c r="CV5" i="30" s="1"/>
  <c r="N185" i="30" s="1"/>
  <c r="EP36" i="30"/>
  <c r="EQ19" i="30" s="1"/>
  <c r="EP104" i="30"/>
  <c r="EP102" i="30"/>
  <c r="EP83" i="30" s="1"/>
  <c r="EP34" i="30"/>
  <c r="EQ17" i="30" s="1"/>
  <c r="EO101" i="30"/>
  <c r="EO33" i="30"/>
  <c r="EP16" i="30" s="1"/>
  <c r="T240" i="30" s="1"/>
  <c r="EO100" i="30"/>
  <c r="EO79" i="30" s="1"/>
  <c r="EO28" i="30" s="1"/>
  <c r="EP11" i="30" s="1"/>
  <c r="T215" i="30" s="1"/>
  <c r="EO32" i="30"/>
  <c r="EP15" i="30" s="1"/>
  <c r="T235" i="30" s="1"/>
  <c r="EP94" i="30"/>
  <c r="EP26" i="30"/>
  <c r="EQ9" i="30" s="1"/>
  <c r="CU82" i="30"/>
  <c r="CU31" i="30" s="1"/>
  <c r="CV14" i="30" s="1"/>
  <c r="N230" i="30" s="1"/>
  <c r="EO93" i="30"/>
  <c r="EO25" i="30"/>
  <c r="EP8" i="30" s="1"/>
  <c r="T200" i="30" s="1"/>
  <c r="CU71" i="30"/>
  <c r="CU20" i="30" s="1"/>
  <c r="CV3" i="30" s="1"/>
  <c r="N175" i="30" s="1"/>
  <c r="CU74" i="30"/>
  <c r="CU23" i="30" s="1"/>
  <c r="CV6" i="30" s="1"/>
  <c r="N190" i="30" s="1"/>
  <c r="CU81" i="30"/>
  <c r="CU30" i="30" s="1"/>
  <c r="CV13" i="30" s="1"/>
  <c r="N225" i="30" s="1"/>
  <c r="CV95" i="30"/>
  <c r="CU86" i="30"/>
  <c r="CU35" i="30" s="1"/>
  <c r="CV18" i="30" s="1"/>
  <c r="N250" i="30" s="1"/>
  <c r="CU75" i="30"/>
  <c r="CU24" i="30" s="1"/>
  <c r="CV7" i="30" s="1"/>
  <c r="N195" i="30" s="1"/>
  <c r="CV90" i="30" l="1"/>
  <c r="CV81" i="30" s="1"/>
  <c r="CV30" i="30" s="1"/>
  <c r="CW13" i="30" s="1"/>
  <c r="CW98" i="30" s="1"/>
  <c r="CV97" i="30"/>
  <c r="CV99" i="30"/>
  <c r="CV72" i="30" s="1"/>
  <c r="CV21" i="30" s="1"/>
  <c r="CW4" i="30" s="1"/>
  <c r="CW89" i="30" s="1"/>
  <c r="CW78" i="30" s="1"/>
  <c r="CW27" i="30" s="1"/>
  <c r="CX10" i="30" s="1"/>
  <c r="CX95" i="30" s="1"/>
  <c r="EQ36" i="30"/>
  <c r="ER19" i="30" s="1"/>
  <c r="EQ104" i="30"/>
  <c r="EP96" i="30"/>
  <c r="EQ34" i="30"/>
  <c r="ER17" i="30" s="1"/>
  <c r="EQ102" i="30"/>
  <c r="EQ83" i="30" s="1"/>
  <c r="EP101" i="30"/>
  <c r="EP33" i="30"/>
  <c r="EQ16" i="30" s="1"/>
  <c r="EP100" i="30"/>
  <c r="EP79" i="30" s="1"/>
  <c r="EP28" i="30" s="1"/>
  <c r="EQ11" i="30" s="1"/>
  <c r="EQ96" i="30" s="1"/>
  <c r="EP32" i="30"/>
  <c r="EQ15" i="30" s="1"/>
  <c r="EQ26" i="30"/>
  <c r="ER9" i="30" s="1"/>
  <c r="EQ94" i="30"/>
  <c r="EP93" i="30"/>
  <c r="EP25" i="30"/>
  <c r="EQ8" i="30" s="1"/>
  <c r="CV92" i="30"/>
  <c r="CV98" i="30"/>
  <c r="CV91" i="30"/>
  <c r="CV88" i="30"/>
  <c r="CV103" i="30"/>
  <c r="CV73" i="30" l="1"/>
  <c r="CV22" i="30" s="1"/>
  <c r="CW5" i="30" s="1"/>
  <c r="CW90" i="30" s="1"/>
  <c r="CW81" i="30" s="1"/>
  <c r="CW30" i="30" s="1"/>
  <c r="CX13" i="30" s="1"/>
  <c r="CX98" i="30" s="1"/>
  <c r="CV74" i="30"/>
  <c r="CV23" i="30" s="1"/>
  <c r="CW6" i="30" s="1"/>
  <c r="CW91" i="30" s="1"/>
  <c r="CW82" i="30" s="1"/>
  <c r="ER104" i="30"/>
  <c r="ER36" i="30"/>
  <c r="ES19" i="30" s="1"/>
  <c r="ER34" i="30"/>
  <c r="ES17" i="30" s="1"/>
  <c r="ER102" i="30"/>
  <c r="ER83" i="30" s="1"/>
  <c r="EQ101" i="30"/>
  <c r="EQ33" i="30"/>
  <c r="ER16" i="30" s="1"/>
  <c r="EQ100" i="30"/>
  <c r="EQ79" i="30" s="1"/>
  <c r="EQ28" i="30" s="1"/>
  <c r="ER11" i="30" s="1"/>
  <c r="ER96" i="30" s="1"/>
  <c r="EQ32" i="30"/>
  <c r="ER15" i="30" s="1"/>
  <c r="ER26" i="30"/>
  <c r="ES9" i="30" s="1"/>
  <c r="ER94" i="30"/>
  <c r="EQ93" i="30"/>
  <c r="EQ25" i="30"/>
  <c r="ER8" i="30" s="1"/>
  <c r="CV71" i="30"/>
  <c r="CV20" i="30" s="1"/>
  <c r="CW3" i="30" s="1"/>
  <c r="CW88" i="30" s="1"/>
  <c r="CV86" i="30"/>
  <c r="CV35" i="30" s="1"/>
  <c r="CW18" i="30" s="1"/>
  <c r="CW103" i="30" s="1"/>
  <c r="CV82" i="30"/>
  <c r="CV31" i="30" s="1"/>
  <c r="CW14" i="30" s="1"/>
  <c r="CW99" i="30" s="1"/>
  <c r="CW72" i="30" s="1"/>
  <c r="CW21" i="30" s="1"/>
  <c r="CX4" i="30" s="1"/>
  <c r="CX89" i="30" s="1"/>
  <c r="CV80" i="30"/>
  <c r="CV29" i="30" s="1"/>
  <c r="CW12" i="30" s="1"/>
  <c r="CW97" i="30" s="1"/>
  <c r="CV75" i="30"/>
  <c r="CV24" i="30" s="1"/>
  <c r="CW7" i="30" s="1"/>
  <c r="CW92" i="30" s="1"/>
  <c r="CW71" i="30" l="1"/>
  <c r="CW20" i="30" s="1"/>
  <c r="CX3" i="30" s="1"/>
  <c r="CX88" i="30" s="1"/>
  <c r="CW75" i="30"/>
  <c r="CW24" i="30" s="1"/>
  <c r="CX7" i="30" s="1"/>
  <c r="CX92" i="30" s="1"/>
  <c r="ES104" i="30"/>
  <c r="ES36" i="30"/>
  <c r="ET19" i="30" s="1"/>
  <c r="ES102" i="30"/>
  <c r="ES83" i="30" s="1"/>
  <c r="ES34" i="30"/>
  <c r="ET17" i="30" s="1"/>
  <c r="ER101" i="30"/>
  <c r="ER33" i="30"/>
  <c r="ES16" i="30" s="1"/>
  <c r="ER100" i="30"/>
  <c r="ER79" i="30" s="1"/>
  <c r="ER28" i="30" s="1"/>
  <c r="ES11" i="30" s="1"/>
  <c r="ES96" i="30" s="1"/>
  <c r="ER32" i="30"/>
  <c r="ES15" i="30" s="1"/>
  <c r="ES26" i="30"/>
  <c r="ET9" i="30" s="1"/>
  <c r="ES94" i="30"/>
  <c r="ER93" i="30"/>
  <c r="ER25" i="30"/>
  <c r="ES8" i="30" s="1"/>
  <c r="CW86" i="30"/>
  <c r="CW35" i="30" s="1"/>
  <c r="CX18" i="30" s="1"/>
  <c r="CX103" i="30" s="1"/>
  <c r="CW80" i="30"/>
  <c r="CW29" i="30" s="1"/>
  <c r="CX12" i="30" s="1"/>
  <c r="CX97" i="30" s="1"/>
  <c r="CX78" i="30"/>
  <c r="CX27" i="30" s="1"/>
  <c r="CY10" i="30" s="1"/>
  <c r="CY95" i="30" s="1"/>
  <c r="CW74" i="30"/>
  <c r="CW23" i="30" s="1"/>
  <c r="CX6" i="30" s="1"/>
  <c r="CX91" i="30" s="1"/>
  <c r="CW31" i="30"/>
  <c r="CX14" i="30" s="1"/>
  <c r="CX99" i="30" s="1"/>
  <c r="CX72" i="30" s="1"/>
  <c r="CX21" i="30" s="1"/>
  <c r="CY4" i="30" s="1"/>
  <c r="CY89" i="30" s="1"/>
  <c r="CW73" i="30"/>
  <c r="CW22" i="30" s="1"/>
  <c r="CX5" i="30" s="1"/>
  <c r="CX90" i="30" s="1"/>
  <c r="ET104" i="30" l="1"/>
  <c r="ET36" i="30"/>
  <c r="EU19" i="30" s="1"/>
  <c r="ET34" i="30"/>
  <c r="EU17" i="30" s="1"/>
  <c r="ET102" i="30"/>
  <c r="ET83" i="30" s="1"/>
  <c r="ES33" i="30"/>
  <c r="ET16" i="30" s="1"/>
  <c r="ES101" i="30"/>
  <c r="ES100" i="30"/>
  <c r="ES79" i="30" s="1"/>
  <c r="ES28" i="30" s="1"/>
  <c r="ET11" i="30" s="1"/>
  <c r="ET96" i="30" s="1"/>
  <c r="ES32" i="30"/>
  <c r="ET15" i="30" s="1"/>
  <c r="ET94" i="30"/>
  <c r="ET26" i="30"/>
  <c r="EU9" i="30" s="1"/>
  <c r="ES25" i="30"/>
  <c r="ET8" i="30" s="1"/>
  <c r="ES93" i="30"/>
  <c r="CX73" i="30"/>
  <c r="CX22" i="30" s="1"/>
  <c r="CY5" i="30" s="1"/>
  <c r="CY90" i="30" s="1"/>
  <c r="CX81" i="30"/>
  <c r="CX30" i="30" s="1"/>
  <c r="CY13" i="30" s="1"/>
  <c r="CY98" i="30" s="1"/>
  <c r="CX74" i="30"/>
  <c r="CX23" i="30" s="1"/>
  <c r="CY6" i="30" s="1"/>
  <c r="CY91" i="30" s="1"/>
  <c r="CX75" i="30"/>
  <c r="CX24" i="30" s="1"/>
  <c r="CY7" i="30" s="1"/>
  <c r="CY92" i="30" s="1"/>
  <c r="CX71" i="30"/>
  <c r="CX20" i="30" s="1"/>
  <c r="CY3" i="30" s="1"/>
  <c r="CY88" i="30" s="1"/>
  <c r="CY78" i="30"/>
  <c r="CY27" i="30" s="1"/>
  <c r="CZ10" i="30" s="1"/>
  <c r="CZ95" i="30" s="1"/>
  <c r="CX86" i="30"/>
  <c r="CX35" i="30" s="1"/>
  <c r="CY18" i="30" s="1"/>
  <c r="CY103" i="30" s="1"/>
  <c r="CX82" i="30"/>
  <c r="CX31" i="30" s="1"/>
  <c r="CY14" i="30" s="1"/>
  <c r="CY99" i="30" s="1"/>
  <c r="CY72" i="30" s="1"/>
  <c r="CY21" i="30" s="1"/>
  <c r="CZ4" i="30" s="1"/>
  <c r="CZ89" i="30" s="1"/>
  <c r="CX80" i="30"/>
  <c r="CX29" i="30" s="1"/>
  <c r="CY12" i="30" s="1"/>
  <c r="CY97" i="30" s="1"/>
  <c r="CY71" i="30" l="1"/>
  <c r="CY20" i="30" s="1"/>
  <c r="CZ3" i="30" s="1"/>
  <c r="CZ88" i="30" s="1"/>
  <c r="EU104" i="30"/>
  <c r="EU36" i="30"/>
  <c r="EV19" i="30" s="1"/>
  <c r="EU34" i="30"/>
  <c r="EV17" i="30" s="1"/>
  <c r="EU102" i="30"/>
  <c r="EU83" i="30" s="1"/>
  <c r="ET101" i="30"/>
  <c r="ET33" i="30"/>
  <c r="EU16" i="30" s="1"/>
  <c r="ET100" i="30"/>
  <c r="ET79" i="30" s="1"/>
  <c r="ET28" i="30" s="1"/>
  <c r="EU11" i="30" s="1"/>
  <c r="EU96" i="30" s="1"/>
  <c r="ET32" i="30"/>
  <c r="EU15" i="30" s="1"/>
  <c r="CY82" i="30"/>
  <c r="CY31" i="30" s="1"/>
  <c r="CZ14" i="30" s="1"/>
  <c r="CZ99" i="30" s="1"/>
  <c r="CZ72" i="30" s="1"/>
  <c r="CZ21" i="30" s="1"/>
  <c r="DA4" i="30" s="1"/>
  <c r="DA89" i="30" s="1"/>
  <c r="DA78" i="30" s="1"/>
  <c r="EU94" i="30"/>
  <c r="EU26" i="30"/>
  <c r="EV9" i="30" s="1"/>
  <c r="ET93" i="30"/>
  <c r="ET25" i="30"/>
  <c r="EU8" i="30" s="1"/>
  <c r="CY73" i="30"/>
  <c r="CY22" i="30" s="1"/>
  <c r="CZ5" i="30" s="1"/>
  <c r="CZ90" i="30" s="1"/>
  <c r="CZ81" i="30" s="1"/>
  <c r="CZ78" i="30"/>
  <c r="CZ27" i="30" s="1"/>
  <c r="DA10" i="30" s="1"/>
  <c r="DA95" i="30" s="1"/>
  <c r="CY86" i="30"/>
  <c r="CY35" i="30" s="1"/>
  <c r="CZ18" i="30" s="1"/>
  <c r="CZ103" i="30" s="1"/>
  <c r="CY80" i="30"/>
  <c r="CY29" i="30" s="1"/>
  <c r="CZ12" i="30" s="1"/>
  <c r="CZ97" i="30" s="1"/>
  <c r="CY75" i="30"/>
  <c r="CY24" i="30" s="1"/>
  <c r="CZ7" i="30" s="1"/>
  <c r="CZ92" i="30" s="1"/>
  <c r="CY81" i="30"/>
  <c r="CY30" i="30" s="1"/>
  <c r="CZ13" i="30" s="1"/>
  <c r="CZ98" i="30" s="1"/>
  <c r="CY74" i="30"/>
  <c r="CY23" i="30" s="1"/>
  <c r="CZ6" i="30" s="1"/>
  <c r="CZ91" i="30" s="1"/>
  <c r="EV36" i="30" l="1"/>
  <c r="EW19" i="30" s="1"/>
  <c r="EV104" i="30"/>
  <c r="EV102" i="30"/>
  <c r="EV83" i="30" s="1"/>
  <c r="EV34" i="30"/>
  <c r="EW17" i="30" s="1"/>
  <c r="EU101" i="30"/>
  <c r="EU33" i="30"/>
  <c r="EV16" i="30" s="1"/>
  <c r="EU100" i="30"/>
  <c r="EU79" i="30" s="1"/>
  <c r="EU28" i="30" s="1"/>
  <c r="EV11" i="30" s="1"/>
  <c r="EV96" i="30" s="1"/>
  <c r="EU32" i="30"/>
  <c r="EV15" i="30" s="1"/>
  <c r="CZ80" i="30"/>
  <c r="CZ29" i="30" s="1"/>
  <c r="DA12" i="30" s="1"/>
  <c r="DA97" i="30" s="1"/>
  <c r="CZ86" i="30"/>
  <c r="CZ35" i="30" s="1"/>
  <c r="DA18" i="30" s="1"/>
  <c r="DA103" i="30" s="1"/>
  <c r="CZ73" i="30"/>
  <c r="CZ22" i="30" s="1"/>
  <c r="DA5" i="30" s="1"/>
  <c r="DA90" i="30" s="1"/>
  <c r="DA81" i="30" s="1"/>
  <c r="CZ74" i="30"/>
  <c r="CZ23" i="30" s="1"/>
  <c r="DA6" i="30" s="1"/>
  <c r="DA91" i="30" s="1"/>
  <c r="EV26" i="30"/>
  <c r="EW9" i="30" s="1"/>
  <c r="EV94" i="30"/>
  <c r="EU25" i="30"/>
  <c r="EV8" i="30" s="1"/>
  <c r="EU93" i="30"/>
  <c r="CZ71" i="30"/>
  <c r="CZ20" i="30" s="1"/>
  <c r="DA3" i="30" s="1"/>
  <c r="DA88" i="30" s="1"/>
  <c r="CZ82" i="30"/>
  <c r="CZ31" i="30" s="1"/>
  <c r="DA14" i="30" s="1"/>
  <c r="DA99" i="30" s="1"/>
  <c r="DA72" i="30" s="1"/>
  <c r="DA21" i="30" s="1"/>
  <c r="DB4" i="30" s="1"/>
  <c r="O180" i="30" s="1"/>
  <c r="CZ75" i="30"/>
  <c r="CZ24" i="30" s="1"/>
  <c r="DA7" i="30" s="1"/>
  <c r="DA92" i="30" s="1"/>
  <c r="CZ30" i="30"/>
  <c r="DA13" i="30" s="1"/>
  <c r="DA98" i="30" s="1"/>
  <c r="DA27" i="30"/>
  <c r="DB10" i="30" s="1"/>
  <c r="O210" i="30" s="1"/>
  <c r="B157" i="30" l="1"/>
  <c r="K157" i="30" s="1"/>
  <c r="B163" i="30"/>
  <c r="K163" i="30" s="1"/>
  <c r="EW104" i="30"/>
  <c r="EW36" i="30"/>
  <c r="EX19" i="30" s="1"/>
  <c r="U255" i="30" s="1"/>
  <c r="EW34" i="30"/>
  <c r="EX17" i="30" s="1"/>
  <c r="U245" i="30" s="1"/>
  <c r="EW102" i="30"/>
  <c r="EW83" i="30" s="1"/>
  <c r="EV101" i="30"/>
  <c r="EV33" i="30"/>
  <c r="EW16" i="30" s="1"/>
  <c r="EV100" i="30"/>
  <c r="EV79" i="30" s="1"/>
  <c r="EV28" i="30" s="1"/>
  <c r="EW11" i="30" s="1"/>
  <c r="EW96" i="30" s="1"/>
  <c r="EV32" i="30"/>
  <c r="EW15" i="30" s="1"/>
  <c r="DA75" i="30"/>
  <c r="DA24" i="30" s="1"/>
  <c r="DB7" i="30" s="1"/>
  <c r="O195" i="30" s="1"/>
  <c r="EW26" i="30"/>
  <c r="EX9" i="30" s="1"/>
  <c r="U205" i="30" s="1"/>
  <c r="EW94" i="30"/>
  <c r="EV25" i="30"/>
  <c r="EW8" i="30" s="1"/>
  <c r="EV93" i="30"/>
  <c r="DA73" i="30"/>
  <c r="DA22" i="30" s="1"/>
  <c r="DB5" i="30" s="1"/>
  <c r="O185" i="30" s="1"/>
  <c r="DA80" i="30"/>
  <c r="DA29" i="30" s="1"/>
  <c r="DB12" i="30" s="1"/>
  <c r="O220" i="30" s="1"/>
  <c r="DA74" i="30"/>
  <c r="DA23" i="30" s="1"/>
  <c r="DB6" i="30" s="1"/>
  <c r="O190" i="30" s="1"/>
  <c r="DB89" i="30"/>
  <c r="O279" i="30"/>
  <c r="S279" i="30" s="1"/>
  <c r="DA86" i="30"/>
  <c r="DA35" i="30" s="1"/>
  <c r="DB18" i="30" s="1"/>
  <c r="O250" i="30" s="1"/>
  <c r="DB95" i="30"/>
  <c r="O285" i="30"/>
  <c r="S285" i="30" s="1"/>
  <c r="DA71" i="30"/>
  <c r="DA20" i="30" s="1"/>
  <c r="DB3" i="30" s="1"/>
  <c r="O175" i="30" s="1"/>
  <c r="DA30" i="30"/>
  <c r="DB13" i="30" s="1"/>
  <c r="O225" i="30" s="1"/>
  <c r="DA82" i="30"/>
  <c r="DA31" i="30" s="1"/>
  <c r="DB14" i="30" s="1"/>
  <c r="O230" i="30" s="1"/>
  <c r="B171" i="30" l="1"/>
  <c r="K171" i="30" s="1"/>
  <c r="B165" i="30"/>
  <c r="K165" i="30" s="1"/>
  <c r="B156" i="30"/>
  <c r="B159" i="30"/>
  <c r="K159" i="30" s="1"/>
  <c r="B167" i="30"/>
  <c r="K167" i="30" s="1"/>
  <c r="B158" i="30"/>
  <c r="K158" i="30" s="1"/>
  <c r="B166" i="30"/>
  <c r="K166" i="30" s="1"/>
  <c r="B160" i="30"/>
  <c r="K160" i="30" s="1"/>
  <c r="EX104" i="30"/>
  <c r="EX36" i="30"/>
  <c r="EY19" i="30" s="1"/>
  <c r="EX102" i="30"/>
  <c r="EX83" i="30" s="1"/>
  <c r="EX34" i="30"/>
  <c r="EY17" i="30" s="1"/>
  <c r="EW101" i="30"/>
  <c r="EW33" i="30"/>
  <c r="EX16" i="30" s="1"/>
  <c r="U240" i="30" s="1"/>
  <c r="EW100" i="30"/>
  <c r="EW79" i="30" s="1"/>
  <c r="EW28" i="30" s="1"/>
  <c r="EX11" i="30" s="1"/>
  <c r="U215" i="30" s="1"/>
  <c r="EW32" i="30"/>
  <c r="EX15" i="30" s="1"/>
  <c r="U235" i="30" s="1"/>
  <c r="DB97" i="30"/>
  <c r="O287" i="30"/>
  <c r="S287" i="30" s="1"/>
  <c r="O280" i="30"/>
  <c r="S280" i="30" s="1"/>
  <c r="DB90" i="30"/>
  <c r="DB81" i="30" s="1"/>
  <c r="DB30" i="30" s="1"/>
  <c r="DC13" i="30" s="1"/>
  <c r="DC98" i="30" s="1"/>
  <c r="EX94" i="30"/>
  <c r="EX26" i="30"/>
  <c r="EY9" i="30" s="1"/>
  <c r="EW25" i="30"/>
  <c r="EX8" i="30" s="1"/>
  <c r="U200" i="30" s="1"/>
  <c r="EW93" i="30"/>
  <c r="DB91" i="30"/>
  <c r="O281" i="30"/>
  <c r="S281" i="30" s="1"/>
  <c r="O288" i="30"/>
  <c r="S288" i="30" s="1"/>
  <c r="DB98" i="30"/>
  <c r="O278" i="30"/>
  <c r="DB88" i="30"/>
  <c r="O282" i="30"/>
  <c r="S282" i="30" s="1"/>
  <c r="DB92" i="30"/>
  <c r="DB78" i="30"/>
  <c r="DB27" i="30" s="1"/>
  <c r="DC10" i="30" s="1"/>
  <c r="DC95" i="30" s="1"/>
  <c r="O289" i="30"/>
  <c r="S289" i="30" s="1"/>
  <c r="DB99" i="30"/>
  <c r="DB72" i="30" s="1"/>
  <c r="DB21" i="30" s="1"/>
  <c r="DC4" i="30" s="1"/>
  <c r="DC89" i="30" s="1"/>
  <c r="DB103" i="30"/>
  <c r="O293" i="30"/>
  <c r="S293" i="30" s="1"/>
  <c r="O277" i="30" l="1"/>
  <c r="S277" i="30" s="1"/>
  <c r="J139" i="30"/>
  <c r="EX96" i="30"/>
  <c r="EY104" i="30"/>
  <c r="EY36" i="30"/>
  <c r="EZ19" i="30" s="1"/>
  <c r="EY102" i="30"/>
  <c r="EY83" i="30" s="1"/>
  <c r="EY34" i="30"/>
  <c r="EZ17" i="30" s="1"/>
  <c r="DB82" i="30"/>
  <c r="DB31" i="30" s="1"/>
  <c r="DC14" i="30" s="1"/>
  <c r="DC99" i="30" s="1"/>
  <c r="DC72" i="30" s="1"/>
  <c r="DC21" i="30" s="1"/>
  <c r="DD4" i="30" s="1"/>
  <c r="DD89" i="30" s="1"/>
  <c r="EX33" i="30"/>
  <c r="EY16" i="30" s="1"/>
  <c r="EX101" i="30"/>
  <c r="EX100" i="30"/>
  <c r="EX79" i="30" s="1"/>
  <c r="EX28" i="30" s="1"/>
  <c r="EY11" i="30" s="1"/>
  <c r="EY96" i="30" s="1"/>
  <c r="EX32" i="30"/>
  <c r="EY15" i="30" s="1"/>
  <c r="DB71" i="30"/>
  <c r="DB20" i="30" s="1"/>
  <c r="DC3" i="30" s="1"/>
  <c r="DC88" i="30" s="1"/>
  <c r="DB74" i="30"/>
  <c r="DB23" i="30" s="1"/>
  <c r="DC6" i="30" s="1"/>
  <c r="DC91" i="30" s="1"/>
  <c r="DC82" i="30" s="1"/>
  <c r="EY94" i="30"/>
  <c r="EY26" i="30"/>
  <c r="EZ9" i="30" s="1"/>
  <c r="EX93" i="30"/>
  <c r="EX25" i="30"/>
  <c r="EY8" i="30" s="1"/>
  <c r="DB86" i="30"/>
  <c r="DB35" i="30" s="1"/>
  <c r="DC18" i="30" s="1"/>
  <c r="DC103" i="30" s="1"/>
  <c r="DB73" i="30"/>
  <c r="DB22" i="30" s="1"/>
  <c r="DC5" i="30" s="1"/>
  <c r="DC90" i="30" s="1"/>
  <c r="DB75" i="30"/>
  <c r="DB24" i="30" s="1"/>
  <c r="DC7" i="30" s="1"/>
  <c r="DC92" i="30" s="1"/>
  <c r="DB80" i="30"/>
  <c r="DB29" i="30" s="1"/>
  <c r="DC12" i="30" s="1"/>
  <c r="DC97" i="30" s="1"/>
  <c r="DC78" i="30"/>
  <c r="DC27" i="30" s="1"/>
  <c r="DD10" i="30" s="1"/>
  <c r="DD95" i="30" s="1"/>
  <c r="K156" i="30"/>
  <c r="S278" i="30"/>
  <c r="DC31" i="30" l="1"/>
  <c r="DD14" i="30" s="1"/>
  <c r="DD99" i="30" s="1"/>
  <c r="DD72" i="30" s="1"/>
  <c r="DD21" i="30" s="1"/>
  <c r="DE4" i="30" s="1"/>
  <c r="DE89" i="30" s="1"/>
  <c r="DC73" i="30"/>
  <c r="DC22" i="30" s="1"/>
  <c r="DD5" i="30" s="1"/>
  <c r="DD90" i="30" s="1"/>
  <c r="DD81" i="30" s="1"/>
  <c r="EZ104" i="30"/>
  <c r="EZ36" i="30"/>
  <c r="FA19" i="30" s="1"/>
  <c r="DC80" i="30"/>
  <c r="DC29" i="30" s="1"/>
  <c r="DD12" i="30" s="1"/>
  <c r="DD97" i="30" s="1"/>
  <c r="EZ102" i="30"/>
  <c r="EZ83" i="30" s="1"/>
  <c r="EZ34" i="30"/>
  <c r="FA17" i="30" s="1"/>
  <c r="EY101" i="30"/>
  <c r="EY33" i="30"/>
  <c r="EZ16" i="30" s="1"/>
  <c r="EY100" i="30"/>
  <c r="EY79" i="30" s="1"/>
  <c r="EY28" i="30" s="1"/>
  <c r="EZ11" i="30" s="1"/>
  <c r="EZ96" i="30" s="1"/>
  <c r="EY32" i="30"/>
  <c r="EZ15" i="30" s="1"/>
  <c r="DC75" i="30"/>
  <c r="DC24" i="30" s="1"/>
  <c r="DD7" i="30" s="1"/>
  <c r="DD92" i="30" s="1"/>
  <c r="EZ26" i="30"/>
  <c r="FA9" i="30" s="1"/>
  <c r="EZ94" i="30"/>
  <c r="DC71" i="30"/>
  <c r="DC20" i="30" s="1"/>
  <c r="DD3" i="30" s="1"/>
  <c r="DD88" i="30" s="1"/>
  <c r="EY93" i="30"/>
  <c r="EY25" i="30"/>
  <c r="EZ8" i="30" s="1"/>
  <c r="DC86" i="30"/>
  <c r="DC35" i="30" s="1"/>
  <c r="DD18" i="30" s="1"/>
  <c r="DD103" i="30" s="1"/>
  <c r="DD78" i="30"/>
  <c r="DD27" i="30" s="1"/>
  <c r="DE10" i="30" s="1"/>
  <c r="DE95" i="30" s="1"/>
  <c r="DC74" i="30"/>
  <c r="DC23" i="30" s="1"/>
  <c r="DD6" i="30" s="1"/>
  <c r="DD91" i="30" s="1"/>
  <c r="DC81" i="30"/>
  <c r="DC30" i="30" s="1"/>
  <c r="DD13" i="30" s="1"/>
  <c r="DD98" i="30" s="1"/>
  <c r="DD73" i="30" l="1"/>
  <c r="DD22" i="30" s="1"/>
  <c r="DE5" i="30" s="1"/>
  <c r="DE90" i="30" s="1"/>
  <c r="DE81" i="30" s="1"/>
  <c r="FA104" i="30"/>
  <c r="FA36" i="30"/>
  <c r="FB19" i="30" s="1"/>
  <c r="FA102" i="30"/>
  <c r="FA83" i="30" s="1"/>
  <c r="FA34" i="30"/>
  <c r="FB17" i="30" s="1"/>
  <c r="EZ33" i="30"/>
  <c r="FA16" i="30" s="1"/>
  <c r="EZ101" i="30"/>
  <c r="EZ100" i="30"/>
  <c r="EZ79" i="30" s="1"/>
  <c r="EZ28" i="30" s="1"/>
  <c r="FA11" i="30" s="1"/>
  <c r="FA96" i="30" s="1"/>
  <c r="EZ32" i="30"/>
  <c r="FA15" i="30" s="1"/>
  <c r="DD80" i="30"/>
  <c r="DD29" i="30" s="1"/>
  <c r="DE12" i="30" s="1"/>
  <c r="DE97" i="30" s="1"/>
  <c r="DD74" i="30"/>
  <c r="DD23" i="30" s="1"/>
  <c r="DE6" i="30" s="1"/>
  <c r="DE91" i="30" s="1"/>
  <c r="FA26" i="30"/>
  <c r="FB9" i="30" s="1"/>
  <c r="FA94" i="30"/>
  <c r="EZ93" i="30"/>
  <c r="EZ25" i="30"/>
  <c r="FA8" i="30" s="1"/>
  <c r="DD86" i="30"/>
  <c r="DD35" i="30" s="1"/>
  <c r="DE18" i="30" s="1"/>
  <c r="DE103" i="30" s="1"/>
  <c r="DD30" i="30"/>
  <c r="DE13" i="30" s="1"/>
  <c r="DE98" i="30" s="1"/>
  <c r="DD82" i="30"/>
  <c r="DD31" i="30" s="1"/>
  <c r="DE14" i="30" s="1"/>
  <c r="DE99" i="30" s="1"/>
  <c r="DE72" i="30" s="1"/>
  <c r="DE21" i="30" s="1"/>
  <c r="DF4" i="30" s="1"/>
  <c r="DF89" i="30" s="1"/>
  <c r="DD75" i="30"/>
  <c r="DD24" i="30" s="1"/>
  <c r="DE7" i="30" s="1"/>
  <c r="DE92" i="30" s="1"/>
  <c r="DD71" i="30"/>
  <c r="DD20" i="30" s="1"/>
  <c r="DE3" i="30" s="1"/>
  <c r="DE88" i="30" s="1"/>
  <c r="DE78" i="30"/>
  <c r="DE27" i="30" s="1"/>
  <c r="DF10" i="30" s="1"/>
  <c r="DF95" i="30" s="1"/>
  <c r="DE82" i="30" l="1"/>
  <c r="DE31" i="30" s="1"/>
  <c r="DF14" i="30" s="1"/>
  <c r="DF99" i="30" s="1"/>
  <c r="DF72" i="30" s="1"/>
  <c r="DF21" i="30" s="1"/>
  <c r="DG4" i="30" s="1"/>
  <c r="DG89" i="30" s="1"/>
  <c r="DG78" i="30" s="1"/>
  <c r="DE71" i="30"/>
  <c r="DE20" i="30" s="1"/>
  <c r="DF3" i="30" s="1"/>
  <c r="DF88" i="30" s="1"/>
  <c r="FB104" i="30"/>
  <c r="FB36" i="30"/>
  <c r="FC19" i="30" s="1"/>
  <c r="FB34" i="30"/>
  <c r="FC17" i="30" s="1"/>
  <c r="FB102" i="30"/>
  <c r="FB83" i="30" s="1"/>
  <c r="FA101" i="30"/>
  <c r="FA33" i="30"/>
  <c r="FB16" i="30" s="1"/>
  <c r="FA100" i="30"/>
  <c r="FA79" i="30" s="1"/>
  <c r="FA28" i="30" s="1"/>
  <c r="FB11" i="30" s="1"/>
  <c r="FB96" i="30" s="1"/>
  <c r="FA32" i="30"/>
  <c r="FB15" i="30" s="1"/>
  <c r="FB94" i="30"/>
  <c r="FB26" i="30"/>
  <c r="FC9" i="30" s="1"/>
  <c r="FA93" i="30"/>
  <c r="FA25" i="30"/>
  <c r="FB8" i="30" s="1"/>
  <c r="DE74" i="30"/>
  <c r="DE23" i="30" s="1"/>
  <c r="DF6" i="30" s="1"/>
  <c r="DF91" i="30" s="1"/>
  <c r="DE86" i="30"/>
  <c r="DE35" i="30" s="1"/>
  <c r="DF18" i="30" s="1"/>
  <c r="DF103" i="30" s="1"/>
  <c r="DF78" i="30"/>
  <c r="DF27" i="30" s="1"/>
  <c r="DG10" i="30" s="1"/>
  <c r="DG95" i="30" s="1"/>
  <c r="DE73" i="30"/>
  <c r="DE22" i="30" s="1"/>
  <c r="DF5" i="30" s="1"/>
  <c r="DF90" i="30" s="1"/>
  <c r="DE80" i="30"/>
  <c r="DE29" i="30" s="1"/>
  <c r="DF12" i="30" s="1"/>
  <c r="DF97" i="30" s="1"/>
  <c r="DE75" i="30"/>
  <c r="DE24" i="30" s="1"/>
  <c r="DF7" i="30" s="1"/>
  <c r="DF92" i="30" s="1"/>
  <c r="DE30" i="30"/>
  <c r="DF13" i="30" s="1"/>
  <c r="DF98" i="30" s="1"/>
  <c r="FC104" i="30" l="1"/>
  <c r="FC36" i="30"/>
  <c r="FD19" i="30" s="1"/>
  <c r="FC34" i="30"/>
  <c r="FD17" i="30" s="1"/>
  <c r="FC102" i="30"/>
  <c r="FC83" i="30" s="1"/>
  <c r="FB101" i="30"/>
  <c r="FB33" i="30"/>
  <c r="FC16" i="30" s="1"/>
  <c r="FB100" i="30"/>
  <c r="FB79" i="30" s="1"/>
  <c r="FB28" i="30" s="1"/>
  <c r="FC11" i="30" s="1"/>
  <c r="FC96" i="30" s="1"/>
  <c r="FB32" i="30"/>
  <c r="FC15" i="30" s="1"/>
  <c r="DF82" i="30"/>
  <c r="DF31" i="30" s="1"/>
  <c r="DG14" i="30" s="1"/>
  <c r="DG99" i="30" s="1"/>
  <c r="DG72" i="30" s="1"/>
  <c r="DG21" i="30" s="1"/>
  <c r="DH4" i="30" s="1"/>
  <c r="DH89" i="30" s="1"/>
  <c r="DH78" i="30" s="1"/>
  <c r="DG27" i="30"/>
  <c r="DH10" i="30" s="1"/>
  <c r="DH95" i="30" s="1"/>
  <c r="FC94" i="30"/>
  <c r="FC26" i="30"/>
  <c r="FD9" i="30" s="1"/>
  <c r="FB25" i="30"/>
  <c r="FC8" i="30" s="1"/>
  <c r="FB93" i="30"/>
  <c r="DF86" i="30"/>
  <c r="DF35" i="30" s="1"/>
  <c r="DG18" i="30" s="1"/>
  <c r="DG103" i="30" s="1"/>
  <c r="DF71" i="30"/>
  <c r="DF20" i="30" s="1"/>
  <c r="DG3" i="30" s="1"/>
  <c r="DG88" i="30" s="1"/>
  <c r="DF73" i="30"/>
  <c r="DF22" i="30" s="1"/>
  <c r="DG5" i="30" s="1"/>
  <c r="DG90" i="30" s="1"/>
  <c r="DF81" i="30"/>
  <c r="DF30" i="30" s="1"/>
  <c r="DG13" i="30" s="1"/>
  <c r="DG98" i="30" s="1"/>
  <c r="DF74" i="30"/>
  <c r="DF23" i="30" s="1"/>
  <c r="DG6" i="30" s="1"/>
  <c r="DG91" i="30" s="1"/>
  <c r="DF80" i="30"/>
  <c r="DF29" i="30" s="1"/>
  <c r="DG12" i="30" s="1"/>
  <c r="DG97" i="30" s="1"/>
  <c r="DF75" i="30"/>
  <c r="DF24" i="30" s="1"/>
  <c r="DG7" i="30" s="1"/>
  <c r="DG92" i="30" s="1"/>
  <c r="FD104" i="30" l="1"/>
  <c r="FD36" i="30"/>
  <c r="FE19" i="30" s="1"/>
  <c r="DH27" i="30"/>
  <c r="DI10" i="30" s="1"/>
  <c r="DI95" i="30" s="1"/>
  <c r="FD102" i="30"/>
  <c r="FD83" i="30" s="1"/>
  <c r="FD34" i="30"/>
  <c r="FE17" i="30" s="1"/>
  <c r="FC101" i="30"/>
  <c r="FC33" i="30"/>
  <c r="FD16" i="30" s="1"/>
  <c r="DG73" i="30"/>
  <c r="DG22" i="30" s="1"/>
  <c r="DH5" i="30" s="1"/>
  <c r="DH90" i="30" s="1"/>
  <c r="DH81" i="30" s="1"/>
  <c r="FC100" i="30"/>
  <c r="FC79" i="30" s="1"/>
  <c r="FC28" i="30" s="1"/>
  <c r="FD11" i="30" s="1"/>
  <c r="FD96" i="30" s="1"/>
  <c r="FC32" i="30"/>
  <c r="FD15" i="30" s="1"/>
  <c r="DG80" i="30"/>
  <c r="DG29" i="30" s="1"/>
  <c r="DH12" i="30" s="1"/>
  <c r="DH97" i="30" s="1"/>
  <c r="FD94" i="30"/>
  <c r="FD26" i="30"/>
  <c r="FE9" i="30" s="1"/>
  <c r="FC25" i="30"/>
  <c r="FD8" i="30" s="1"/>
  <c r="FC93" i="30"/>
  <c r="DG75" i="30"/>
  <c r="DG24" i="30" s="1"/>
  <c r="DH7" i="30" s="1"/>
  <c r="DH92" i="30" s="1"/>
  <c r="DG74" i="30"/>
  <c r="DG23" i="30" s="1"/>
  <c r="DH6" i="30" s="1"/>
  <c r="DH91" i="30" s="1"/>
  <c r="DG81" i="30"/>
  <c r="DG30" i="30" s="1"/>
  <c r="DH13" i="30" s="1"/>
  <c r="DH98" i="30" s="1"/>
  <c r="DG71" i="30"/>
  <c r="DG20" i="30" s="1"/>
  <c r="DH3" i="30" s="1"/>
  <c r="DH88" i="30" s="1"/>
  <c r="DG86" i="30"/>
  <c r="DG35" i="30" s="1"/>
  <c r="DH18" i="30" s="1"/>
  <c r="DH103" i="30" s="1"/>
  <c r="DG82" i="30"/>
  <c r="DG31" i="30" s="1"/>
  <c r="DH14" i="30" s="1"/>
  <c r="DH99" i="30" s="1"/>
  <c r="DH72" i="30" s="1"/>
  <c r="DH21" i="30" s="1"/>
  <c r="DI4" i="30" s="1"/>
  <c r="DI89" i="30" s="1"/>
  <c r="FE36" i="30" l="1"/>
  <c r="FF19" i="30" s="1"/>
  <c r="V255" i="30" s="1"/>
  <c r="FE104" i="30"/>
  <c r="FE102" i="30"/>
  <c r="FE83" i="30" s="1"/>
  <c r="FE34" i="30"/>
  <c r="FF17" i="30" s="1"/>
  <c r="V245" i="30" s="1"/>
  <c r="FD33" i="30"/>
  <c r="FE16" i="30" s="1"/>
  <c r="FD101" i="30"/>
  <c r="FD100" i="30"/>
  <c r="FD79" i="30" s="1"/>
  <c r="FD28" i="30" s="1"/>
  <c r="FE11" i="30" s="1"/>
  <c r="FE96" i="30" s="1"/>
  <c r="FD32" i="30"/>
  <c r="FE15" i="30" s="1"/>
  <c r="DH75" i="30"/>
  <c r="DH24" i="30" s="1"/>
  <c r="DI7" i="30" s="1"/>
  <c r="DI92" i="30" s="1"/>
  <c r="FE26" i="30"/>
  <c r="FF9" i="30" s="1"/>
  <c r="V205" i="30" s="1"/>
  <c r="FE94" i="30"/>
  <c r="FD93" i="30"/>
  <c r="FD25" i="30"/>
  <c r="FE8" i="30" s="1"/>
  <c r="DH74" i="30"/>
  <c r="DH23" i="30" s="1"/>
  <c r="DI6" i="30" s="1"/>
  <c r="DI91" i="30" s="1"/>
  <c r="DH30" i="30"/>
  <c r="DI13" i="30" s="1"/>
  <c r="DI98" i="30" s="1"/>
  <c r="DH80" i="30"/>
  <c r="DH29" i="30" s="1"/>
  <c r="DI12" i="30" s="1"/>
  <c r="DI97" i="30" s="1"/>
  <c r="DI78" i="30"/>
  <c r="DI27" i="30" s="1"/>
  <c r="DJ10" i="30" s="1"/>
  <c r="P210" i="30" s="1"/>
  <c r="DH73" i="30"/>
  <c r="DH22" i="30" s="1"/>
  <c r="DI5" i="30" s="1"/>
  <c r="DI90" i="30" s="1"/>
  <c r="DI81" i="30" s="1"/>
  <c r="DH71" i="30"/>
  <c r="DH20" i="30" s="1"/>
  <c r="DI3" i="30" s="1"/>
  <c r="DI88" i="30" s="1"/>
  <c r="DH86" i="30"/>
  <c r="DH35" i="30" s="1"/>
  <c r="DI18" i="30" s="1"/>
  <c r="DI103" i="30" s="1"/>
  <c r="DH82" i="30"/>
  <c r="DH31" i="30" s="1"/>
  <c r="DI14" i="30" s="1"/>
  <c r="DI99" i="30" s="1"/>
  <c r="DI72" i="30" s="1"/>
  <c r="DI21" i="30" s="1"/>
  <c r="DJ4" i="30" s="1"/>
  <c r="P180" i="30" s="1"/>
  <c r="DI30" i="30" l="1"/>
  <c r="DJ13" i="30" s="1"/>
  <c r="P225" i="30" s="1"/>
  <c r="FF104" i="30"/>
  <c r="FF36" i="30"/>
  <c r="FG19" i="30" s="1"/>
  <c r="FF34" i="30"/>
  <c r="FG17" i="30" s="1"/>
  <c r="FF102" i="30"/>
  <c r="FF83" i="30" s="1"/>
  <c r="FE33" i="30"/>
  <c r="FF16" i="30" s="1"/>
  <c r="V240" i="30" s="1"/>
  <c r="FE101" i="30"/>
  <c r="FE100" i="30"/>
  <c r="FE79" i="30" s="1"/>
  <c r="FE28" i="30" s="1"/>
  <c r="FF11" i="30" s="1"/>
  <c r="V215" i="30" s="1"/>
  <c r="FE32" i="30"/>
  <c r="FF15" i="30" s="1"/>
  <c r="V235" i="30" s="1"/>
  <c r="DI82" i="30"/>
  <c r="DI31" i="30" s="1"/>
  <c r="DJ14" i="30" s="1"/>
  <c r="P230" i="30" s="1"/>
  <c r="FF26" i="30"/>
  <c r="FG9" i="30" s="1"/>
  <c r="FF94" i="30"/>
  <c r="FE93" i="30"/>
  <c r="FE25" i="30"/>
  <c r="FF8" i="30" s="1"/>
  <c r="V200" i="30" s="1"/>
  <c r="DI86" i="30"/>
  <c r="DI35" i="30" s="1"/>
  <c r="DJ18" i="30" s="1"/>
  <c r="P250" i="30" s="1"/>
  <c r="DJ89" i="30"/>
  <c r="DI73" i="30"/>
  <c r="DI22" i="30" s="1"/>
  <c r="DJ5" i="30" s="1"/>
  <c r="P185" i="30" s="1"/>
  <c r="DI71" i="30"/>
  <c r="DI20" i="30" s="1"/>
  <c r="DJ3" i="30" s="1"/>
  <c r="P175" i="30" s="1"/>
  <c r="DI80" i="30"/>
  <c r="DI29" i="30" s="1"/>
  <c r="DJ12" i="30" s="1"/>
  <c r="P220" i="30" s="1"/>
  <c r="DI75" i="30"/>
  <c r="DI24" i="30" s="1"/>
  <c r="DJ7" i="30" s="1"/>
  <c r="P195" i="30" s="1"/>
  <c r="DJ95" i="30"/>
  <c r="DI74" i="30"/>
  <c r="DI23" i="30" s="1"/>
  <c r="DJ6" i="30" s="1"/>
  <c r="P190" i="30" s="1"/>
  <c r="DJ98" i="30" l="1"/>
  <c r="FG104" i="30"/>
  <c r="FG36" i="30"/>
  <c r="FH19" i="30" s="1"/>
  <c r="FF96" i="30"/>
  <c r="FG102" i="30"/>
  <c r="FG83" i="30" s="1"/>
  <c r="FG34" i="30"/>
  <c r="FH17" i="30" s="1"/>
  <c r="FF33" i="30"/>
  <c r="FG16" i="30" s="1"/>
  <c r="FF101" i="30"/>
  <c r="FF100" i="30"/>
  <c r="FF79" i="30" s="1"/>
  <c r="FF28" i="30" s="1"/>
  <c r="FG11" i="30" s="1"/>
  <c r="FG96" i="30" s="1"/>
  <c r="FF32" i="30"/>
  <c r="FG15" i="30" s="1"/>
  <c r="FG94" i="30"/>
  <c r="FG26" i="30"/>
  <c r="FH9" i="30" s="1"/>
  <c r="FF93" i="30"/>
  <c r="FF25" i="30"/>
  <c r="FG8" i="30" s="1"/>
  <c r="DJ99" i="30"/>
  <c r="DJ72" i="30" s="1"/>
  <c r="DJ21" i="30" s="1"/>
  <c r="DK4" i="30" s="1"/>
  <c r="DK89" i="30" s="1"/>
  <c r="DJ88" i="30"/>
  <c r="DJ91" i="30"/>
  <c r="DJ90" i="30"/>
  <c r="DJ92" i="30"/>
  <c r="DJ78" i="30"/>
  <c r="DJ27" i="30" s="1"/>
  <c r="DK10" i="30" s="1"/>
  <c r="DK95" i="30" s="1"/>
  <c r="DJ103" i="30"/>
  <c r="DJ97" i="30"/>
  <c r="DJ82" i="30" l="1"/>
  <c r="DJ31" i="30" s="1"/>
  <c r="DK14" i="30" s="1"/>
  <c r="DK99" i="30" s="1"/>
  <c r="DK72" i="30" s="1"/>
  <c r="DK21" i="30" s="1"/>
  <c r="DL4" i="30" s="1"/>
  <c r="DL89" i="30" s="1"/>
  <c r="DL78" i="30" s="1"/>
  <c r="FH104" i="30"/>
  <c r="FH36" i="30"/>
  <c r="FI19" i="30" s="1"/>
  <c r="FH102" i="30"/>
  <c r="FH83" i="30" s="1"/>
  <c r="FH34" i="30"/>
  <c r="FI17" i="30" s="1"/>
  <c r="FG101" i="30"/>
  <c r="FG33" i="30"/>
  <c r="FH16" i="30" s="1"/>
  <c r="FG100" i="30"/>
  <c r="FG79" i="30" s="1"/>
  <c r="FG28" i="30" s="1"/>
  <c r="FH11" i="30" s="1"/>
  <c r="FH96" i="30" s="1"/>
  <c r="FG32" i="30"/>
  <c r="FH15" i="30" s="1"/>
  <c r="DJ71" i="30"/>
  <c r="DJ20" i="30" s="1"/>
  <c r="DK3" i="30" s="1"/>
  <c r="DK88" i="30" s="1"/>
  <c r="FH26" i="30"/>
  <c r="FI9" i="30" s="1"/>
  <c r="FH94" i="30"/>
  <c r="DJ73" i="30"/>
  <c r="DJ22" i="30" s="1"/>
  <c r="DK5" i="30" s="1"/>
  <c r="DK90" i="30" s="1"/>
  <c r="DK81" i="30" s="1"/>
  <c r="FG25" i="30"/>
  <c r="FH8" i="30" s="1"/>
  <c r="FG93" i="30"/>
  <c r="DJ81" i="30"/>
  <c r="DJ30" i="30" s="1"/>
  <c r="DK13" i="30" s="1"/>
  <c r="DK98" i="30" s="1"/>
  <c r="DJ74" i="30"/>
  <c r="DJ23" i="30" s="1"/>
  <c r="DK6" i="30" s="1"/>
  <c r="DK91" i="30" s="1"/>
  <c r="DJ75" i="30"/>
  <c r="DJ24" i="30" s="1"/>
  <c r="DK7" i="30" s="1"/>
  <c r="DK92" i="30" s="1"/>
  <c r="DJ80" i="30"/>
  <c r="DJ29" i="30" s="1"/>
  <c r="DK12" i="30" s="1"/>
  <c r="DK97" i="30" s="1"/>
  <c r="DJ86" i="30"/>
  <c r="DJ35" i="30" s="1"/>
  <c r="DK18" i="30" s="1"/>
  <c r="DK103" i="30" s="1"/>
  <c r="DK78" i="30"/>
  <c r="DK27" i="30" s="1"/>
  <c r="DL10" i="30" s="1"/>
  <c r="DL95" i="30" s="1"/>
  <c r="DK73" i="30" l="1"/>
  <c r="DK22" i="30" s="1"/>
  <c r="DL5" i="30" s="1"/>
  <c r="DL90" i="30" s="1"/>
  <c r="DL81" i="30" s="1"/>
  <c r="DK80" i="30"/>
  <c r="DK29" i="30" s="1"/>
  <c r="DL12" i="30" s="1"/>
  <c r="DL97" i="30" s="1"/>
  <c r="FI104" i="30"/>
  <c r="FI36" i="30"/>
  <c r="FJ19" i="30" s="1"/>
  <c r="FI102" i="30"/>
  <c r="FI83" i="30" s="1"/>
  <c r="FI34" i="30"/>
  <c r="FJ17" i="30" s="1"/>
  <c r="FH33" i="30"/>
  <c r="FI16" i="30" s="1"/>
  <c r="FH101" i="30"/>
  <c r="FH100" i="30"/>
  <c r="FH79" i="30" s="1"/>
  <c r="FH28" i="30" s="1"/>
  <c r="FI11" i="30" s="1"/>
  <c r="FI96" i="30" s="1"/>
  <c r="FH32" i="30"/>
  <c r="FI15" i="30" s="1"/>
  <c r="DK74" i="30"/>
  <c r="DK23" i="30" s="1"/>
  <c r="DL6" i="30" s="1"/>
  <c r="DL91" i="30" s="1"/>
  <c r="DK82" i="30"/>
  <c r="DK31" i="30" s="1"/>
  <c r="DL14" i="30" s="1"/>
  <c r="DL99" i="30" s="1"/>
  <c r="DL72" i="30" s="1"/>
  <c r="DL21" i="30" s="1"/>
  <c r="DM4" i="30" s="1"/>
  <c r="DM89" i="30" s="1"/>
  <c r="DM78" i="30" s="1"/>
  <c r="DK30" i="30"/>
  <c r="DL13" i="30" s="1"/>
  <c r="DL98" i="30" s="1"/>
  <c r="FI26" i="30"/>
  <c r="FJ9" i="30" s="1"/>
  <c r="FI94" i="30"/>
  <c r="FH25" i="30"/>
  <c r="FI8" i="30" s="1"/>
  <c r="FH93" i="30"/>
  <c r="DK71" i="30"/>
  <c r="DK20" i="30" s="1"/>
  <c r="DL3" i="30" s="1"/>
  <c r="DL88" i="30" s="1"/>
  <c r="DK75" i="30"/>
  <c r="DK24" i="30" s="1"/>
  <c r="DL7" i="30" s="1"/>
  <c r="DL92" i="30" s="1"/>
  <c r="DK86" i="30"/>
  <c r="DK35" i="30" s="1"/>
  <c r="DL18" i="30" s="1"/>
  <c r="DL103" i="30" s="1"/>
  <c r="DL27" i="30"/>
  <c r="DM10" i="30" s="1"/>
  <c r="DM95" i="30" s="1"/>
  <c r="DL71" i="30" l="1"/>
  <c r="DL20" i="30" s="1"/>
  <c r="DM3" i="30" s="1"/>
  <c r="DM88" i="30" s="1"/>
  <c r="DL30" i="30"/>
  <c r="DM13" i="30" s="1"/>
  <c r="DM98" i="30" s="1"/>
  <c r="DL86" i="30"/>
  <c r="DL35" i="30" s="1"/>
  <c r="DM18" i="30" s="1"/>
  <c r="DM103" i="30" s="1"/>
  <c r="DL82" i="30"/>
  <c r="DL31" i="30" s="1"/>
  <c r="DM14" i="30" s="1"/>
  <c r="DM99" i="30" s="1"/>
  <c r="DM72" i="30" s="1"/>
  <c r="DM21" i="30" s="1"/>
  <c r="DN4" i="30" s="1"/>
  <c r="DN89" i="30" s="1"/>
  <c r="DN78" i="30" s="1"/>
  <c r="FJ36" i="30"/>
  <c r="FK19" i="30" s="1"/>
  <c r="FJ104" i="30"/>
  <c r="FJ102" i="30"/>
  <c r="FJ83" i="30" s="1"/>
  <c r="FJ34" i="30"/>
  <c r="FK17" i="30" s="1"/>
  <c r="FI101" i="30"/>
  <c r="FI33" i="30"/>
  <c r="FJ16" i="30" s="1"/>
  <c r="FI100" i="30"/>
  <c r="FI79" i="30" s="1"/>
  <c r="FI28" i="30" s="1"/>
  <c r="FJ11" i="30" s="1"/>
  <c r="FJ96" i="30" s="1"/>
  <c r="FI32" i="30"/>
  <c r="FJ15" i="30" s="1"/>
  <c r="DL80" i="30"/>
  <c r="DL29" i="30" s="1"/>
  <c r="DM12" i="30" s="1"/>
  <c r="DM97" i="30" s="1"/>
  <c r="DL74" i="30"/>
  <c r="DL23" i="30" s="1"/>
  <c r="DM6" i="30" s="1"/>
  <c r="DM91" i="30" s="1"/>
  <c r="DL75" i="30"/>
  <c r="DL24" i="30" s="1"/>
  <c r="DM7" i="30" s="1"/>
  <c r="DM92" i="30" s="1"/>
  <c r="FJ94" i="30"/>
  <c r="FJ26" i="30"/>
  <c r="FK9" i="30" s="1"/>
  <c r="DL73" i="30"/>
  <c r="DL22" i="30" s="1"/>
  <c r="DM5" i="30" s="1"/>
  <c r="DM90" i="30" s="1"/>
  <c r="DM81" i="30" s="1"/>
  <c r="FI93" i="30"/>
  <c r="FI25" i="30"/>
  <c r="FJ8" i="30" s="1"/>
  <c r="DM27" i="30"/>
  <c r="DN10" i="30" s="1"/>
  <c r="DN95" i="30" s="1"/>
  <c r="DM30" i="30" l="1"/>
  <c r="DN13" i="30" s="1"/>
  <c r="DN98" i="30" s="1"/>
  <c r="DM82" i="30"/>
  <c r="DM31" i="30" s="1"/>
  <c r="DN14" i="30" s="1"/>
  <c r="DN99" i="30" s="1"/>
  <c r="DM73" i="30"/>
  <c r="DM22" i="30" s="1"/>
  <c r="DN5" i="30" s="1"/>
  <c r="DN90" i="30" s="1"/>
  <c r="DN81" i="30" s="1"/>
  <c r="FK104" i="30"/>
  <c r="FK36" i="30"/>
  <c r="FL19" i="30" s="1"/>
  <c r="FK34" i="30"/>
  <c r="FL17" i="30" s="1"/>
  <c r="FK102" i="30"/>
  <c r="FK83" i="30" s="1"/>
  <c r="FJ101" i="30"/>
  <c r="FJ33" i="30"/>
  <c r="FK16" i="30" s="1"/>
  <c r="DM86" i="30"/>
  <c r="DM35" i="30" s="1"/>
  <c r="DN18" i="30" s="1"/>
  <c r="DN103" i="30" s="1"/>
  <c r="FJ100" i="30"/>
  <c r="FJ79" i="30" s="1"/>
  <c r="FJ28" i="30" s="1"/>
  <c r="FK11" i="30" s="1"/>
  <c r="FK96" i="30" s="1"/>
  <c r="FJ32" i="30"/>
  <c r="FK15" i="30" s="1"/>
  <c r="DM80" i="30"/>
  <c r="DM29" i="30" s="1"/>
  <c r="DN12" i="30" s="1"/>
  <c r="DN97" i="30" s="1"/>
  <c r="DM71" i="30"/>
  <c r="DM20" i="30" s="1"/>
  <c r="DN3" i="30" s="1"/>
  <c r="DN88" i="30" s="1"/>
  <c r="DM75" i="30"/>
  <c r="DM24" i="30" s="1"/>
  <c r="DN7" i="30" s="1"/>
  <c r="DN92" i="30" s="1"/>
  <c r="FK26" i="30"/>
  <c r="FL9" i="30" s="1"/>
  <c r="FK94" i="30"/>
  <c r="DM74" i="30"/>
  <c r="DM23" i="30" s="1"/>
  <c r="DN6" i="30" s="1"/>
  <c r="DN91" i="30" s="1"/>
  <c r="FJ93" i="30"/>
  <c r="FJ25" i="30"/>
  <c r="FK8" i="30" s="1"/>
  <c r="DN27" i="30"/>
  <c r="DO10" i="30" s="1"/>
  <c r="DO95" i="30" s="1"/>
  <c r="DN30" i="30" l="1"/>
  <c r="DO13" i="30" s="1"/>
  <c r="DO98" i="30" s="1"/>
  <c r="DN72" i="30"/>
  <c r="DN21" i="30" s="1"/>
  <c r="DO4" i="30" s="1"/>
  <c r="DO89" i="30" s="1"/>
  <c r="DO78" i="30" s="1"/>
  <c r="DO27" i="30" s="1"/>
  <c r="DP10" i="30" s="1"/>
  <c r="DP95" i="30" s="1"/>
  <c r="DN73" i="30"/>
  <c r="DN22" i="30" s="1"/>
  <c r="DO5" i="30" s="1"/>
  <c r="DO90" i="30" s="1"/>
  <c r="DO81" i="30" s="1"/>
  <c r="FL36" i="30"/>
  <c r="FM19" i="30" s="1"/>
  <c r="FL104" i="30"/>
  <c r="FL34" i="30"/>
  <c r="FM17" i="30" s="1"/>
  <c r="FL102" i="30"/>
  <c r="FL83" i="30" s="1"/>
  <c r="FK101" i="30"/>
  <c r="FK33" i="30"/>
  <c r="FL16" i="30" s="1"/>
  <c r="FK100" i="30"/>
  <c r="FK79" i="30" s="1"/>
  <c r="FK28" i="30" s="1"/>
  <c r="FL11" i="30" s="1"/>
  <c r="FL96" i="30" s="1"/>
  <c r="FK32" i="30"/>
  <c r="FL15" i="30" s="1"/>
  <c r="DN86" i="30"/>
  <c r="DN35" i="30" s="1"/>
  <c r="DO18" i="30" s="1"/>
  <c r="DO103" i="30" s="1"/>
  <c r="DN71" i="30"/>
  <c r="DN20" i="30" s="1"/>
  <c r="DO3" i="30" s="1"/>
  <c r="DO88" i="30" s="1"/>
  <c r="DN80" i="30"/>
  <c r="DN29" i="30" s="1"/>
  <c r="DO12" i="30" s="1"/>
  <c r="DO97" i="30" s="1"/>
  <c r="DN82" i="30"/>
  <c r="DN31" i="30" s="1"/>
  <c r="DO14" i="30" s="1"/>
  <c r="DO99" i="30" s="1"/>
  <c r="DO72" i="30" s="1"/>
  <c r="DN74" i="30"/>
  <c r="DN23" i="30" s="1"/>
  <c r="DO6" i="30" s="1"/>
  <c r="DO91" i="30" s="1"/>
  <c r="DN75" i="30"/>
  <c r="DN24" i="30" s="1"/>
  <c r="DO7" i="30" s="1"/>
  <c r="DO92" i="30" s="1"/>
  <c r="FL94" i="30"/>
  <c r="FL26" i="30"/>
  <c r="FM9" i="30" s="1"/>
  <c r="FK93" i="30"/>
  <c r="FK25" i="30"/>
  <c r="FL8" i="30" s="1"/>
  <c r="DO30" i="30" l="1"/>
  <c r="DP13" i="30" s="1"/>
  <c r="DP98" i="30" s="1"/>
  <c r="DO82" i="30"/>
  <c r="DO31" i="30" s="1"/>
  <c r="DP14" i="30" s="1"/>
  <c r="DP99" i="30" s="1"/>
  <c r="DP72" i="30" s="1"/>
  <c r="DO21" i="30"/>
  <c r="DP4" i="30" s="1"/>
  <c r="DP89" i="30" s="1"/>
  <c r="DP78" i="30" s="1"/>
  <c r="DP27" i="30" s="1"/>
  <c r="DQ10" i="30" s="1"/>
  <c r="DQ95" i="30" s="1"/>
  <c r="DO71" i="30"/>
  <c r="DO20" i="30" s="1"/>
  <c r="DP3" i="30" s="1"/>
  <c r="DP88" i="30" s="1"/>
  <c r="DO80" i="30"/>
  <c r="DO29" i="30" s="1"/>
  <c r="DP12" i="30" s="1"/>
  <c r="DP97" i="30" s="1"/>
  <c r="FM104" i="30"/>
  <c r="FM36" i="30"/>
  <c r="FN19" i="30" s="1"/>
  <c r="W255" i="30" s="1"/>
  <c r="FM102" i="30"/>
  <c r="FM83" i="30" s="1"/>
  <c r="FM34" i="30"/>
  <c r="FN17" i="30" s="1"/>
  <c r="W245" i="30" s="1"/>
  <c r="FL101" i="30"/>
  <c r="FL33" i="30"/>
  <c r="FM16" i="30" s="1"/>
  <c r="FL100" i="30"/>
  <c r="FL79" i="30" s="1"/>
  <c r="FL28" i="30" s="1"/>
  <c r="FM11" i="30" s="1"/>
  <c r="FM96" i="30" s="1"/>
  <c r="FL32" i="30"/>
  <c r="FM15" i="30" s="1"/>
  <c r="DO86" i="30"/>
  <c r="DO35" i="30" s="1"/>
  <c r="DP18" i="30" s="1"/>
  <c r="DP103" i="30" s="1"/>
  <c r="DO74" i="30"/>
  <c r="DO23" i="30" s="1"/>
  <c r="DP6" i="30" s="1"/>
  <c r="DP91" i="30" s="1"/>
  <c r="DO75" i="30"/>
  <c r="DO24" i="30" s="1"/>
  <c r="DP7" i="30" s="1"/>
  <c r="DP92" i="30" s="1"/>
  <c r="DO73" i="30"/>
  <c r="DO22" i="30" s="1"/>
  <c r="DP5" i="30" s="1"/>
  <c r="DP90" i="30" s="1"/>
  <c r="DP81" i="30" s="1"/>
  <c r="FM94" i="30"/>
  <c r="FM26" i="30"/>
  <c r="FN9" i="30" s="1"/>
  <c r="W205" i="30" s="1"/>
  <c r="FL25" i="30"/>
  <c r="FM8" i="30" s="1"/>
  <c r="FL93" i="30"/>
  <c r="DP30" i="30" l="1"/>
  <c r="DQ13" i="30" s="1"/>
  <c r="DQ98" i="30" s="1"/>
  <c r="DP82" i="30"/>
  <c r="DP31" i="30" s="1"/>
  <c r="DQ14" i="30" s="1"/>
  <c r="DQ99" i="30" s="1"/>
  <c r="DQ72" i="30" s="1"/>
  <c r="DP21" i="30"/>
  <c r="DQ4" i="30" s="1"/>
  <c r="DQ89" i="30" s="1"/>
  <c r="DQ78" i="30" s="1"/>
  <c r="DQ27" i="30" s="1"/>
  <c r="DR10" i="30" s="1"/>
  <c r="Q210" i="30" s="1"/>
  <c r="DP73" i="30"/>
  <c r="DP22" i="30" s="1"/>
  <c r="DQ5" i="30" s="1"/>
  <c r="DQ90" i="30" s="1"/>
  <c r="DQ81" i="30" s="1"/>
  <c r="DP86" i="30"/>
  <c r="DP35" i="30" s="1"/>
  <c r="DQ18" i="30" s="1"/>
  <c r="DQ103" i="30" s="1"/>
  <c r="DP80" i="30"/>
  <c r="DP29" i="30" s="1"/>
  <c r="DQ12" i="30" s="1"/>
  <c r="DQ97" i="30" s="1"/>
  <c r="FN36" i="30"/>
  <c r="FO19" i="30" s="1"/>
  <c r="FN104" i="30"/>
  <c r="FN102" i="30"/>
  <c r="FN83" i="30" s="1"/>
  <c r="FN34" i="30"/>
  <c r="FO17" i="30" s="1"/>
  <c r="FM33" i="30"/>
  <c r="FN16" i="30" s="1"/>
  <c r="W240" i="30" s="1"/>
  <c r="FM101" i="30"/>
  <c r="FM100" i="30"/>
  <c r="FM79" i="30" s="1"/>
  <c r="FM28" i="30" s="1"/>
  <c r="FN11" i="30" s="1"/>
  <c r="W215" i="30" s="1"/>
  <c r="FM32" i="30"/>
  <c r="FN15" i="30" s="1"/>
  <c r="W235" i="30" s="1"/>
  <c r="DP74" i="30"/>
  <c r="DP23" i="30" s="1"/>
  <c r="DQ6" i="30" s="1"/>
  <c r="DQ91" i="30" s="1"/>
  <c r="DP71" i="30"/>
  <c r="DP20" i="30" s="1"/>
  <c r="DQ3" i="30" s="1"/>
  <c r="DQ88" i="30" s="1"/>
  <c r="DP75" i="30"/>
  <c r="DP24" i="30" s="1"/>
  <c r="DQ7" i="30" s="1"/>
  <c r="DQ92" i="30" s="1"/>
  <c r="FN94" i="30"/>
  <c r="FN26" i="30"/>
  <c r="FO9" i="30" s="1"/>
  <c r="FM25" i="30"/>
  <c r="FN8" i="30" s="1"/>
  <c r="W200" i="30" s="1"/>
  <c r="FM93" i="30"/>
  <c r="DQ30" i="30" l="1"/>
  <c r="DR13" i="30" s="1"/>
  <c r="Q225" i="30" s="1"/>
  <c r="DQ82" i="30"/>
  <c r="DQ31" i="30" s="1"/>
  <c r="DR14" i="30" s="1"/>
  <c r="Q230" i="30" s="1"/>
  <c r="DQ73" i="30"/>
  <c r="DQ22" i="30" s="1"/>
  <c r="DR5" i="30" s="1"/>
  <c r="Q185" i="30" s="1"/>
  <c r="DQ21" i="30"/>
  <c r="DR4" i="30" s="1"/>
  <c r="Q180" i="30" s="1"/>
  <c r="DQ74" i="30"/>
  <c r="DQ23" i="30" s="1"/>
  <c r="DR6" i="30" s="1"/>
  <c r="Q190" i="30" s="1"/>
  <c r="FN96" i="30"/>
  <c r="DQ80" i="30"/>
  <c r="DQ29" i="30" s="1"/>
  <c r="DR12" i="30" s="1"/>
  <c r="Q220" i="30" s="1"/>
  <c r="FO104" i="30"/>
  <c r="FO36" i="30"/>
  <c r="FP19" i="30" s="1"/>
  <c r="FO102" i="30"/>
  <c r="FO83" i="30" s="1"/>
  <c r="FO34" i="30"/>
  <c r="FP17" i="30" s="1"/>
  <c r="FN101" i="30"/>
  <c r="FN33" i="30"/>
  <c r="FO16" i="30" s="1"/>
  <c r="FN100" i="30"/>
  <c r="FN79" i="30" s="1"/>
  <c r="FN28" i="30" s="1"/>
  <c r="FO11" i="30" s="1"/>
  <c r="FO96" i="30" s="1"/>
  <c r="FN32" i="30"/>
  <c r="FO15" i="30" s="1"/>
  <c r="DQ75" i="30"/>
  <c r="DQ24" i="30" s="1"/>
  <c r="DR7" i="30" s="1"/>
  <c r="Q195" i="30" s="1"/>
  <c r="DQ71" i="30"/>
  <c r="DQ20" i="30" s="1"/>
  <c r="DR3" i="30" s="1"/>
  <c r="Q175" i="30" s="1"/>
  <c r="DQ86" i="30"/>
  <c r="DQ35" i="30" s="1"/>
  <c r="DR18" i="30" s="1"/>
  <c r="Q250" i="30" s="1"/>
  <c r="FO26" i="30"/>
  <c r="FP9" i="30" s="1"/>
  <c r="FO94" i="30"/>
  <c r="FN25" i="30"/>
  <c r="FO8" i="30" s="1"/>
  <c r="FN93" i="30"/>
  <c r="DR95" i="30"/>
  <c r="DR97" i="30" l="1"/>
  <c r="DR88" i="30"/>
  <c r="DR98" i="30"/>
  <c r="DR99" i="30"/>
  <c r="DR72" i="30" s="1"/>
  <c r="DR21" i="30" s="1"/>
  <c r="DS4" i="30" s="1"/>
  <c r="DS89" i="30" s="1"/>
  <c r="DS78" i="30" s="1"/>
  <c r="DR89" i="30"/>
  <c r="DR78" i="30" s="1"/>
  <c r="DR27" i="30" s="1"/>
  <c r="DS10" i="30" s="1"/>
  <c r="DS95" i="30" s="1"/>
  <c r="DR91" i="30"/>
  <c r="DR92" i="30"/>
  <c r="FP104" i="30"/>
  <c r="FP36" i="30"/>
  <c r="FQ19" i="30" s="1"/>
  <c r="FP34" i="30"/>
  <c r="FQ17" i="30" s="1"/>
  <c r="FP102" i="30"/>
  <c r="FP83" i="30" s="1"/>
  <c r="FO101" i="30"/>
  <c r="FO33" i="30"/>
  <c r="FP16" i="30" s="1"/>
  <c r="FO100" i="30"/>
  <c r="FO79" i="30" s="1"/>
  <c r="FO28" i="30" s="1"/>
  <c r="FP11" i="30" s="1"/>
  <c r="FP96" i="30" s="1"/>
  <c r="FO32" i="30"/>
  <c r="FP15" i="30" s="1"/>
  <c r="DR90" i="30"/>
  <c r="DR81" i="30" s="1"/>
  <c r="DR30" i="30" s="1"/>
  <c r="DS13" i="30" s="1"/>
  <c r="DS98" i="30" s="1"/>
  <c r="FP26" i="30"/>
  <c r="FQ9" i="30" s="1"/>
  <c r="FP94" i="30"/>
  <c r="FO93" i="30"/>
  <c r="FO25" i="30"/>
  <c r="FP8" i="30" s="1"/>
  <c r="DR103" i="30"/>
  <c r="DS27" i="30" l="1"/>
  <c r="DT10" i="30" s="1"/>
  <c r="DT95" i="30" s="1"/>
  <c r="DR82" i="30"/>
  <c r="DR31" i="30" s="1"/>
  <c r="DS14" i="30" s="1"/>
  <c r="DS99" i="30" s="1"/>
  <c r="DS72" i="30" s="1"/>
  <c r="DS21" i="30" s="1"/>
  <c r="DT4" i="30" s="1"/>
  <c r="DT89" i="30" s="1"/>
  <c r="DT78" i="30" s="1"/>
  <c r="DR73" i="30"/>
  <c r="DR22" i="30" s="1"/>
  <c r="DS5" i="30" s="1"/>
  <c r="DS90" i="30" s="1"/>
  <c r="DS81" i="30" s="1"/>
  <c r="DS30" i="30" s="1"/>
  <c r="DT13" i="30" s="1"/>
  <c r="DT98" i="30" s="1"/>
  <c r="DR86" i="30"/>
  <c r="DR35" i="30" s="1"/>
  <c r="DS18" i="30" s="1"/>
  <c r="DS103" i="30" s="1"/>
  <c r="DR80" i="30"/>
  <c r="DR29" i="30" s="1"/>
  <c r="DS12" i="30" s="1"/>
  <c r="DS97" i="30" s="1"/>
  <c r="FQ36" i="30"/>
  <c r="FR19" i="30" s="1"/>
  <c r="FQ104" i="30"/>
  <c r="FQ102" i="30"/>
  <c r="FQ83" i="30" s="1"/>
  <c r="FQ34" i="30"/>
  <c r="FR17" i="30" s="1"/>
  <c r="FP33" i="30"/>
  <c r="FQ16" i="30" s="1"/>
  <c r="FP101" i="30"/>
  <c r="FP100" i="30"/>
  <c r="FP79" i="30" s="1"/>
  <c r="FP28" i="30" s="1"/>
  <c r="FQ11" i="30" s="1"/>
  <c r="FQ96" i="30" s="1"/>
  <c r="FP32" i="30"/>
  <c r="FQ15" i="30" s="1"/>
  <c r="DR75" i="30"/>
  <c r="DR24" i="30" s="1"/>
  <c r="DS7" i="30" s="1"/>
  <c r="DS92" i="30" s="1"/>
  <c r="DR71" i="30"/>
  <c r="DR20" i="30" s="1"/>
  <c r="DS3" i="30" s="1"/>
  <c r="DS88" i="30" s="1"/>
  <c r="DR74" i="30"/>
  <c r="DR23" i="30" s="1"/>
  <c r="DS6" i="30" s="1"/>
  <c r="DS91" i="30" s="1"/>
  <c r="DS82" i="30" s="1"/>
  <c r="FQ94" i="30"/>
  <c r="FQ26" i="30"/>
  <c r="FR9" i="30" s="1"/>
  <c r="FP93" i="30"/>
  <c r="FP25" i="30"/>
  <c r="FQ8" i="30" s="1"/>
  <c r="DT27" i="30" l="1"/>
  <c r="DU10" i="30" s="1"/>
  <c r="DU95" i="30" s="1"/>
  <c r="DS31" i="30"/>
  <c r="DT14" i="30" s="1"/>
  <c r="DT99" i="30" s="1"/>
  <c r="DT72" i="30" s="1"/>
  <c r="DT21" i="30" s="1"/>
  <c r="DU4" i="30" s="1"/>
  <c r="DU89" i="30" s="1"/>
  <c r="DU78" i="30" s="1"/>
  <c r="DS74" i="30"/>
  <c r="DS23" i="30" s="1"/>
  <c r="DT6" i="30" s="1"/>
  <c r="DT91" i="30" s="1"/>
  <c r="DT82" i="30" s="1"/>
  <c r="DS73" i="30"/>
  <c r="DS22" i="30" s="1"/>
  <c r="DT5" i="30" s="1"/>
  <c r="DT90" i="30" s="1"/>
  <c r="DT81" i="30" s="1"/>
  <c r="DT30" i="30" s="1"/>
  <c r="DU13" i="30" s="1"/>
  <c r="DU98" i="30" s="1"/>
  <c r="DS71" i="30"/>
  <c r="DS20" i="30" s="1"/>
  <c r="DT3" i="30" s="1"/>
  <c r="DT88" i="30" s="1"/>
  <c r="FR104" i="30"/>
  <c r="FR36" i="30"/>
  <c r="FS19" i="30" s="1"/>
  <c r="FR102" i="30"/>
  <c r="FR83" i="30" s="1"/>
  <c r="FR34" i="30"/>
  <c r="FS17" i="30" s="1"/>
  <c r="FQ101" i="30"/>
  <c r="FQ33" i="30"/>
  <c r="FR16" i="30" s="1"/>
  <c r="FQ100" i="30"/>
  <c r="FQ79" i="30" s="1"/>
  <c r="FQ28" i="30" s="1"/>
  <c r="FR11" i="30" s="1"/>
  <c r="FR96" i="30" s="1"/>
  <c r="FQ32" i="30"/>
  <c r="FR15" i="30" s="1"/>
  <c r="DS86" i="30"/>
  <c r="DS35" i="30" s="1"/>
  <c r="DT18" i="30" s="1"/>
  <c r="DT103" i="30" s="1"/>
  <c r="DS75" i="30"/>
  <c r="DS24" i="30" s="1"/>
  <c r="DT7" i="30" s="1"/>
  <c r="DT92" i="30" s="1"/>
  <c r="DS80" i="30"/>
  <c r="DS29" i="30" s="1"/>
  <c r="DT12" i="30" s="1"/>
  <c r="DT97" i="30" s="1"/>
  <c r="FR94" i="30"/>
  <c r="FR26" i="30"/>
  <c r="FS9" i="30" s="1"/>
  <c r="FQ25" i="30"/>
  <c r="FR8" i="30" s="1"/>
  <c r="FQ93" i="30"/>
  <c r="DU27" i="30" l="1"/>
  <c r="DV10" i="30" s="1"/>
  <c r="DV95" i="30" s="1"/>
  <c r="DT31" i="30"/>
  <c r="DU14" i="30" s="1"/>
  <c r="DU99" i="30" s="1"/>
  <c r="DU72" i="30" s="1"/>
  <c r="DU21" i="30" s="1"/>
  <c r="DV4" i="30" s="1"/>
  <c r="DV89" i="30" s="1"/>
  <c r="DV78" i="30" s="1"/>
  <c r="DT73" i="30"/>
  <c r="DT22" i="30" s="1"/>
  <c r="DU5" i="30" s="1"/>
  <c r="DU90" i="30" s="1"/>
  <c r="DU81" i="30" s="1"/>
  <c r="DU30" i="30" s="1"/>
  <c r="DV13" i="30" s="1"/>
  <c r="DV98" i="30" s="1"/>
  <c r="DT80" i="30"/>
  <c r="DT29" i="30" s="1"/>
  <c r="DU12" i="30" s="1"/>
  <c r="DU97" i="30" s="1"/>
  <c r="DT74" i="30"/>
  <c r="DT23" i="30" s="1"/>
  <c r="DU6" i="30" s="1"/>
  <c r="DU91" i="30" s="1"/>
  <c r="DU82" i="30" s="1"/>
  <c r="DT75" i="30"/>
  <c r="DT24" i="30" s="1"/>
  <c r="DU7" i="30" s="1"/>
  <c r="DU92" i="30" s="1"/>
  <c r="FS36" i="30"/>
  <c r="FT19" i="30" s="1"/>
  <c r="FS104" i="30"/>
  <c r="FS102" i="30"/>
  <c r="FS83" i="30" s="1"/>
  <c r="FS34" i="30"/>
  <c r="FT17" i="30" s="1"/>
  <c r="FR101" i="30"/>
  <c r="FR33" i="30"/>
  <c r="FS16" i="30" s="1"/>
  <c r="DT86" i="30"/>
  <c r="DT35" i="30" s="1"/>
  <c r="DU18" i="30" s="1"/>
  <c r="DU103" i="30" s="1"/>
  <c r="FR100" i="30"/>
  <c r="FR79" i="30" s="1"/>
  <c r="FR28" i="30" s="1"/>
  <c r="FS11" i="30" s="1"/>
  <c r="FS96" i="30" s="1"/>
  <c r="FR32" i="30"/>
  <c r="FS15" i="30" s="1"/>
  <c r="DT71" i="30"/>
  <c r="DT20" i="30" s="1"/>
  <c r="DU3" i="30" s="1"/>
  <c r="DU88" i="30" s="1"/>
  <c r="FS26" i="30"/>
  <c r="FT9" i="30" s="1"/>
  <c r="FS94" i="30"/>
  <c r="FR93" i="30"/>
  <c r="FR25" i="30"/>
  <c r="FS8" i="30" s="1"/>
  <c r="DV27" i="30" l="1"/>
  <c r="DW10" i="30" s="1"/>
  <c r="DW95" i="30" s="1"/>
  <c r="DU73" i="30"/>
  <c r="DU22" i="30" s="1"/>
  <c r="DV5" i="30" s="1"/>
  <c r="DV90" i="30" s="1"/>
  <c r="DV81" i="30" s="1"/>
  <c r="DV30" i="30" s="1"/>
  <c r="DW13" i="30" s="1"/>
  <c r="DW98" i="30" s="1"/>
  <c r="DU31" i="30"/>
  <c r="DV14" i="30" s="1"/>
  <c r="DV99" i="30" s="1"/>
  <c r="DV72" i="30" s="1"/>
  <c r="DV21" i="30" s="1"/>
  <c r="DW4" i="30" s="1"/>
  <c r="DW89" i="30" s="1"/>
  <c r="DW78" i="30" s="1"/>
  <c r="DU71" i="30"/>
  <c r="DU20" i="30" s="1"/>
  <c r="DV3" i="30" s="1"/>
  <c r="DV88" i="30" s="1"/>
  <c r="DU80" i="30"/>
  <c r="DU29" i="30" s="1"/>
  <c r="DV12" i="30" s="1"/>
  <c r="DV97" i="30" s="1"/>
  <c r="DU74" i="30"/>
  <c r="DU23" i="30" s="1"/>
  <c r="DV6" i="30" s="1"/>
  <c r="DV91" i="30" s="1"/>
  <c r="DV82" i="30" s="1"/>
  <c r="DU86" i="30"/>
  <c r="DU35" i="30" s="1"/>
  <c r="DV18" i="30" s="1"/>
  <c r="DV103" i="30" s="1"/>
  <c r="DU75" i="30"/>
  <c r="DU24" i="30" s="1"/>
  <c r="DV7" i="30" s="1"/>
  <c r="DV92" i="30" s="1"/>
  <c r="FT104" i="30"/>
  <c r="FT36" i="30"/>
  <c r="FU19" i="30" s="1"/>
  <c r="FT102" i="30"/>
  <c r="FT83" i="30" s="1"/>
  <c r="FT34" i="30"/>
  <c r="FU17" i="30" s="1"/>
  <c r="FS33" i="30"/>
  <c r="FT16" i="30" s="1"/>
  <c r="FS101" i="30"/>
  <c r="FS100" i="30"/>
  <c r="FS79" i="30" s="1"/>
  <c r="FS28" i="30" s="1"/>
  <c r="FT11" i="30" s="1"/>
  <c r="FT96" i="30" s="1"/>
  <c r="FS32" i="30"/>
  <c r="FT15" i="30" s="1"/>
  <c r="FT26" i="30"/>
  <c r="FU9" i="30" s="1"/>
  <c r="FT94" i="30"/>
  <c r="FS93" i="30"/>
  <c r="FS25" i="30"/>
  <c r="FT8" i="30" s="1"/>
  <c r="DW27" i="30" l="1"/>
  <c r="DX10" i="30" s="1"/>
  <c r="DX95" i="30" s="1"/>
  <c r="DV31" i="30"/>
  <c r="DW14" i="30" s="1"/>
  <c r="DW99" i="30" s="1"/>
  <c r="DW72" i="30" s="1"/>
  <c r="DW21" i="30" s="1"/>
  <c r="DX4" i="30" s="1"/>
  <c r="DX89" i="30" s="1"/>
  <c r="DX78" i="30" s="1"/>
  <c r="DV73" i="30"/>
  <c r="DV22" i="30" s="1"/>
  <c r="DW5" i="30" s="1"/>
  <c r="DW90" i="30" s="1"/>
  <c r="DW81" i="30" s="1"/>
  <c r="DW30" i="30" s="1"/>
  <c r="DX13" i="30" s="1"/>
  <c r="DX98" i="30" s="1"/>
  <c r="DV71" i="30"/>
  <c r="DV20" i="30" s="1"/>
  <c r="DW3" i="30" s="1"/>
  <c r="DW88" i="30" s="1"/>
  <c r="DV74" i="30"/>
  <c r="DV23" i="30" s="1"/>
  <c r="DW6" i="30" s="1"/>
  <c r="DW91" i="30" s="1"/>
  <c r="DW82" i="30" s="1"/>
  <c r="DV80" i="30"/>
  <c r="DV29" i="30" s="1"/>
  <c r="DW12" i="30" s="1"/>
  <c r="DW97" i="30" s="1"/>
  <c r="DV86" i="30"/>
  <c r="DV35" i="30" s="1"/>
  <c r="DW18" i="30" s="1"/>
  <c r="DW103" i="30" s="1"/>
  <c r="DV75" i="30"/>
  <c r="DV24" i="30" s="1"/>
  <c r="DW7" i="30" s="1"/>
  <c r="DW92" i="30" s="1"/>
  <c r="FU36" i="30"/>
  <c r="FV19" i="30" s="1"/>
  <c r="X255" i="30" s="1"/>
  <c r="FU104" i="30"/>
  <c r="FU102" i="30"/>
  <c r="FU83" i="30" s="1"/>
  <c r="FU34" i="30"/>
  <c r="FV17" i="30" s="1"/>
  <c r="X245" i="30" s="1"/>
  <c r="FT101" i="30"/>
  <c r="FT33" i="30"/>
  <c r="FU16" i="30" s="1"/>
  <c r="FT100" i="30"/>
  <c r="FT79" i="30" s="1"/>
  <c r="FT28" i="30" s="1"/>
  <c r="FU11" i="30" s="1"/>
  <c r="FU96" i="30" s="1"/>
  <c r="FT32" i="30"/>
  <c r="FU15" i="30" s="1"/>
  <c r="FU26" i="30"/>
  <c r="FV9" i="30" s="1"/>
  <c r="X205" i="30" s="1"/>
  <c r="FU94" i="30"/>
  <c r="FT25" i="30"/>
  <c r="FU8" i="30" s="1"/>
  <c r="FT93" i="30"/>
  <c r="DX27" i="30" l="1"/>
  <c r="DY10" i="30" s="1"/>
  <c r="DY95" i="30" s="1"/>
  <c r="DW31" i="30"/>
  <c r="DX14" i="30" s="1"/>
  <c r="DX99" i="30" s="1"/>
  <c r="DX72" i="30" s="1"/>
  <c r="DX21" i="30" s="1"/>
  <c r="DY4" i="30" s="1"/>
  <c r="DY89" i="30" s="1"/>
  <c r="DY78" i="30" s="1"/>
  <c r="DW73" i="30"/>
  <c r="DW22" i="30" s="1"/>
  <c r="DX5" i="30" s="1"/>
  <c r="DX90" i="30" s="1"/>
  <c r="DX81" i="30" s="1"/>
  <c r="DX30" i="30" s="1"/>
  <c r="DY13" i="30" s="1"/>
  <c r="DY98" i="30" s="1"/>
  <c r="DW74" i="30"/>
  <c r="DW23" i="30" s="1"/>
  <c r="DX6" i="30" s="1"/>
  <c r="DX91" i="30" s="1"/>
  <c r="DX82" i="30" s="1"/>
  <c r="DW71" i="30"/>
  <c r="DW20" i="30" s="1"/>
  <c r="DX3" i="30" s="1"/>
  <c r="DX88" i="30" s="1"/>
  <c r="DW80" i="30"/>
  <c r="DW29" i="30" s="1"/>
  <c r="DX12" i="30" s="1"/>
  <c r="DX97" i="30" s="1"/>
  <c r="DW86" i="30"/>
  <c r="DW35" i="30" s="1"/>
  <c r="DX18" i="30" s="1"/>
  <c r="DX103" i="30" s="1"/>
  <c r="DW75" i="30"/>
  <c r="DW24" i="30" s="1"/>
  <c r="DX7" i="30" s="1"/>
  <c r="DX92" i="30" s="1"/>
  <c r="FV104" i="30"/>
  <c r="FV36" i="30"/>
  <c r="FW19" i="30" s="1"/>
  <c r="FV102" i="30"/>
  <c r="FV83" i="30" s="1"/>
  <c r="FV34" i="30"/>
  <c r="FW17" i="30" s="1"/>
  <c r="FU33" i="30"/>
  <c r="FV16" i="30" s="1"/>
  <c r="X240" i="30" s="1"/>
  <c r="FU101" i="30"/>
  <c r="FU100" i="30"/>
  <c r="FU79" i="30" s="1"/>
  <c r="FU28" i="30" s="1"/>
  <c r="FV11" i="30" s="1"/>
  <c r="X215" i="30" s="1"/>
  <c r="FU32" i="30"/>
  <c r="FV15" i="30" s="1"/>
  <c r="X235" i="30" s="1"/>
  <c r="FV94" i="30"/>
  <c r="FV26" i="30"/>
  <c r="FW9" i="30" s="1"/>
  <c r="FU93" i="30"/>
  <c r="FU25" i="30"/>
  <c r="FV8" i="30" s="1"/>
  <c r="X200" i="30" s="1"/>
  <c r="FV96" i="30" l="1"/>
  <c r="DY27" i="30"/>
  <c r="DZ10" i="30" s="1"/>
  <c r="R210" i="30" s="1"/>
  <c r="DX73" i="30"/>
  <c r="DX22" i="30" s="1"/>
  <c r="DY5" i="30" s="1"/>
  <c r="DY90" i="30" s="1"/>
  <c r="DY81" i="30" s="1"/>
  <c r="DY30" i="30" s="1"/>
  <c r="DZ13" i="30" s="1"/>
  <c r="R225" i="30" s="1"/>
  <c r="DX31" i="30"/>
  <c r="DY14" i="30" s="1"/>
  <c r="DY99" i="30" s="1"/>
  <c r="DY72" i="30" s="1"/>
  <c r="DY21" i="30" s="1"/>
  <c r="DZ4" i="30" s="1"/>
  <c r="R180" i="30" s="1"/>
  <c r="DX71" i="30"/>
  <c r="DX20" i="30" s="1"/>
  <c r="DY3" i="30" s="1"/>
  <c r="DY88" i="30" s="1"/>
  <c r="DX75" i="30"/>
  <c r="DX24" i="30" s="1"/>
  <c r="DY7" i="30" s="1"/>
  <c r="DY92" i="30" s="1"/>
  <c r="DX86" i="30"/>
  <c r="DX35" i="30" s="1"/>
  <c r="DY18" i="30" s="1"/>
  <c r="DY103" i="30" s="1"/>
  <c r="DX80" i="30"/>
  <c r="DX29" i="30" s="1"/>
  <c r="DY12" i="30" s="1"/>
  <c r="DY97" i="30" s="1"/>
  <c r="DX74" i="30"/>
  <c r="DX23" i="30" s="1"/>
  <c r="DY6" i="30" s="1"/>
  <c r="DY91" i="30" s="1"/>
  <c r="DY82" i="30" s="1"/>
  <c r="FW104" i="30"/>
  <c r="FW36" i="30"/>
  <c r="FX19" i="30" s="1"/>
  <c r="FW34" i="30"/>
  <c r="FX17" i="30" s="1"/>
  <c r="FW102" i="30"/>
  <c r="FW83" i="30" s="1"/>
  <c r="FV101" i="30"/>
  <c r="FV33" i="30"/>
  <c r="FW16" i="30" s="1"/>
  <c r="FV100" i="30"/>
  <c r="FV79" i="30" s="1"/>
  <c r="FV28" i="30" s="1"/>
  <c r="FW11" i="30" s="1"/>
  <c r="FW96" i="30" s="1"/>
  <c r="FV32" i="30"/>
  <c r="FW15" i="30" s="1"/>
  <c r="FW94" i="30"/>
  <c r="FW26" i="30"/>
  <c r="FX9" i="30" s="1"/>
  <c r="FV25" i="30"/>
  <c r="FW8" i="30" s="1"/>
  <c r="FV93" i="30"/>
  <c r="DZ95" i="30" l="1"/>
  <c r="DY71" i="30"/>
  <c r="DY20" i="30" s="1"/>
  <c r="DZ3" i="30" s="1"/>
  <c r="R175" i="30" s="1"/>
  <c r="DY31" i="30"/>
  <c r="DZ14" i="30" s="1"/>
  <c r="R230" i="30" s="1"/>
  <c r="DZ89" i="30"/>
  <c r="DZ78" i="30" s="1"/>
  <c r="DZ27" i="30" s="1"/>
  <c r="EA10" i="30" s="1"/>
  <c r="EA95" i="30" s="1"/>
  <c r="DY74" i="30"/>
  <c r="DY23" i="30" s="1"/>
  <c r="DZ6" i="30" s="1"/>
  <c r="R190" i="30" s="1"/>
  <c r="DY73" i="30"/>
  <c r="DY22" i="30" s="1"/>
  <c r="DZ5" i="30" s="1"/>
  <c r="R185" i="30" s="1"/>
  <c r="DY80" i="30"/>
  <c r="DY29" i="30" s="1"/>
  <c r="DZ12" i="30" s="1"/>
  <c r="R220" i="30" s="1"/>
  <c r="DY75" i="30"/>
  <c r="DY24" i="30" s="1"/>
  <c r="DZ7" i="30" s="1"/>
  <c r="R195" i="30" s="1"/>
  <c r="DY86" i="30"/>
  <c r="DY35" i="30" s="1"/>
  <c r="DZ18" i="30" s="1"/>
  <c r="R250" i="30" s="1"/>
  <c r="FX104" i="30"/>
  <c r="FX36" i="30"/>
  <c r="FY19" i="30" s="1"/>
  <c r="FX34" i="30"/>
  <c r="FY17" i="30" s="1"/>
  <c r="FX102" i="30"/>
  <c r="FX83" i="30" s="1"/>
  <c r="FW33" i="30"/>
  <c r="FX16" i="30" s="1"/>
  <c r="FW101" i="30"/>
  <c r="FW100" i="30"/>
  <c r="FW79" i="30" s="1"/>
  <c r="FW28" i="30" s="1"/>
  <c r="FX11" i="30" s="1"/>
  <c r="FX96" i="30" s="1"/>
  <c r="FW32" i="30"/>
  <c r="FX15" i="30" s="1"/>
  <c r="FX26" i="30"/>
  <c r="FY9" i="30" s="1"/>
  <c r="FX94" i="30"/>
  <c r="FW25" i="30"/>
  <c r="FX8" i="30" s="1"/>
  <c r="FW93" i="30"/>
  <c r="DZ98" i="30"/>
  <c r="DZ99" i="30" l="1"/>
  <c r="DZ72" i="30" s="1"/>
  <c r="DZ21" i="30" s="1"/>
  <c r="EA4" i="30" s="1"/>
  <c r="EA89" i="30" s="1"/>
  <c r="EA78" i="30" s="1"/>
  <c r="EA27" i="30" s="1"/>
  <c r="EB10" i="30" s="1"/>
  <c r="EB95" i="30" s="1"/>
  <c r="DZ90" i="30"/>
  <c r="DZ81" i="30" s="1"/>
  <c r="DZ30" i="30" s="1"/>
  <c r="EA13" i="30" s="1"/>
  <c r="EA98" i="30" s="1"/>
  <c r="DZ88" i="30"/>
  <c r="DZ103" i="30"/>
  <c r="DZ92" i="30"/>
  <c r="DZ97" i="30"/>
  <c r="DZ91" i="30"/>
  <c r="DZ82" i="30" s="1"/>
  <c r="DZ31" i="30" s="1"/>
  <c r="EA14" i="30" s="1"/>
  <c r="EA99" i="30" s="1"/>
  <c r="EA72" i="30" s="1"/>
  <c r="FY104" i="30"/>
  <c r="FY36" i="30"/>
  <c r="FZ19" i="30" s="1"/>
  <c r="FY34" i="30"/>
  <c r="FZ17" i="30" s="1"/>
  <c r="FY102" i="30"/>
  <c r="FY83" i="30" s="1"/>
  <c r="FX33" i="30"/>
  <c r="FY16" i="30" s="1"/>
  <c r="FX101" i="30"/>
  <c r="FX100" i="30"/>
  <c r="FX79" i="30" s="1"/>
  <c r="FX28" i="30" s="1"/>
  <c r="FY11" i="30" s="1"/>
  <c r="FY96" i="30" s="1"/>
  <c r="FX32" i="30"/>
  <c r="FY15" i="30" s="1"/>
  <c r="FY94" i="30"/>
  <c r="FY26" i="30"/>
  <c r="FZ9" i="30" s="1"/>
  <c r="FX25" i="30"/>
  <c r="FY8" i="30" s="1"/>
  <c r="FX93" i="30"/>
  <c r="DZ73" i="30" l="1"/>
  <c r="DZ22" i="30" s="1"/>
  <c r="EA5" i="30" s="1"/>
  <c r="EA90" i="30" s="1"/>
  <c r="EA81" i="30" s="1"/>
  <c r="EA30" i="30" s="1"/>
  <c r="EB13" i="30" s="1"/>
  <c r="EB98" i="30" s="1"/>
  <c r="DZ71" i="30"/>
  <c r="DZ20" i="30" s="1"/>
  <c r="EA3" i="30" s="1"/>
  <c r="EA88" i="30" s="1"/>
  <c r="DZ74" i="30"/>
  <c r="DZ23" i="30" s="1"/>
  <c r="EA6" i="30" s="1"/>
  <c r="EA91" i="30" s="1"/>
  <c r="EA82" i="30" s="1"/>
  <c r="EA31" i="30" s="1"/>
  <c r="EB14" i="30" s="1"/>
  <c r="EB99" i="30" s="1"/>
  <c r="EB72" i="30" s="1"/>
  <c r="DZ80" i="30"/>
  <c r="DZ29" i="30" s="1"/>
  <c r="EA12" i="30" s="1"/>
  <c r="EA97" i="30" s="1"/>
  <c r="EA21" i="30"/>
  <c r="EB4" i="30" s="1"/>
  <c r="EB89" i="30" s="1"/>
  <c r="EB78" i="30" s="1"/>
  <c r="EB27" i="30" s="1"/>
  <c r="EC10" i="30" s="1"/>
  <c r="EC95" i="30" s="1"/>
  <c r="DZ86" i="30"/>
  <c r="DZ35" i="30" s="1"/>
  <c r="EA18" i="30" s="1"/>
  <c r="EA103" i="30" s="1"/>
  <c r="DZ75" i="30"/>
  <c r="DZ24" i="30" s="1"/>
  <c r="EA7" i="30" s="1"/>
  <c r="EA92" i="30" s="1"/>
  <c r="FZ104" i="30"/>
  <c r="FZ36" i="30"/>
  <c r="GA19" i="30" s="1"/>
  <c r="FZ102" i="30"/>
  <c r="FZ83" i="30" s="1"/>
  <c r="FZ34" i="30"/>
  <c r="GA17" i="30" s="1"/>
  <c r="FY101" i="30"/>
  <c r="FY33" i="30"/>
  <c r="FZ16" i="30" s="1"/>
  <c r="FY100" i="30"/>
  <c r="FY79" i="30" s="1"/>
  <c r="FY28" i="30" s="1"/>
  <c r="FZ11" i="30" s="1"/>
  <c r="FZ96" i="30" s="1"/>
  <c r="FY32" i="30"/>
  <c r="FZ15" i="30" s="1"/>
  <c r="FZ26" i="30"/>
  <c r="GA9" i="30" s="1"/>
  <c r="FZ94" i="30"/>
  <c r="EA73" i="30"/>
  <c r="FY25" i="30"/>
  <c r="FZ8" i="30" s="1"/>
  <c r="FY93" i="30"/>
  <c r="EA22" i="30" l="1"/>
  <c r="EB5" i="30" s="1"/>
  <c r="EB90" i="30" s="1"/>
  <c r="EB81" i="30" s="1"/>
  <c r="EB30" i="30" s="1"/>
  <c r="EC13" i="30" s="1"/>
  <c r="EC98" i="30" s="1"/>
  <c r="EA71" i="30"/>
  <c r="EA20" i="30" s="1"/>
  <c r="EB3" i="30" s="1"/>
  <c r="EB88" i="30" s="1"/>
  <c r="EA80" i="30"/>
  <c r="EA29" i="30" s="1"/>
  <c r="EB12" i="30" s="1"/>
  <c r="EB97" i="30" s="1"/>
  <c r="EB21" i="30"/>
  <c r="EC4" i="30" s="1"/>
  <c r="EC89" i="30" s="1"/>
  <c r="EC78" i="30" s="1"/>
  <c r="EC27" i="30" s="1"/>
  <c r="ED10" i="30" s="1"/>
  <c r="ED95" i="30" s="1"/>
  <c r="EA75" i="30"/>
  <c r="EA24" i="30" s="1"/>
  <c r="EB7" i="30" s="1"/>
  <c r="EB92" i="30" s="1"/>
  <c r="EA86" i="30"/>
  <c r="EA35" i="30" s="1"/>
  <c r="EB18" i="30" s="1"/>
  <c r="EB103" i="30" s="1"/>
  <c r="EA74" i="30"/>
  <c r="EA23" i="30" s="1"/>
  <c r="EB6" i="30" s="1"/>
  <c r="EB91" i="30" s="1"/>
  <c r="GA104" i="30"/>
  <c r="GA36" i="30"/>
  <c r="GB19" i="30" s="1"/>
  <c r="GA102" i="30"/>
  <c r="GA83" i="30" s="1"/>
  <c r="GA34" i="30"/>
  <c r="GB17" i="30" s="1"/>
  <c r="FZ33" i="30"/>
  <c r="GA16" i="30" s="1"/>
  <c r="FZ101" i="30"/>
  <c r="FZ100" i="30"/>
  <c r="FZ79" i="30" s="1"/>
  <c r="FZ28" i="30" s="1"/>
  <c r="GA11" i="30" s="1"/>
  <c r="GA96" i="30" s="1"/>
  <c r="FZ32" i="30"/>
  <c r="GA15" i="30" s="1"/>
  <c r="GA94" i="30"/>
  <c r="GA26" i="30"/>
  <c r="GB9" i="30" s="1"/>
  <c r="FZ25" i="30"/>
  <c r="GA8" i="30" s="1"/>
  <c r="FZ93" i="30"/>
  <c r="EB73" i="30"/>
  <c r="EB74" i="30" l="1"/>
  <c r="EB23" i="30" s="1"/>
  <c r="EC6" i="30" s="1"/>
  <c r="EC91" i="30" s="1"/>
  <c r="EB22" i="30"/>
  <c r="EC5" i="30" s="1"/>
  <c r="EC90" i="30" s="1"/>
  <c r="EC81" i="30" s="1"/>
  <c r="EC30" i="30" s="1"/>
  <c r="ED13" i="30" s="1"/>
  <c r="ED98" i="30" s="1"/>
  <c r="EB71" i="30"/>
  <c r="EB20" i="30" s="1"/>
  <c r="EC3" i="30" s="1"/>
  <c r="EC88" i="30" s="1"/>
  <c r="EB75" i="30"/>
  <c r="EB24" i="30" s="1"/>
  <c r="EC7" i="30" s="1"/>
  <c r="EC92" i="30" s="1"/>
  <c r="EB80" i="30"/>
  <c r="EB29" i="30" s="1"/>
  <c r="EC12" i="30" s="1"/>
  <c r="EC97" i="30" s="1"/>
  <c r="EB82" i="30"/>
  <c r="EB31" i="30" s="1"/>
  <c r="EC14" i="30" s="1"/>
  <c r="EC99" i="30" s="1"/>
  <c r="EC72" i="30" s="1"/>
  <c r="EC21" i="30" s="1"/>
  <c r="ED4" i="30" s="1"/>
  <c r="ED89" i="30" s="1"/>
  <c r="ED78" i="30" s="1"/>
  <c r="ED27" i="30" s="1"/>
  <c r="EE10" i="30" s="1"/>
  <c r="EE95" i="30" s="1"/>
  <c r="EB86" i="30"/>
  <c r="EB35" i="30" s="1"/>
  <c r="EC18" i="30" s="1"/>
  <c r="EC103" i="30" s="1"/>
  <c r="GB104" i="30"/>
  <c r="GB36" i="30"/>
  <c r="GC19" i="30" s="1"/>
  <c r="GB34" i="30"/>
  <c r="GC17" i="30" s="1"/>
  <c r="GB102" i="30"/>
  <c r="GB83" i="30" s="1"/>
  <c r="GA33" i="30"/>
  <c r="GB16" i="30" s="1"/>
  <c r="GA101" i="30"/>
  <c r="GA100" i="30"/>
  <c r="GA79" i="30" s="1"/>
  <c r="GA28" i="30" s="1"/>
  <c r="GB11" i="30" s="1"/>
  <c r="GB96" i="30" s="1"/>
  <c r="GA32" i="30"/>
  <c r="GB15" i="30" s="1"/>
  <c r="GB26" i="30"/>
  <c r="GC9" i="30" s="1"/>
  <c r="GB94" i="30"/>
  <c r="GA25" i="30"/>
  <c r="GB8" i="30" s="1"/>
  <c r="GA93" i="30"/>
  <c r="EC71" i="30" l="1"/>
  <c r="EC20" i="30" s="1"/>
  <c r="ED3" i="30" s="1"/>
  <c r="ED88" i="30" s="1"/>
  <c r="EC75" i="30"/>
  <c r="EC24" i="30" s="1"/>
  <c r="ED7" i="30" s="1"/>
  <c r="ED92" i="30" s="1"/>
  <c r="EC80" i="30"/>
  <c r="EC29" i="30" s="1"/>
  <c r="ED12" i="30" s="1"/>
  <c r="ED97" i="30" s="1"/>
  <c r="EC86" i="30"/>
  <c r="EC35" i="30" s="1"/>
  <c r="ED18" i="30" s="1"/>
  <c r="ED103" i="30" s="1"/>
  <c r="EC82" i="30"/>
  <c r="EC31" i="30" s="1"/>
  <c r="ED14" i="30" s="1"/>
  <c r="ED99" i="30" s="1"/>
  <c r="ED72" i="30" s="1"/>
  <c r="ED21" i="30" s="1"/>
  <c r="EE4" i="30" s="1"/>
  <c r="EE89" i="30" s="1"/>
  <c r="EE78" i="30" s="1"/>
  <c r="EE27" i="30" s="1"/>
  <c r="EF10" i="30" s="1"/>
  <c r="EF95" i="30" s="1"/>
  <c r="EC74" i="30"/>
  <c r="EC23" i="30" s="1"/>
  <c r="ED6" i="30" s="1"/>
  <c r="ED91" i="30" s="1"/>
  <c r="ED82" i="30" s="1"/>
  <c r="EC73" i="30"/>
  <c r="EC22" i="30" s="1"/>
  <c r="ED5" i="30" s="1"/>
  <c r="ED90" i="30" s="1"/>
  <c r="ED81" i="30" s="1"/>
  <c r="ED30" i="30" s="1"/>
  <c r="EE13" i="30" s="1"/>
  <c r="EE98" i="30" s="1"/>
  <c r="GC104" i="30"/>
  <c r="GC36" i="30"/>
  <c r="GD19" i="30" s="1"/>
  <c r="Y255" i="30" s="1"/>
  <c r="GC102" i="30"/>
  <c r="GC83" i="30" s="1"/>
  <c r="GC34" i="30"/>
  <c r="GD17" i="30" s="1"/>
  <c r="Y245" i="30" s="1"/>
  <c r="GB101" i="30"/>
  <c r="GB33" i="30"/>
  <c r="GC16" i="30" s="1"/>
  <c r="GB100" i="30"/>
  <c r="GB79" i="30" s="1"/>
  <c r="GB28" i="30" s="1"/>
  <c r="GC11" i="30" s="1"/>
  <c r="GC96" i="30" s="1"/>
  <c r="GB32" i="30"/>
  <c r="GC15" i="30" s="1"/>
  <c r="GC26" i="30"/>
  <c r="GD9" i="30" s="1"/>
  <c r="Y205" i="30" s="1"/>
  <c r="GC94" i="30"/>
  <c r="GB25" i="30"/>
  <c r="GC8" i="30" s="1"/>
  <c r="GB93" i="30"/>
  <c r="ED86" i="30" l="1"/>
  <c r="ED35" i="30" s="1"/>
  <c r="EE18" i="30" s="1"/>
  <c r="EE103" i="30" s="1"/>
  <c r="ED73" i="30"/>
  <c r="ED22" i="30" s="1"/>
  <c r="EE5" i="30" s="1"/>
  <c r="EE90" i="30" s="1"/>
  <c r="EE81" i="30" s="1"/>
  <c r="EE30" i="30" s="1"/>
  <c r="EF13" i="30" s="1"/>
  <c r="EF98" i="30" s="1"/>
  <c r="ED31" i="30"/>
  <c r="EE14" i="30" s="1"/>
  <c r="EE99" i="30" s="1"/>
  <c r="EE72" i="30" s="1"/>
  <c r="EE21" i="30" s="1"/>
  <c r="EF4" i="30" s="1"/>
  <c r="EF89" i="30" s="1"/>
  <c r="EF78" i="30" s="1"/>
  <c r="EF27" i="30" s="1"/>
  <c r="EG10" i="30" s="1"/>
  <c r="EG95" i="30" s="1"/>
  <c r="ED71" i="30"/>
  <c r="ED20" i="30" s="1"/>
  <c r="EE3" i="30" s="1"/>
  <c r="EE88" i="30" s="1"/>
  <c r="ED80" i="30"/>
  <c r="ED29" i="30" s="1"/>
  <c r="EE12" i="30" s="1"/>
  <c r="EE97" i="30" s="1"/>
  <c r="ED75" i="30"/>
  <c r="ED24" i="30" s="1"/>
  <c r="EE7" i="30" s="1"/>
  <c r="EE92" i="30" s="1"/>
  <c r="ED74" i="30"/>
  <c r="ED23" i="30" s="1"/>
  <c r="EE6" i="30" s="1"/>
  <c r="EE91" i="30" s="1"/>
  <c r="GD104" i="30"/>
  <c r="GD36" i="30"/>
  <c r="GE19" i="30" s="1"/>
  <c r="GD102" i="30"/>
  <c r="GD83" i="30" s="1"/>
  <c r="GD34" i="30"/>
  <c r="GE17" i="30" s="1"/>
  <c r="GC33" i="30"/>
  <c r="GD16" i="30" s="1"/>
  <c r="Y240" i="30" s="1"/>
  <c r="GC101" i="30"/>
  <c r="GC100" i="30"/>
  <c r="GC79" i="30" s="1"/>
  <c r="GC28" i="30" s="1"/>
  <c r="GD11" i="30" s="1"/>
  <c r="Y215" i="30" s="1"/>
  <c r="GC32" i="30"/>
  <c r="GD15" i="30" s="1"/>
  <c r="Y235" i="30" s="1"/>
  <c r="GD26" i="30"/>
  <c r="GE9" i="30" s="1"/>
  <c r="GD94" i="30"/>
  <c r="GC25" i="30"/>
  <c r="GD8" i="30" s="1"/>
  <c r="Y200" i="30" s="1"/>
  <c r="GC93" i="30"/>
  <c r="GD96" i="30" l="1"/>
  <c r="EE73" i="30"/>
  <c r="EE22" i="30" s="1"/>
  <c r="EF5" i="30" s="1"/>
  <c r="EF90" i="30" s="1"/>
  <c r="EF81" i="30" s="1"/>
  <c r="EF30" i="30" s="1"/>
  <c r="EG13" i="30" s="1"/>
  <c r="EG98" i="30" s="1"/>
  <c r="EE74" i="30"/>
  <c r="EE23" i="30" s="1"/>
  <c r="EF6" i="30" s="1"/>
  <c r="EF91" i="30" s="1"/>
  <c r="EF82" i="30" s="1"/>
  <c r="EE80" i="30"/>
  <c r="EE29" i="30" s="1"/>
  <c r="EF12" i="30" s="1"/>
  <c r="EF97" i="30" s="1"/>
  <c r="EE71" i="30"/>
  <c r="EE20" i="30" s="1"/>
  <c r="EF3" i="30" s="1"/>
  <c r="EF88" i="30" s="1"/>
  <c r="EE75" i="30"/>
  <c r="EE24" i="30" s="1"/>
  <c r="EF7" i="30" s="1"/>
  <c r="EF92" i="30" s="1"/>
  <c r="EE82" i="30"/>
  <c r="EE31" i="30" s="1"/>
  <c r="EF14" i="30" s="1"/>
  <c r="EF99" i="30" s="1"/>
  <c r="EF72" i="30" s="1"/>
  <c r="EF21" i="30" s="1"/>
  <c r="EG4" i="30" s="1"/>
  <c r="EG89" i="30" s="1"/>
  <c r="EG78" i="30" s="1"/>
  <c r="EG27" i="30" s="1"/>
  <c r="EH10" i="30" s="1"/>
  <c r="S210" i="30" s="1"/>
  <c r="EE86" i="30"/>
  <c r="EE35" i="30" s="1"/>
  <c r="EF18" i="30" s="1"/>
  <c r="EF103" i="30" s="1"/>
  <c r="GE104" i="30"/>
  <c r="GE36" i="30"/>
  <c r="GF19" i="30" s="1"/>
  <c r="GE102" i="30"/>
  <c r="GE83" i="30" s="1"/>
  <c r="GE34" i="30"/>
  <c r="GF17" i="30" s="1"/>
  <c r="GD33" i="30"/>
  <c r="GE16" i="30" s="1"/>
  <c r="GD101" i="30"/>
  <c r="GD100" i="30"/>
  <c r="GD79" i="30" s="1"/>
  <c r="GD28" i="30" s="1"/>
  <c r="GE11" i="30" s="1"/>
  <c r="GE96" i="30" s="1"/>
  <c r="GD32" i="30"/>
  <c r="GE15" i="30" s="1"/>
  <c r="GE94" i="30"/>
  <c r="GE26" i="30"/>
  <c r="GF9" i="30" s="1"/>
  <c r="GD93" i="30"/>
  <c r="GD25" i="30"/>
  <c r="GE8" i="30" s="1"/>
  <c r="EF71" i="30" l="1"/>
  <c r="EF20" i="30" s="1"/>
  <c r="EG3" i="30" s="1"/>
  <c r="EG88" i="30" s="1"/>
  <c r="EF75" i="30"/>
  <c r="EF24" i="30" s="1"/>
  <c r="EG7" i="30" s="1"/>
  <c r="EG92" i="30" s="1"/>
  <c r="EF86" i="30"/>
  <c r="EF35" i="30" s="1"/>
  <c r="EG18" i="30" s="1"/>
  <c r="EG103" i="30" s="1"/>
  <c r="EF80" i="30"/>
  <c r="EF29" i="30" s="1"/>
  <c r="EG12" i="30" s="1"/>
  <c r="EG97" i="30" s="1"/>
  <c r="EF31" i="30"/>
  <c r="EG14" i="30" s="1"/>
  <c r="EG99" i="30" s="1"/>
  <c r="EG72" i="30" s="1"/>
  <c r="EG21" i="30" s="1"/>
  <c r="EH4" i="30" s="1"/>
  <c r="S180" i="30" s="1"/>
  <c r="EF74" i="30"/>
  <c r="EF23" i="30" s="1"/>
  <c r="EG6" i="30" s="1"/>
  <c r="EG91" i="30" s="1"/>
  <c r="EG82" i="30" s="1"/>
  <c r="EF73" i="30"/>
  <c r="EF22" i="30" s="1"/>
  <c r="EG5" i="30" s="1"/>
  <c r="EG90" i="30" s="1"/>
  <c r="GF104" i="30"/>
  <c r="GF36" i="30"/>
  <c r="GG19" i="30" s="1"/>
  <c r="GF102" i="30"/>
  <c r="GF83" i="30" s="1"/>
  <c r="GF34" i="30"/>
  <c r="GG17" i="30" s="1"/>
  <c r="GE101" i="30"/>
  <c r="GE33" i="30"/>
  <c r="GF16" i="30" s="1"/>
  <c r="GE100" i="30"/>
  <c r="GE79" i="30" s="1"/>
  <c r="GE28" i="30" s="1"/>
  <c r="GF11" i="30" s="1"/>
  <c r="GF96" i="30" s="1"/>
  <c r="GE32" i="30"/>
  <c r="GF15" i="30" s="1"/>
  <c r="GF94" i="30"/>
  <c r="GF26" i="30"/>
  <c r="GG9" i="30" s="1"/>
  <c r="GE93" i="30"/>
  <c r="GE25" i="30"/>
  <c r="GF8" i="30" s="1"/>
  <c r="EH95" i="30"/>
  <c r="EG73" i="30" l="1"/>
  <c r="EG22" i="30" s="1"/>
  <c r="EH5" i="30" s="1"/>
  <c r="S185" i="30" s="1"/>
  <c r="EG31" i="30"/>
  <c r="EH14" i="30" s="1"/>
  <c r="S230" i="30" s="1"/>
  <c r="EG71" i="30"/>
  <c r="EG20" i="30" s="1"/>
  <c r="EH3" i="30" s="1"/>
  <c r="S175" i="30" s="1"/>
  <c r="EG86" i="30"/>
  <c r="EG35" i="30" s="1"/>
  <c r="EH18" i="30" s="1"/>
  <c r="S250" i="30" s="1"/>
  <c r="EG74" i="30"/>
  <c r="EG23" i="30" s="1"/>
  <c r="EH6" i="30" s="1"/>
  <c r="S190" i="30" s="1"/>
  <c r="EH89" i="30"/>
  <c r="EH78" i="30" s="1"/>
  <c r="EH27" i="30" s="1"/>
  <c r="EI10" i="30" s="1"/>
  <c r="EI95" i="30" s="1"/>
  <c r="EG81" i="30"/>
  <c r="EG30" i="30" s="1"/>
  <c r="EH13" i="30" s="1"/>
  <c r="S225" i="30" s="1"/>
  <c r="EG80" i="30"/>
  <c r="EG29" i="30" s="1"/>
  <c r="EH12" i="30" s="1"/>
  <c r="S220" i="30" s="1"/>
  <c r="EG75" i="30"/>
  <c r="EG24" i="30" s="1"/>
  <c r="EH7" i="30" s="1"/>
  <c r="S195" i="30" s="1"/>
  <c r="GG104" i="30"/>
  <c r="GG36" i="30"/>
  <c r="GH19" i="30" s="1"/>
  <c r="GG34" i="30"/>
  <c r="GH17" i="30" s="1"/>
  <c r="GG102" i="30"/>
  <c r="GG83" i="30" s="1"/>
  <c r="GF101" i="30"/>
  <c r="GF33" i="30"/>
  <c r="GG16" i="30" s="1"/>
  <c r="GF100" i="30"/>
  <c r="GF79" i="30" s="1"/>
  <c r="GF28" i="30" s="1"/>
  <c r="GG11" i="30" s="1"/>
  <c r="GG96" i="30" s="1"/>
  <c r="GF32" i="30"/>
  <c r="GG15" i="30" s="1"/>
  <c r="GG94" i="30"/>
  <c r="GG26" i="30"/>
  <c r="GH9" i="30" s="1"/>
  <c r="GF25" i="30"/>
  <c r="GG8" i="30" s="1"/>
  <c r="GF93" i="30"/>
  <c r="EH103" i="30" l="1"/>
  <c r="EH88" i="30"/>
  <c r="EH99" i="30"/>
  <c r="EH72" i="30" s="1"/>
  <c r="EH21" i="30" s="1"/>
  <c r="EI4" i="30" s="1"/>
  <c r="EI89" i="30" s="1"/>
  <c r="EI78" i="30" s="1"/>
  <c r="EI27" i="30" s="1"/>
  <c r="EJ10" i="30" s="1"/>
  <c r="EJ95" i="30" s="1"/>
  <c r="EH91" i="30"/>
  <c r="EH98" i="30"/>
  <c r="EH97" i="30"/>
  <c r="EH90" i="30"/>
  <c r="EH81" i="30" s="1"/>
  <c r="EH30" i="30" s="1"/>
  <c r="EI13" i="30" s="1"/>
  <c r="EI98" i="30" s="1"/>
  <c r="EH92" i="30"/>
  <c r="GH36" i="30"/>
  <c r="GI19" i="30" s="1"/>
  <c r="GH104" i="30"/>
  <c r="GH102" i="30"/>
  <c r="GH83" i="30" s="1"/>
  <c r="GH34" i="30"/>
  <c r="GI17" i="30" s="1"/>
  <c r="GG101" i="30"/>
  <c r="GG33" i="30"/>
  <c r="GH16" i="30" s="1"/>
  <c r="GG100" i="30"/>
  <c r="GG79" i="30" s="1"/>
  <c r="GG28" i="30" s="1"/>
  <c r="GH11" i="30" s="1"/>
  <c r="GH96" i="30" s="1"/>
  <c r="GG32" i="30"/>
  <c r="GH15" i="30" s="1"/>
  <c r="GH26" i="30"/>
  <c r="GI9" i="30" s="1"/>
  <c r="GH94" i="30"/>
  <c r="GG25" i="30"/>
  <c r="GH8" i="30" s="1"/>
  <c r="GG93" i="30"/>
  <c r="EH73" i="30" l="1"/>
  <c r="EH22" i="30" s="1"/>
  <c r="EI5" i="30" s="1"/>
  <c r="EI90" i="30" s="1"/>
  <c r="EI81" i="30" s="1"/>
  <c r="EI30" i="30" s="1"/>
  <c r="EJ13" i="30" s="1"/>
  <c r="EJ98" i="30" s="1"/>
  <c r="EH82" i="30"/>
  <c r="EH31" i="30" s="1"/>
  <c r="EI14" i="30" s="1"/>
  <c r="EI99" i="30" s="1"/>
  <c r="EI72" i="30" s="1"/>
  <c r="EI21" i="30" s="1"/>
  <c r="EJ4" i="30" s="1"/>
  <c r="EJ89" i="30" s="1"/>
  <c r="EH71" i="30"/>
  <c r="EH20" i="30" s="1"/>
  <c r="EI3" i="30" s="1"/>
  <c r="EI88" i="30" s="1"/>
  <c r="EH86" i="30"/>
  <c r="EH35" i="30" s="1"/>
  <c r="EI18" i="30" s="1"/>
  <c r="EI103" i="30" s="1"/>
  <c r="EH74" i="30"/>
  <c r="EH23" i="30" s="1"/>
  <c r="EI6" i="30" s="1"/>
  <c r="EI91" i="30" s="1"/>
  <c r="EI82" i="30" s="1"/>
  <c r="EH80" i="30"/>
  <c r="EH29" i="30" s="1"/>
  <c r="EI12" i="30" s="1"/>
  <c r="EI97" i="30" s="1"/>
  <c r="EH75" i="30"/>
  <c r="EH24" i="30" s="1"/>
  <c r="EI7" i="30" s="1"/>
  <c r="EI92" i="30" s="1"/>
  <c r="GI36" i="30"/>
  <c r="GJ19" i="30" s="1"/>
  <c r="GI104" i="30"/>
  <c r="GI34" i="30"/>
  <c r="GJ17" i="30" s="1"/>
  <c r="GI102" i="30"/>
  <c r="GI83" i="30" s="1"/>
  <c r="GH33" i="30"/>
  <c r="GI16" i="30" s="1"/>
  <c r="GH101" i="30"/>
  <c r="GH100" i="30"/>
  <c r="GH79" i="30" s="1"/>
  <c r="GH28" i="30" s="1"/>
  <c r="GI11" i="30" s="1"/>
  <c r="GI96" i="30" s="1"/>
  <c r="GH32" i="30"/>
  <c r="GI15" i="30" s="1"/>
  <c r="GI94" i="30"/>
  <c r="GI26" i="30"/>
  <c r="GJ9" i="30" s="1"/>
  <c r="GH25" i="30"/>
  <c r="GI8" i="30" s="1"/>
  <c r="GH93" i="30"/>
  <c r="EI71" i="30" l="1"/>
  <c r="EI20" i="30" s="1"/>
  <c r="EJ3" i="30" s="1"/>
  <c r="EJ88" i="30" s="1"/>
  <c r="EI31" i="30"/>
  <c r="EJ14" i="30" s="1"/>
  <c r="EJ99" i="30" s="1"/>
  <c r="EJ72" i="30" s="1"/>
  <c r="EJ21" i="30" s="1"/>
  <c r="EK4" i="30" s="1"/>
  <c r="EK89" i="30" s="1"/>
  <c r="EK78" i="30" s="1"/>
  <c r="EI73" i="30"/>
  <c r="EI22" i="30" s="1"/>
  <c r="EJ5" i="30" s="1"/>
  <c r="EJ90" i="30" s="1"/>
  <c r="EJ81" i="30" s="1"/>
  <c r="EJ30" i="30" s="1"/>
  <c r="EK13" i="30" s="1"/>
  <c r="EK98" i="30" s="1"/>
  <c r="EI74" i="30"/>
  <c r="EI23" i="30" s="1"/>
  <c r="EJ6" i="30" s="1"/>
  <c r="EJ91" i="30" s="1"/>
  <c r="EJ82" i="30" s="1"/>
  <c r="EI80" i="30"/>
  <c r="EI29" i="30" s="1"/>
  <c r="EJ12" i="30" s="1"/>
  <c r="EJ97" i="30" s="1"/>
  <c r="EI86" i="30"/>
  <c r="EI35" i="30" s="1"/>
  <c r="EJ18" i="30" s="1"/>
  <c r="EJ103" i="30" s="1"/>
  <c r="EI75" i="30"/>
  <c r="EI24" i="30" s="1"/>
  <c r="EJ7" i="30" s="1"/>
  <c r="EJ92" i="30" s="1"/>
  <c r="GJ104" i="30"/>
  <c r="GJ36" i="30"/>
  <c r="GK19" i="30" s="1"/>
  <c r="GJ102" i="30"/>
  <c r="GJ83" i="30" s="1"/>
  <c r="GJ34" i="30"/>
  <c r="GK17" i="30" s="1"/>
  <c r="GI101" i="30"/>
  <c r="GI33" i="30"/>
  <c r="GJ16" i="30" s="1"/>
  <c r="GI100" i="30"/>
  <c r="GI79" i="30" s="1"/>
  <c r="GI28" i="30" s="1"/>
  <c r="GJ11" i="30" s="1"/>
  <c r="GJ96" i="30" s="1"/>
  <c r="GI32" i="30"/>
  <c r="GJ15" i="30" s="1"/>
  <c r="GJ94" i="30"/>
  <c r="GJ26" i="30"/>
  <c r="GK9" i="30" s="1"/>
  <c r="GI25" i="30"/>
  <c r="GJ8" i="30" s="1"/>
  <c r="GI93" i="30"/>
  <c r="EJ78" i="30"/>
  <c r="EJ27" i="30" s="1"/>
  <c r="EK10" i="30" s="1"/>
  <c r="EK95" i="30" s="1"/>
  <c r="EJ73" i="30" l="1"/>
  <c r="EJ22" i="30" s="1"/>
  <c r="EK5" i="30" s="1"/>
  <c r="EK90" i="30" s="1"/>
  <c r="EK81" i="30" s="1"/>
  <c r="EK30" i="30" s="1"/>
  <c r="EL13" i="30" s="1"/>
  <c r="EL98" i="30" s="1"/>
  <c r="EJ31" i="30"/>
  <c r="EK14" i="30" s="1"/>
  <c r="EK99" i="30" s="1"/>
  <c r="EK72" i="30" s="1"/>
  <c r="EK21" i="30" s="1"/>
  <c r="EL4" i="30" s="1"/>
  <c r="EL89" i="30" s="1"/>
  <c r="EL78" i="30" s="1"/>
  <c r="EJ80" i="30"/>
  <c r="EJ29" i="30" s="1"/>
  <c r="EK12" i="30" s="1"/>
  <c r="EK97" i="30" s="1"/>
  <c r="EJ71" i="30"/>
  <c r="EJ20" i="30" s="1"/>
  <c r="EK3" i="30" s="1"/>
  <c r="EK88" i="30" s="1"/>
  <c r="EJ75" i="30"/>
  <c r="EJ24" i="30" s="1"/>
  <c r="EK7" i="30" s="1"/>
  <c r="EK92" i="30" s="1"/>
  <c r="EJ86" i="30"/>
  <c r="EJ35" i="30" s="1"/>
  <c r="EK18" i="30" s="1"/>
  <c r="EK103" i="30" s="1"/>
  <c r="EJ74" i="30"/>
  <c r="EJ23" i="30" s="1"/>
  <c r="EK6" i="30" s="1"/>
  <c r="EK91" i="30" s="1"/>
  <c r="GK36" i="30"/>
  <c r="GL19" i="30" s="1"/>
  <c r="Z255" i="30" s="1"/>
  <c r="GK104" i="30"/>
  <c r="GK34" i="30"/>
  <c r="GL17" i="30" s="1"/>
  <c r="Z245" i="30" s="1"/>
  <c r="GK102" i="30"/>
  <c r="GK83" i="30" s="1"/>
  <c r="GJ33" i="30"/>
  <c r="GK16" i="30" s="1"/>
  <c r="GJ101" i="30"/>
  <c r="GJ100" i="30"/>
  <c r="GJ79" i="30" s="1"/>
  <c r="GJ28" i="30" s="1"/>
  <c r="GK11" i="30" s="1"/>
  <c r="GK96" i="30" s="1"/>
  <c r="GJ32" i="30"/>
  <c r="GK15" i="30" s="1"/>
  <c r="GK94" i="30"/>
  <c r="GK26" i="30"/>
  <c r="GL9" i="30" s="1"/>
  <c r="Z205" i="30" s="1"/>
  <c r="GJ25" i="30"/>
  <c r="GK8" i="30" s="1"/>
  <c r="GJ93" i="30"/>
  <c r="EK27" i="30"/>
  <c r="EL10" i="30" s="1"/>
  <c r="EL95" i="30" s="1"/>
  <c r="EK73" i="30" l="1"/>
  <c r="EK22" i="30" s="1"/>
  <c r="EL5" i="30" s="1"/>
  <c r="EL90" i="30" s="1"/>
  <c r="EL81" i="30" s="1"/>
  <c r="EL30" i="30" s="1"/>
  <c r="EM13" i="30" s="1"/>
  <c r="EM98" i="30" s="1"/>
  <c r="EK71" i="30"/>
  <c r="EK20" i="30" s="1"/>
  <c r="EL3" i="30" s="1"/>
  <c r="EL88" i="30" s="1"/>
  <c r="EK74" i="30"/>
  <c r="EK23" i="30" s="1"/>
  <c r="EL6" i="30" s="1"/>
  <c r="EL91" i="30" s="1"/>
  <c r="EL82" i="30" s="1"/>
  <c r="EK80" i="30"/>
  <c r="EK29" i="30" s="1"/>
  <c r="EL12" i="30" s="1"/>
  <c r="EL97" i="30" s="1"/>
  <c r="EK86" i="30"/>
  <c r="EK35" i="30" s="1"/>
  <c r="EL18" i="30" s="1"/>
  <c r="EL103" i="30" s="1"/>
  <c r="EK75" i="30"/>
  <c r="EK24" i="30" s="1"/>
  <c r="EL7" i="30" s="1"/>
  <c r="EL92" i="30" s="1"/>
  <c r="EK82" i="30"/>
  <c r="EK31" i="30" s="1"/>
  <c r="EL14" i="30" s="1"/>
  <c r="EL99" i="30" s="1"/>
  <c r="EL72" i="30" s="1"/>
  <c r="EL21" i="30" s="1"/>
  <c r="EM4" i="30" s="1"/>
  <c r="EM89" i="30" s="1"/>
  <c r="EM78" i="30" s="1"/>
  <c r="GL36" i="30"/>
  <c r="GM19" i="30" s="1"/>
  <c r="GL104" i="30"/>
  <c r="GL102" i="30"/>
  <c r="GL83" i="30" s="1"/>
  <c r="GL34" i="30"/>
  <c r="GM17" i="30" s="1"/>
  <c r="GK101" i="30"/>
  <c r="GK33" i="30"/>
  <c r="GL16" i="30" s="1"/>
  <c r="Z240" i="30" s="1"/>
  <c r="GK100" i="30"/>
  <c r="GK79" i="30" s="1"/>
  <c r="GK28" i="30" s="1"/>
  <c r="GL11" i="30" s="1"/>
  <c r="Z215" i="30" s="1"/>
  <c r="GK32" i="30"/>
  <c r="GL15" i="30" s="1"/>
  <c r="Z235" i="30" s="1"/>
  <c r="GL26" i="30"/>
  <c r="GM9" i="30" s="1"/>
  <c r="GL94" i="30"/>
  <c r="GK25" i="30"/>
  <c r="GL8" i="30" s="1"/>
  <c r="Z200" i="30" s="1"/>
  <c r="GK93" i="30"/>
  <c r="EL27" i="30"/>
  <c r="EM10" i="30" s="1"/>
  <c r="EM95" i="30" s="1"/>
  <c r="GL96" i="30" l="1"/>
  <c r="EL71" i="30"/>
  <c r="EL20" i="30" s="1"/>
  <c r="EM3" i="30" s="1"/>
  <c r="EM88" i="30" s="1"/>
  <c r="EL80" i="30"/>
  <c r="EL29" i="30" s="1"/>
  <c r="EM12" i="30" s="1"/>
  <c r="EM97" i="30" s="1"/>
  <c r="EL73" i="30"/>
  <c r="EL22" i="30" s="1"/>
  <c r="EM5" i="30" s="1"/>
  <c r="EM90" i="30" s="1"/>
  <c r="EM81" i="30" s="1"/>
  <c r="EM30" i="30" s="1"/>
  <c r="EN13" i="30" s="1"/>
  <c r="EN98" i="30" s="1"/>
  <c r="EL31" i="30"/>
  <c r="EM14" i="30" s="1"/>
  <c r="EM99" i="30" s="1"/>
  <c r="EM72" i="30" s="1"/>
  <c r="EM21" i="30" s="1"/>
  <c r="EN4" i="30" s="1"/>
  <c r="EN89" i="30" s="1"/>
  <c r="EN78" i="30" s="1"/>
  <c r="EL86" i="30"/>
  <c r="EL35" i="30" s="1"/>
  <c r="EM18" i="30" s="1"/>
  <c r="EM103" i="30" s="1"/>
  <c r="EL75" i="30"/>
  <c r="EL24" i="30" s="1"/>
  <c r="EM7" i="30" s="1"/>
  <c r="EM92" i="30" s="1"/>
  <c r="EL74" i="30"/>
  <c r="EL23" i="30" s="1"/>
  <c r="EM6" i="30" s="1"/>
  <c r="EM91" i="30" s="1"/>
  <c r="GM36" i="30"/>
  <c r="GN19" i="30" s="1"/>
  <c r="GM104" i="30"/>
  <c r="GM102" i="30"/>
  <c r="GM83" i="30" s="1"/>
  <c r="GM34" i="30"/>
  <c r="GN17" i="30" s="1"/>
  <c r="GL101" i="30"/>
  <c r="GL33" i="30"/>
  <c r="GM16" i="30" s="1"/>
  <c r="GL100" i="30"/>
  <c r="GL79" i="30" s="1"/>
  <c r="GL28" i="30" s="1"/>
  <c r="GM11" i="30" s="1"/>
  <c r="GM96" i="30" s="1"/>
  <c r="GL32" i="30"/>
  <c r="GM15" i="30" s="1"/>
  <c r="GM26" i="30"/>
  <c r="GN9" i="30" s="1"/>
  <c r="GM94" i="30"/>
  <c r="GL25" i="30"/>
  <c r="GM8" i="30" s="1"/>
  <c r="GL93" i="30"/>
  <c r="EM27" i="30"/>
  <c r="EN10" i="30" s="1"/>
  <c r="EN95" i="30" s="1"/>
  <c r="EM73" i="30" l="1"/>
  <c r="EM22" i="30" s="1"/>
  <c r="EN5" i="30" s="1"/>
  <c r="EN90" i="30" s="1"/>
  <c r="EN81" i="30" s="1"/>
  <c r="EN30" i="30" s="1"/>
  <c r="EO13" i="30" s="1"/>
  <c r="EO98" i="30" s="1"/>
  <c r="EM75" i="30"/>
  <c r="EM24" i="30" s="1"/>
  <c r="EN7" i="30" s="1"/>
  <c r="EN92" i="30" s="1"/>
  <c r="EM71" i="30"/>
  <c r="EM20" i="30" s="1"/>
  <c r="EN3" i="30" s="1"/>
  <c r="EN88" i="30" s="1"/>
  <c r="EM80" i="30"/>
  <c r="EM29" i="30" s="1"/>
  <c r="EN12" i="30" s="1"/>
  <c r="EN97" i="30" s="1"/>
  <c r="EM74" i="30"/>
  <c r="EM23" i="30" s="1"/>
  <c r="EN6" i="30" s="1"/>
  <c r="EN91" i="30" s="1"/>
  <c r="EM82" i="30"/>
  <c r="EM31" i="30" s="1"/>
  <c r="EN14" i="30" s="1"/>
  <c r="EN99" i="30" s="1"/>
  <c r="EN72" i="30" s="1"/>
  <c r="EN21" i="30" s="1"/>
  <c r="EO4" i="30" s="1"/>
  <c r="EO89" i="30" s="1"/>
  <c r="EO78" i="30" s="1"/>
  <c r="EM86" i="30"/>
  <c r="EM35" i="30" s="1"/>
  <c r="EN18" i="30" s="1"/>
  <c r="EN103" i="30" s="1"/>
  <c r="GN36" i="30"/>
  <c r="GO19" i="30" s="1"/>
  <c r="GN104" i="30"/>
  <c r="GN102" i="30"/>
  <c r="GN83" i="30" s="1"/>
  <c r="GN34" i="30"/>
  <c r="GO17" i="30" s="1"/>
  <c r="GM101" i="30"/>
  <c r="GM33" i="30"/>
  <c r="GN16" i="30" s="1"/>
  <c r="GM100" i="30"/>
  <c r="GM79" i="30" s="1"/>
  <c r="GM28" i="30" s="1"/>
  <c r="GN11" i="30" s="1"/>
  <c r="GN96" i="30" s="1"/>
  <c r="GM32" i="30"/>
  <c r="GN15" i="30" s="1"/>
  <c r="GN26" i="30"/>
  <c r="GO9" i="30" s="1"/>
  <c r="GN94" i="30"/>
  <c r="GM93" i="30"/>
  <c r="GM25" i="30"/>
  <c r="GN8" i="30" s="1"/>
  <c r="EN27" i="30"/>
  <c r="EO10" i="30" s="1"/>
  <c r="EO95" i="30" s="1"/>
  <c r="EN80" i="30" l="1"/>
  <c r="EN29" i="30" s="1"/>
  <c r="EO12" i="30" s="1"/>
  <c r="EO97" i="30" s="1"/>
  <c r="EN71" i="30"/>
  <c r="EN20" i="30" s="1"/>
  <c r="EO3" i="30" s="1"/>
  <c r="EO88" i="30" s="1"/>
  <c r="EN73" i="30"/>
  <c r="EN22" i="30" s="1"/>
  <c r="EO5" i="30" s="1"/>
  <c r="EO90" i="30" s="1"/>
  <c r="EO81" i="30" s="1"/>
  <c r="EO30" i="30" s="1"/>
  <c r="EP13" i="30" s="1"/>
  <c r="T225" i="30" s="1"/>
  <c r="EN74" i="30"/>
  <c r="EN23" i="30" s="1"/>
  <c r="EO6" i="30" s="1"/>
  <c r="EO91" i="30" s="1"/>
  <c r="EO82" i="30" s="1"/>
  <c r="EN86" i="30"/>
  <c r="EN35" i="30" s="1"/>
  <c r="EO18" i="30" s="1"/>
  <c r="EO103" i="30" s="1"/>
  <c r="EN82" i="30"/>
  <c r="EN31" i="30" s="1"/>
  <c r="EO14" i="30" s="1"/>
  <c r="EO99" i="30" s="1"/>
  <c r="EO72" i="30" s="1"/>
  <c r="EO21" i="30" s="1"/>
  <c r="EP4" i="30" s="1"/>
  <c r="T180" i="30" s="1"/>
  <c r="EN75" i="30"/>
  <c r="EN24" i="30" s="1"/>
  <c r="EO7" i="30" s="1"/>
  <c r="EO92" i="30" s="1"/>
  <c r="GO36" i="30"/>
  <c r="GP19" i="30" s="1"/>
  <c r="GO104" i="30"/>
  <c r="GO34" i="30"/>
  <c r="GP17" i="30" s="1"/>
  <c r="GO102" i="30"/>
  <c r="GO83" i="30" s="1"/>
  <c r="GN101" i="30"/>
  <c r="GN33" i="30"/>
  <c r="GO16" i="30" s="1"/>
  <c r="GN100" i="30"/>
  <c r="GN79" i="30" s="1"/>
  <c r="GN28" i="30" s="1"/>
  <c r="GO11" i="30" s="1"/>
  <c r="GO96" i="30" s="1"/>
  <c r="GN32" i="30"/>
  <c r="GO15" i="30" s="1"/>
  <c r="GO94" i="30"/>
  <c r="GO26" i="30"/>
  <c r="GP9" i="30" s="1"/>
  <c r="GN25" i="30"/>
  <c r="GO8" i="30" s="1"/>
  <c r="GN93" i="30"/>
  <c r="EO27" i="30"/>
  <c r="EP10" i="30" s="1"/>
  <c r="T210" i="30" s="1"/>
  <c r="EO71" i="30" l="1"/>
  <c r="EO20" i="30" s="1"/>
  <c r="EP3" i="30" s="1"/>
  <c r="T175" i="30" s="1"/>
  <c r="EO80" i="30"/>
  <c r="EO29" i="30" s="1"/>
  <c r="EP12" i="30" s="1"/>
  <c r="T220" i="30" s="1"/>
  <c r="EO75" i="30"/>
  <c r="EO24" i="30" s="1"/>
  <c r="EP7" i="30" s="1"/>
  <c r="T195" i="30" s="1"/>
  <c r="EO86" i="30"/>
  <c r="EO35" i="30" s="1"/>
  <c r="EP18" i="30" s="1"/>
  <c r="T250" i="30" s="1"/>
  <c r="EO74" i="30"/>
  <c r="EO23" i="30" s="1"/>
  <c r="EP6" i="30" s="1"/>
  <c r="T190" i="30" s="1"/>
  <c r="EO73" i="30"/>
  <c r="EO22" i="30" s="1"/>
  <c r="EP5" i="30" s="1"/>
  <c r="T185" i="30" s="1"/>
  <c r="EO31" i="30"/>
  <c r="EP14" i="30" s="1"/>
  <c r="T230" i="30" s="1"/>
  <c r="EP89" i="30"/>
  <c r="EP78" i="30" s="1"/>
  <c r="EP27" i="30" s="1"/>
  <c r="EQ10" i="30" s="1"/>
  <c r="EQ95" i="30" s="1"/>
  <c r="GP104" i="30"/>
  <c r="GP36" i="30"/>
  <c r="GQ19" i="30" s="1"/>
  <c r="GP34" i="30"/>
  <c r="GQ17" i="30" s="1"/>
  <c r="GP102" i="30"/>
  <c r="GP83" i="30" s="1"/>
  <c r="GO33" i="30"/>
  <c r="GP16" i="30" s="1"/>
  <c r="GO101" i="30"/>
  <c r="GO100" i="30"/>
  <c r="GO79" i="30" s="1"/>
  <c r="GO28" i="30" s="1"/>
  <c r="GP11" i="30" s="1"/>
  <c r="GP96" i="30" s="1"/>
  <c r="GO32" i="30"/>
  <c r="GP15" i="30" s="1"/>
  <c r="GP94" i="30"/>
  <c r="GP26" i="30"/>
  <c r="GQ9" i="30" s="1"/>
  <c r="GO25" i="30"/>
  <c r="GP8" i="30" s="1"/>
  <c r="GO93" i="30"/>
  <c r="EP95" i="30"/>
  <c r="EP98" i="30"/>
  <c r="EP103" i="30" l="1"/>
  <c r="EP99" i="30"/>
  <c r="EP72" i="30" s="1"/>
  <c r="EP21" i="30" s="1"/>
  <c r="EQ4" i="30" s="1"/>
  <c r="EQ89" i="30" s="1"/>
  <c r="EQ78" i="30" s="1"/>
  <c r="EQ27" i="30" s="1"/>
  <c r="ER10" i="30" s="1"/>
  <c r="ER95" i="30" s="1"/>
  <c r="EP97" i="30"/>
  <c r="EP88" i="30"/>
  <c r="EP92" i="30"/>
  <c r="EP91" i="30"/>
  <c r="EP82" i="30" s="1"/>
  <c r="EP31" i="30" s="1"/>
  <c r="EQ14" i="30" s="1"/>
  <c r="EQ99" i="30" s="1"/>
  <c r="EQ72" i="30" s="1"/>
  <c r="EP90" i="30"/>
  <c r="EP81" i="30" s="1"/>
  <c r="EP30" i="30" s="1"/>
  <c r="EQ13" i="30" s="1"/>
  <c r="EQ98" i="30" s="1"/>
  <c r="GQ104" i="30"/>
  <c r="GQ36" i="30"/>
  <c r="GR19" i="30" s="1"/>
  <c r="GQ34" i="30"/>
  <c r="GR17" i="30" s="1"/>
  <c r="GQ102" i="30"/>
  <c r="GQ83" i="30" s="1"/>
  <c r="GP101" i="30"/>
  <c r="GP33" i="30"/>
  <c r="GQ16" i="30" s="1"/>
  <c r="GP100" i="30"/>
  <c r="GP79" i="30" s="1"/>
  <c r="GP28" i="30" s="1"/>
  <c r="GQ11" i="30" s="1"/>
  <c r="GQ96" i="30" s="1"/>
  <c r="GP32" i="30"/>
  <c r="GQ15" i="30" s="1"/>
  <c r="GQ94" i="30"/>
  <c r="GQ26" i="30"/>
  <c r="GR9" i="30" s="1"/>
  <c r="GP93" i="30"/>
  <c r="GP25" i="30"/>
  <c r="GQ8" i="30" s="1"/>
  <c r="EQ21" i="30" l="1"/>
  <c r="ER4" i="30" s="1"/>
  <c r="ER89" i="30" s="1"/>
  <c r="ER78" i="30" s="1"/>
  <c r="ER27" i="30" s="1"/>
  <c r="ES10" i="30" s="1"/>
  <c r="ES95" i="30" s="1"/>
  <c r="EP73" i="30"/>
  <c r="EP22" i="30" s="1"/>
  <c r="EQ5" i="30" s="1"/>
  <c r="EQ90" i="30" s="1"/>
  <c r="EQ81" i="30" s="1"/>
  <c r="EQ30" i="30" s="1"/>
  <c r="ER13" i="30" s="1"/>
  <c r="ER98" i="30" s="1"/>
  <c r="EP75" i="30"/>
  <c r="EP24" i="30" s="1"/>
  <c r="EQ7" i="30" s="1"/>
  <c r="EQ92" i="30" s="1"/>
  <c r="EP80" i="30"/>
  <c r="EP29" i="30" s="1"/>
  <c r="EQ12" i="30" s="1"/>
  <c r="EQ97" i="30" s="1"/>
  <c r="EP86" i="30"/>
  <c r="EP35" i="30" s="1"/>
  <c r="EQ18" i="30" s="1"/>
  <c r="EQ103" i="30" s="1"/>
  <c r="EP71" i="30"/>
  <c r="EP20" i="30" s="1"/>
  <c r="EQ3" i="30" s="1"/>
  <c r="EQ88" i="30" s="1"/>
  <c r="EP74" i="30"/>
  <c r="EP23" i="30" s="1"/>
  <c r="EQ6" i="30" s="1"/>
  <c r="EQ91" i="30" s="1"/>
  <c r="EQ82" i="30" s="1"/>
  <c r="EQ31" i="30" s="1"/>
  <c r="ER14" i="30" s="1"/>
  <c r="ER99" i="30" s="1"/>
  <c r="ER72" i="30" s="1"/>
  <c r="GR104" i="30"/>
  <c r="GR36" i="30"/>
  <c r="GS19" i="30" s="1"/>
  <c r="GR102" i="30"/>
  <c r="GR83" i="30" s="1"/>
  <c r="GR34" i="30"/>
  <c r="GS17" i="30" s="1"/>
  <c r="GQ33" i="30"/>
  <c r="GR16" i="30" s="1"/>
  <c r="GQ101" i="30"/>
  <c r="GQ100" i="30"/>
  <c r="GQ79" i="30" s="1"/>
  <c r="GQ28" i="30" s="1"/>
  <c r="GR11" i="30" s="1"/>
  <c r="GR96" i="30" s="1"/>
  <c r="GQ32" i="30"/>
  <c r="GR15" i="30" s="1"/>
  <c r="GR26" i="30"/>
  <c r="GS9" i="30" s="1"/>
  <c r="GR94" i="30"/>
  <c r="GQ25" i="30"/>
  <c r="GR8" i="30" s="1"/>
  <c r="GQ93" i="30"/>
  <c r="EQ73" i="30"/>
  <c r="ER21" i="30" l="1"/>
  <c r="ES4" i="30" s="1"/>
  <c r="ES89" i="30" s="1"/>
  <c r="ES78" i="30" s="1"/>
  <c r="ES27" i="30" s="1"/>
  <c r="ET10" i="30" s="1"/>
  <c r="ET95" i="30" s="1"/>
  <c r="EQ74" i="30"/>
  <c r="EQ23" i="30" s="1"/>
  <c r="ER6" i="30" s="1"/>
  <c r="ER91" i="30" s="1"/>
  <c r="ER82" i="30" s="1"/>
  <c r="ER31" i="30" s="1"/>
  <c r="ES14" i="30" s="1"/>
  <c r="ES99" i="30" s="1"/>
  <c r="ES72" i="30" s="1"/>
  <c r="EQ22" i="30"/>
  <c r="ER5" i="30" s="1"/>
  <c r="ER90" i="30" s="1"/>
  <c r="ER81" i="30" s="1"/>
  <c r="ER30" i="30" s="1"/>
  <c r="ES13" i="30" s="1"/>
  <c r="ES98" i="30" s="1"/>
  <c r="EQ71" i="30"/>
  <c r="EQ20" i="30" s="1"/>
  <c r="ER3" i="30" s="1"/>
  <c r="ER88" i="30" s="1"/>
  <c r="EQ80" i="30"/>
  <c r="EQ29" i="30" s="1"/>
  <c r="ER12" i="30" s="1"/>
  <c r="ER97" i="30" s="1"/>
  <c r="EQ86" i="30"/>
  <c r="EQ35" i="30" s="1"/>
  <c r="ER18" i="30" s="1"/>
  <c r="ER103" i="30" s="1"/>
  <c r="EQ75" i="30"/>
  <c r="EQ24" i="30" s="1"/>
  <c r="ER7" i="30" s="1"/>
  <c r="ER92" i="30" s="1"/>
  <c r="GS36" i="30"/>
  <c r="GT19" i="30" s="1"/>
  <c r="AA255" i="30" s="1"/>
  <c r="GS104" i="30"/>
  <c r="ER73" i="30"/>
  <c r="GS34" i="30"/>
  <c r="GT17" i="30" s="1"/>
  <c r="AA245" i="30" s="1"/>
  <c r="GS102" i="30"/>
  <c r="GS83" i="30" s="1"/>
  <c r="GR101" i="30"/>
  <c r="GR33" i="30"/>
  <c r="GS16" i="30" s="1"/>
  <c r="GR100" i="30"/>
  <c r="GR79" i="30" s="1"/>
  <c r="GR28" i="30" s="1"/>
  <c r="GS11" i="30" s="1"/>
  <c r="GS96" i="30" s="1"/>
  <c r="GR32" i="30"/>
  <c r="GS15" i="30" s="1"/>
  <c r="GS26" i="30"/>
  <c r="GT9" i="30" s="1"/>
  <c r="AA205" i="30" s="1"/>
  <c r="GS94" i="30"/>
  <c r="GR25" i="30"/>
  <c r="GS8" i="30" s="1"/>
  <c r="GR93" i="30"/>
  <c r="ES21" i="30" l="1"/>
  <c r="ET4" i="30" s="1"/>
  <c r="ET89" i="30" s="1"/>
  <c r="ET78" i="30" s="1"/>
  <c r="ET27" i="30" s="1"/>
  <c r="EU10" i="30" s="1"/>
  <c r="EU95" i="30" s="1"/>
  <c r="ER74" i="30"/>
  <c r="ER23" i="30" s="1"/>
  <c r="ES6" i="30" s="1"/>
  <c r="ES91" i="30" s="1"/>
  <c r="ES82" i="30" s="1"/>
  <c r="ES31" i="30" s="1"/>
  <c r="ET14" i="30" s="1"/>
  <c r="ET99" i="30" s="1"/>
  <c r="ET72" i="30" s="1"/>
  <c r="ER22" i="30"/>
  <c r="ES5" i="30" s="1"/>
  <c r="ES90" i="30" s="1"/>
  <c r="ES81" i="30" s="1"/>
  <c r="ES30" i="30" s="1"/>
  <c r="ET13" i="30" s="1"/>
  <c r="ET98" i="30" s="1"/>
  <c r="ER71" i="30"/>
  <c r="ER20" i="30" s="1"/>
  <c r="ES3" i="30" s="1"/>
  <c r="ES88" i="30" s="1"/>
  <c r="ER75" i="30"/>
  <c r="ER24" i="30" s="1"/>
  <c r="ES7" i="30" s="1"/>
  <c r="ES92" i="30" s="1"/>
  <c r="ER80" i="30"/>
  <c r="ER29" i="30" s="1"/>
  <c r="ES12" i="30" s="1"/>
  <c r="ES97" i="30" s="1"/>
  <c r="ER86" i="30"/>
  <c r="ER35" i="30" s="1"/>
  <c r="ES18" i="30" s="1"/>
  <c r="ES103" i="30" s="1"/>
  <c r="ES73" i="30"/>
  <c r="GT36" i="30"/>
  <c r="GU19" i="30" s="1"/>
  <c r="GT104" i="30"/>
  <c r="GT34" i="30"/>
  <c r="GU17" i="30" s="1"/>
  <c r="GT102" i="30"/>
  <c r="GT83" i="30" s="1"/>
  <c r="GS101" i="30"/>
  <c r="GS33" i="30"/>
  <c r="GT16" i="30" s="1"/>
  <c r="AA240" i="30" s="1"/>
  <c r="GS100" i="30"/>
  <c r="GS79" i="30" s="1"/>
  <c r="GS28" i="30" s="1"/>
  <c r="GT11" i="30" s="1"/>
  <c r="AA215" i="30" s="1"/>
  <c r="GS32" i="30"/>
  <c r="GT15" i="30" s="1"/>
  <c r="AA235" i="30" s="1"/>
  <c r="GT94" i="30"/>
  <c r="GT26" i="30"/>
  <c r="GU9" i="30" s="1"/>
  <c r="GS93" i="30"/>
  <c r="GS25" i="30"/>
  <c r="GT8" i="30" s="1"/>
  <c r="AA200" i="30" s="1"/>
  <c r="ET21" i="30" l="1"/>
  <c r="EU4" i="30" s="1"/>
  <c r="EU89" i="30" s="1"/>
  <c r="EU78" i="30" s="1"/>
  <c r="EU27" i="30" s="1"/>
  <c r="EV10" i="30" s="1"/>
  <c r="EV95" i="30" s="1"/>
  <c r="ES22" i="30"/>
  <c r="ET5" i="30" s="1"/>
  <c r="ET90" i="30" s="1"/>
  <c r="ET81" i="30" s="1"/>
  <c r="ET30" i="30" s="1"/>
  <c r="EU13" i="30" s="1"/>
  <c r="EU98" i="30" s="1"/>
  <c r="ES71" i="30"/>
  <c r="ES20" i="30" s="1"/>
  <c r="ET3" i="30" s="1"/>
  <c r="ET88" i="30" s="1"/>
  <c r="ES75" i="30"/>
  <c r="ES24" i="30" s="1"/>
  <c r="ET7" i="30" s="1"/>
  <c r="ET92" i="30" s="1"/>
  <c r="ES80" i="30"/>
  <c r="ES29" i="30" s="1"/>
  <c r="ET12" i="30" s="1"/>
  <c r="ET97" i="30" s="1"/>
  <c r="ES86" i="30"/>
  <c r="ES35" i="30" s="1"/>
  <c r="ET18" i="30" s="1"/>
  <c r="ET103" i="30" s="1"/>
  <c r="ES74" i="30"/>
  <c r="ES23" i="30" s="1"/>
  <c r="ET6" i="30" s="1"/>
  <c r="ET91" i="30" s="1"/>
  <c r="GU104" i="30"/>
  <c r="GU36" i="30"/>
  <c r="GV19" i="30" s="1"/>
  <c r="GT96" i="30"/>
  <c r="GU102" i="30"/>
  <c r="GU83" i="30" s="1"/>
  <c r="GU34" i="30"/>
  <c r="GV17" i="30" s="1"/>
  <c r="GT33" i="30"/>
  <c r="GU16" i="30" s="1"/>
  <c r="GT101" i="30"/>
  <c r="GT100" i="30"/>
  <c r="GT79" i="30" s="1"/>
  <c r="GT28" i="30" s="1"/>
  <c r="GU11" i="30" s="1"/>
  <c r="GU96" i="30" s="1"/>
  <c r="GT32" i="30"/>
  <c r="GU15" i="30" s="1"/>
  <c r="GU26" i="30"/>
  <c r="GV9" i="30" s="1"/>
  <c r="GU94" i="30"/>
  <c r="GT93" i="30"/>
  <c r="GT25" i="30"/>
  <c r="GU8" i="30" s="1"/>
  <c r="ET73" i="30"/>
  <c r="ET22" i="30" l="1"/>
  <c r="EU5" i="30" s="1"/>
  <c r="EU90" i="30" s="1"/>
  <c r="EU81" i="30" s="1"/>
  <c r="EU30" i="30" s="1"/>
  <c r="EV13" i="30" s="1"/>
  <c r="EV98" i="30" s="1"/>
  <c r="ET71" i="30"/>
  <c r="ET20" i="30" s="1"/>
  <c r="EU3" i="30" s="1"/>
  <c r="EU88" i="30" s="1"/>
  <c r="ET74" i="30"/>
  <c r="ET23" i="30" s="1"/>
  <c r="EU6" i="30" s="1"/>
  <c r="EU91" i="30" s="1"/>
  <c r="EU82" i="30" s="1"/>
  <c r="ET80" i="30"/>
  <c r="ET29" i="30" s="1"/>
  <c r="EU12" i="30" s="1"/>
  <c r="EU97" i="30" s="1"/>
  <c r="ET86" i="30"/>
  <c r="ET35" i="30" s="1"/>
  <c r="EU18" i="30" s="1"/>
  <c r="EU103" i="30" s="1"/>
  <c r="ET75" i="30"/>
  <c r="ET24" i="30" s="1"/>
  <c r="EU7" i="30" s="1"/>
  <c r="EU92" i="30" s="1"/>
  <c r="ET82" i="30"/>
  <c r="ET31" i="30" s="1"/>
  <c r="EU14" i="30" s="1"/>
  <c r="EU99" i="30" s="1"/>
  <c r="EU72" i="30" s="1"/>
  <c r="EU21" i="30" s="1"/>
  <c r="EV4" i="30" s="1"/>
  <c r="EV89" i="30" s="1"/>
  <c r="EV78" i="30" s="1"/>
  <c r="EV27" i="30" s="1"/>
  <c r="EW10" i="30" s="1"/>
  <c r="EW95" i="30" s="1"/>
  <c r="GV104" i="30"/>
  <c r="GV36" i="30"/>
  <c r="GW19" i="30" s="1"/>
  <c r="GV34" i="30"/>
  <c r="GW17" i="30" s="1"/>
  <c r="GV102" i="30"/>
  <c r="GV83" i="30" s="1"/>
  <c r="GU101" i="30"/>
  <c r="GU33" i="30"/>
  <c r="GV16" i="30" s="1"/>
  <c r="GU100" i="30"/>
  <c r="GU79" i="30" s="1"/>
  <c r="GU28" i="30" s="1"/>
  <c r="GV11" i="30" s="1"/>
  <c r="GV96" i="30" s="1"/>
  <c r="GU32" i="30"/>
  <c r="GV15" i="30" s="1"/>
  <c r="GV26" i="30"/>
  <c r="GW9" i="30" s="1"/>
  <c r="GV94" i="30"/>
  <c r="GU93" i="30"/>
  <c r="GU25" i="30"/>
  <c r="GV8" i="30" s="1"/>
  <c r="EU71" i="30" l="1"/>
  <c r="EU20" i="30" s="1"/>
  <c r="EV3" i="30" s="1"/>
  <c r="EV88" i="30" s="1"/>
  <c r="EU80" i="30"/>
  <c r="EU29" i="30" s="1"/>
  <c r="EV12" i="30" s="1"/>
  <c r="EV97" i="30" s="1"/>
  <c r="EU75" i="30"/>
  <c r="EU24" i="30" s="1"/>
  <c r="EV7" i="30" s="1"/>
  <c r="EV92" i="30" s="1"/>
  <c r="EU86" i="30"/>
  <c r="EU35" i="30" s="1"/>
  <c r="EV18" i="30" s="1"/>
  <c r="EV103" i="30" s="1"/>
  <c r="EU74" i="30"/>
  <c r="EU23" i="30" s="1"/>
  <c r="EV6" i="30" s="1"/>
  <c r="EV91" i="30" s="1"/>
  <c r="EV82" i="30" s="1"/>
  <c r="EU31" i="30"/>
  <c r="EV14" i="30" s="1"/>
  <c r="EV99" i="30" s="1"/>
  <c r="EV72" i="30" s="1"/>
  <c r="EV21" i="30" s="1"/>
  <c r="EW4" i="30" s="1"/>
  <c r="EW89" i="30" s="1"/>
  <c r="EW78" i="30" s="1"/>
  <c r="EW27" i="30" s="1"/>
  <c r="EX10" i="30" s="1"/>
  <c r="U210" i="30" s="1"/>
  <c r="EU73" i="30"/>
  <c r="EU22" i="30" s="1"/>
  <c r="EV5" i="30" s="1"/>
  <c r="EV90" i="30" s="1"/>
  <c r="GW36" i="30"/>
  <c r="GX19" i="30" s="1"/>
  <c r="GW104" i="30"/>
  <c r="GW102" i="30"/>
  <c r="GW83" i="30" s="1"/>
  <c r="GW34" i="30"/>
  <c r="GX17" i="30" s="1"/>
  <c r="GV101" i="30"/>
  <c r="GV33" i="30"/>
  <c r="GW16" i="30" s="1"/>
  <c r="GV100" i="30"/>
  <c r="GV79" i="30" s="1"/>
  <c r="GV28" i="30" s="1"/>
  <c r="GW11" i="30" s="1"/>
  <c r="GW96" i="30" s="1"/>
  <c r="GV32" i="30"/>
  <c r="GW15" i="30" s="1"/>
  <c r="GW94" i="30"/>
  <c r="GW26" i="30"/>
  <c r="GX9" i="30" s="1"/>
  <c r="GV25" i="30"/>
  <c r="GW8" i="30" s="1"/>
  <c r="GV93" i="30"/>
  <c r="EV80" i="30" l="1"/>
  <c r="EV29" i="30" s="1"/>
  <c r="EW12" i="30" s="1"/>
  <c r="EW97" i="30" s="1"/>
  <c r="EV31" i="30"/>
  <c r="EW14" i="30" s="1"/>
  <c r="EW99" i="30" s="1"/>
  <c r="EW72" i="30" s="1"/>
  <c r="EW21" i="30" s="1"/>
  <c r="EX4" i="30" s="1"/>
  <c r="U180" i="30" s="1"/>
  <c r="EV86" i="30"/>
  <c r="EV35" i="30" s="1"/>
  <c r="EW18" i="30" s="1"/>
  <c r="EW103" i="30" s="1"/>
  <c r="EV71" i="30"/>
  <c r="EV20" i="30" s="1"/>
  <c r="EW3" i="30" s="1"/>
  <c r="EW88" i="30" s="1"/>
  <c r="EV73" i="30"/>
  <c r="EV22" i="30" s="1"/>
  <c r="EW5" i="30" s="1"/>
  <c r="EW90" i="30" s="1"/>
  <c r="EV75" i="30"/>
  <c r="EV24" i="30" s="1"/>
  <c r="EW7" i="30" s="1"/>
  <c r="EW92" i="30" s="1"/>
  <c r="EV81" i="30"/>
  <c r="EV30" i="30" s="1"/>
  <c r="EW13" i="30" s="1"/>
  <c r="EW98" i="30" s="1"/>
  <c r="EV74" i="30"/>
  <c r="EV23" i="30" s="1"/>
  <c r="EW6" i="30" s="1"/>
  <c r="EW91" i="30" s="1"/>
  <c r="GX36" i="30"/>
  <c r="GY19" i="30" s="1"/>
  <c r="GX104" i="30"/>
  <c r="GX34" i="30"/>
  <c r="GY17" i="30" s="1"/>
  <c r="GX102" i="30"/>
  <c r="GX83" i="30" s="1"/>
  <c r="GW101" i="30"/>
  <c r="GW33" i="30"/>
  <c r="GX16" i="30" s="1"/>
  <c r="GW100" i="30"/>
  <c r="GW79" i="30" s="1"/>
  <c r="GW28" i="30" s="1"/>
  <c r="GX11" i="30" s="1"/>
  <c r="GX96" i="30" s="1"/>
  <c r="GW32" i="30"/>
  <c r="GX15" i="30" s="1"/>
  <c r="GX94" i="30"/>
  <c r="GX26" i="30"/>
  <c r="GY9" i="30" s="1"/>
  <c r="GW93" i="30"/>
  <c r="GW25" i="30"/>
  <c r="GX8" i="30" s="1"/>
  <c r="EX95" i="30"/>
  <c r="EW73" i="30" l="1"/>
  <c r="EW22" i="30" s="1"/>
  <c r="EX5" i="30" s="1"/>
  <c r="U185" i="30" s="1"/>
  <c r="EX89" i="30"/>
  <c r="EX78" i="30" s="1"/>
  <c r="EX27" i="30" s="1"/>
  <c r="EY10" i="30" s="1"/>
  <c r="EY95" i="30" s="1"/>
  <c r="EW86" i="30"/>
  <c r="EW35" i="30" s="1"/>
  <c r="EX18" i="30" s="1"/>
  <c r="U250" i="30" s="1"/>
  <c r="EW81" i="30"/>
  <c r="EW30" i="30" s="1"/>
  <c r="EX13" i="30" s="1"/>
  <c r="U225" i="30" s="1"/>
  <c r="EW74" i="30"/>
  <c r="EW23" i="30" s="1"/>
  <c r="EX6" i="30" s="1"/>
  <c r="U190" i="30" s="1"/>
  <c r="EW71" i="30"/>
  <c r="EW20" i="30" s="1"/>
  <c r="EX3" i="30" s="1"/>
  <c r="U175" i="30" s="1"/>
  <c r="EW80" i="30"/>
  <c r="EW29" i="30" s="1"/>
  <c r="EX12" i="30" s="1"/>
  <c r="U220" i="30" s="1"/>
  <c r="EW75" i="30"/>
  <c r="EW24" i="30" s="1"/>
  <c r="EX7" i="30" s="1"/>
  <c r="U195" i="30" s="1"/>
  <c r="EW82" i="30"/>
  <c r="EW31" i="30" s="1"/>
  <c r="EX14" i="30" s="1"/>
  <c r="U230" i="30" s="1"/>
  <c r="GY104" i="30"/>
  <c r="GY36" i="30"/>
  <c r="GZ19" i="30" s="1"/>
  <c r="GY102" i="30"/>
  <c r="GY83" i="30" s="1"/>
  <c r="GY34" i="30"/>
  <c r="GZ17" i="30" s="1"/>
  <c r="GX101" i="30"/>
  <c r="GX33" i="30"/>
  <c r="GY16" i="30" s="1"/>
  <c r="GX100" i="30"/>
  <c r="GX79" i="30" s="1"/>
  <c r="GX28" i="30" s="1"/>
  <c r="GY11" i="30" s="1"/>
  <c r="GY96" i="30" s="1"/>
  <c r="GX32" i="30"/>
  <c r="GY15" i="30" s="1"/>
  <c r="GY94" i="30"/>
  <c r="GY26" i="30"/>
  <c r="GZ9" i="30" s="1"/>
  <c r="GX93" i="30"/>
  <c r="GX25" i="30"/>
  <c r="GY8" i="30" s="1"/>
  <c r="EX92" i="30" l="1"/>
  <c r="EX98" i="30"/>
  <c r="EX103" i="30"/>
  <c r="EX90" i="30"/>
  <c r="EX81" i="30" s="1"/>
  <c r="EX30" i="30" s="1"/>
  <c r="EY13" i="30" s="1"/>
  <c r="EY98" i="30" s="1"/>
  <c r="EX97" i="30"/>
  <c r="EX88" i="30"/>
  <c r="EX91" i="30"/>
  <c r="EX99" i="30"/>
  <c r="EX72" i="30" s="1"/>
  <c r="EX21" i="30" s="1"/>
  <c r="EY4" i="30" s="1"/>
  <c r="EY89" i="30" s="1"/>
  <c r="EY78" i="30" s="1"/>
  <c r="EY27" i="30" s="1"/>
  <c r="EZ10" i="30" s="1"/>
  <c r="EZ95" i="30" s="1"/>
  <c r="GZ104" i="30"/>
  <c r="GZ36" i="30"/>
  <c r="HA19" i="30" s="1"/>
  <c r="GZ34" i="30"/>
  <c r="HA17" i="30" s="1"/>
  <c r="GZ102" i="30"/>
  <c r="GZ83" i="30" s="1"/>
  <c r="GY33" i="30"/>
  <c r="GZ16" i="30" s="1"/>
  <c r="GY101" i="30"/>
  <c r="GY100" i="30"/>
  <c r="GY79" i="30" s="1"/>
  <c r="GY28" i="30" s="1"/>
  <c r="GZ11" i="30" s="1"/>
  <c r="GZ96" i="30" s="1"/>
  <c r="GY32" i="30"/>
  <c r="GZ15" i="30" s="1"/>
  <c r="GZ94" i="30"/>
  <c r="GZ26" i="30"/>
  <c r="HA9" i="30" s="1"/>
  <c r="GY93" i="30"/>
  <c r="GY25" i="30"/>
  <c r="GZ8" i="30" s="1"/>
  <c r="EX80" i="30" l="1"/>
  <c r="EX29" i="30" s="1"/>
  <c r="EY12" i="30" s="1"/>
  <c r="EY97" i="30" s="1"/>
  <c r="EX71" i="30"/>
  <c r="EX20" i="30" s="1"/>
  <c r="EY3" i="30" s="1"/>
  <c r="EY88" i="30" s="1"/>
  <c r="EX75" i="30"/>
  <c r="EX24" i="30" s="1"/>
  <c r="EY7" i="30" s="1"/>
  <c r="EY92" i="30" s="1"/>
  <c r="EX73" i="30"/>
  <c r="EX22" i="30" s="1"/>
  <c r="EY5" i="30" s="1"/>
  <c r="EY90" i="30" s="1"/>
  <c r="EX74" i="30"/>
  <c r="EX23" i="30" s="1"/>
  <c r="EY6" i="30" s="1"/>
  <c r="EY91" i="30" s="1"/>
  <c r="EY82" i="30" s="1"/>
  <c r="EX82" i="30"/>
  <c r="EX31" i="30" s="1"/>
  <c r="EY14" i="30" s="1"/>
  <c r="EY99" i="30" s="1"/>
  <c r="EY72" i="30" s="1"/>
  <c r="EY21" i="30" s="1"/>
  <c r="EZ4" i="30" s="1"/>
  <c r="EZ89" i="30" s="1"/>
  <c r="EZ78" i="30" s="1"/>
  <c r="EZ27" i="30" s="1"/>
  <c r="FA10" i="30" s="1"/>
  <c r="FA95" i="30" s="1"/>
  <c r="EX86" i="30"/>
  <c r="EX35" i="30" s="1"/>
  <c r="EY18" i="30" s="1"/>
  <c r="EY103" i="30" s="1"/>
  <c r="HA104" i="30"/>
  <c r="HA36" i="30"/>
  <c r="HB19" i="30" s="1"/>
  <c r="AB255" i="30" s="1"/>
  <c r="HA102" i="30"/>
  <c r="HA83" i="30" s="1"/>
  <c r="HA34" i="30"/>
  <c r="HB17" i="30" s="1"/>
  <c r="AB245" i="30" s="1"/>
  <c r="GZ33" i="30"/>
  <c r="HA16" i="30" s="1"/>
  <c r="GZ101" i="30"/>
  <c r="GZ100" i="30"/>
  <c r="GZ79" i="30" s="1"/>
  <c r="GZ28" i="30" s="1"/>
  <c r="HA11" i="30" s="1"/>
  <c r="HA96" i="30" s="1"/>
  <c r="GZ32" i="30"/>
  <c r="HA15" i="30" s="1"/>
  <c r="HA94" i="30"/>
  <c r="HA26" i="30"/>
  <c r="HB9" i="30" s="1"/>
  <c r="AB205" i="30" s="1"/>
  <c r="GZ93" i="30"/>
  <c r="GZ25" i="30"/>
  <c r="HA8" i="30" s="1"/>
  <c r="EY71" i="30" l="1"/>
  <c r="EY20" i="30" s="1"/>
  <c r="EZ3" i="30" s="1"/>
  <c r="EZ88" i="30" s="1"/>
  <c r="EY81" i="30"/>
  <c r="EY30" i="30" s="1"/>
  <c r="EZ13" i="30" s="1"/>
  <c r="EZ98" i="30" s="1"/>
  <c r="EY86" i="30"/>
  <c r="EY35" i="30" s="1"/>
  <c r="EZ18" i="30" s="1"/>
  <c r="EZ103" i="30" s="1"/>
  <c r="EY74" i="30"/>
  <c r="EY23" i="30" s="1"/>
  <c r="EZ6" i="30" s="1"/>
  <c r="EZ91" i="30" s="1"/>
  <c r="EY80" i="30"/>
  <c r="EY29" i="30" s="1"/>
  <c r="EZ12" i="30" s="1"/>
  <c r="EZ97" i="30" s="1"/>
  <c r="EY31" i="30"/>
  <c r="EZ14" i="30" s="1"/>
  <c r="EZ99" i="30" s="1"/>
  <c r="EZ72" i="30" s="1"/>
  <c r="EZ21" i="30" s="1"/>
  <c r="FA4" i="30" s="1"/>
  <c r="FA89" i="30" s="1"/>
  <c r="FA78" i="30" s="1"/>
  <c r="FA27" i="30" s="1"/>
  <c r="FB10" i="30" s="1"/>
  <c r="FB95" i="30" s="1"/>
  <c r="EY75" i="30"/>
  <c r="EY24" i="30" s="1"/>
  <c r="EZ7" i="30" s="1"/>
  <c r="EZ92" i="30" s="1"/>
  <c r="EY73" i="30"/>
  <c r="EY22" i="30" s="1"/>
  <c r="EZ5" i="30" s="1"/>
  <c r="EZ90" i="30" s="1"/>
  <c r="EZ81" i="30" s="1"/>
  <c r="HB104" i="30"/>
  <c r="HB36" i="30"/>
  <c r="HC19" i="30" s="1"/>
  <c r="HB34" i="30"/>
  <c r="HC17" i="30" s="1"/>
  <c r="HB102" i="30"/>
  <c r="HB83" i="30" s="1"/>
  <c r="HA101" i="30"/>
  <c r="HA33" i="30"/>
  <c r="HB16" i="30" s="1"/>
  <c r="AB240" i="30" s="1"/>
  <c r="HA100" i="30"/>
  <c r="HA79" i="30" s="1"/>
  <c r="HA28" i="30" s="1"/>
  <c r="HB11" i="30" s="1"/>
  <c r="AB215" i="30" s="1"/>
  <c r="HA32" i="30"/>
  <c r="HB15" i="30" s="1"/>
  <c r="AB235" i="30" s="1"/>
  <c r="HB94" i="30"/>
  <c r="HB26" i="30"/>
  <c r="HC9" i="30" s="1"/>
  <c r="HA93" i="30"/>
  <c r="HA25" i="30"/>
  <c r="HB8" i="30" s="1"/>
  <c r="AB200" i="30" s="1"/>
  <c r="HB96" i="30" l="1"/>
  <c r="EZ82" i="30"/>
  <c r="EZ31" i="30" s="1"/>
  <c r="FA14" i="30" s="1"/>
  <c r="FA99" i="30" s="1"/>
  <c r="FA72" i="30" s="1"/>
  <c r="FA21" i="30" s="1"/>
  <c r="FB4" i="30" s="1"/>
  <c r="FB89" i="30" s="1"/>
  <c r="FB78" i="30" s="1"/>
  <c r="FB27" i="30" s="1"/>
  <c r="FC10" i="30" s="1"/>
  <c r="FC95" i="30" s="1"/>
  <c r="EZ30" i="30"/>
  <c r="FA13" i="30" s="1"/>
  <c r="FA98" i="30" s="1"/>
  <c r="EZ86" i="30"/>
  <c r="EZ35" i="30" s="1"/>
  <c r="FA18" i="30" s="1"/>
  <c r="FA103" i="30" s="1"/>
  <c r="EZ73" i="30"/>
  <c r="EZ22" i="30" s="1"/>
  <c r="FA5" i="30" s="1"/>
  <c r="FA90" i="30" s="1"/>
  <c r="EZ71" i="30"/>
  <c r="EZ20" i="30" s="1"/>
  <c r="FA3" i="30" s="1"/>
  <c r="FA88" i="30" s="1"/>
  <c r="EZ80" i="30"/>
  <c r="EZ29" i="30" s="1"/>
  <c r="FA12" i="30" s="1"/>
  <c r="FA97" i="30" s="1"/>
  <c r="EZ75" i="30"/>
  <c r="EZ24" i="30" s="1"/>
  <c r="FA7" i="30" s="1"/>
  <c r="FA92" i="30" s="1"/>
  <c r="EZ74" i="30"/>
  <c r="EZ23" i="30" s="1"/>
  <c r="FA6" i="30" s="1"/>
  <c r="FA91" i="30" s="1"/>
  <c r="HC36" i="30"/>
  <c r="HD19" i="30" s="1"/>
  <c r="HC104" i="30"/>
  <c r="HC102" i="30"/>
  <c r="HC83" i="30" s="1"/>
  <c r="HC34" i="30"/>
  <c r="HD17" i="30" s="1"/>
  <c r="HB33" i="30"/>
  <c r="HC16" i="30" s="1"/>
  <c r="HB101" i="30"/>
  <c r="HB100" i="30"/>
  <c r="HB79" i="30" s="1"/>
  <c r="HB28" i="30" s="1"/>
  <c r="HC11" i="30" s="1"/>
  <c r="HC96" i="30" s="1"/>
  <c r="HB32" i="30"/>
  <c r="HC15" i="30" s="1"/>
  <c r="HC94" i="30"/>
  <c r="HC26" i="30"/>
  <c r="HD9" i="30" s="1"/>
  <c r="HB25" i="30"/>
  <c r="HC8" i="30" s="1"/>
  <c r="HB93" i="30"/>
  <c r="FA82" i="30" l="1"/>
  <c r="FA31" i="30" s="1"/>
  <c r="FB14" i="30" s="1"/>
  <c r="FB99" i="30" s="1"/>
  <c r="FB72" i="30" s="1"/>
  <c r="FB21" i="30" s="1"/>
  <c r="FC4" i="30" s="1"/>
  <c r="FC89" i="30" s="1"/>
  <c r="FC78" i="30" s="1"/>
  <c r="FC27" i="30" s="1"/>
  <c r="FD10" i="30" s="1"/>
  <c r="FD95" i="30" s="1"/>
  <c r="FA73" i="30"/>
  <c r="FA22" i="30" s="1"/>
  <c r="FB5" i="30" s="1"/>
  <c r="FB90" i="30" s="1"/>
  <c r="FB81" i="30" s="1"/>
  <c r="FA81" i="30"/>
  <c r="FA30" i="30" s="1"/>
  <c r="FB13" i="30" s="1"/>
  <c r="FB98" i="30" s="1"/>
  <c r="FA80" i="30"/>
  <c r="FA29" i="30" s="1"/>
  <c r="FB12" i="30" s="1"/>
  <c r="FB97" i="30" s="1"/>
  <c r="FA74" i="30"/>
  <c r="FA23" i="30" s="1"/>
  <c r="FB6" i="30" s="1"/>
  <c r="FB91" i="30" s="1"/>
  <c r="FA75" i="30"/>
  <c r="FA24" i="30" s="1"/>
  <c r="FB7" i="30" s="1"/>
  <c r="FB92" i="30" s="1"/>
  <c r="FA71" i="30"/>
  <c r="FA20" i="30" s="1"/>
  <c r="FB3" i="30" s="1"/>
  <c r="FB88" i="30" s="1"/>
  <c r="FA86" i="30"/>
  <c r="FA35" i="30" s="1"/>
  <c r="FB18" i="30" s="1"/>
  <c r="FB103" i="30" s="1"/>
  <c r="HD36" i="30"/>
  <c r="HE19" i="30" s="1"/>
  <c r="HD104" i="30"/>
  <c r="HD34" i="30"/>
  <c r="HE17" i="30" s="1"/>
  <c r="HD102" i="30"/>
  <c r="HD83" i="30" s="1"/>
  <c r="HC101" i="30"/>
  <c r="HC33" i="30"/>
  <c r="HD16" i="30" s="1"/>
  <c r="HC100" i="30"/>
  <c r="HC79" i="30" s="1"/>
  <c r="HC28" i="30" s="1"/>
  <c r="HD11" i="30" s="1"/>
  <c r="HD96" i="30" s="1"/>
  <c r="HC32" i="30"/>
  <c r="HD15" i="30" s="1"/>
  <c r="HD26" i="30"/>
  <c r="HE9" i="30" s="1"/>
  <c r="HD94" i="30"/>
  <c r="HC93" i="30"/>
  <c r="HC25" i="30"/>
  <c r="HD8" i="30" s="1"/>
  <c r="FB73" i="30" l="1"/>
  <c r="FB22" i="30" s="1"/>
  <c r="FC5" i="30" s="1"/>
  <c r="FC90" i="30" s="1"/>
  <c r="FC81" i="30" s="1"/>
  <c r="FB30" i="30"/>
  <c r="FC13" i="30" s="1"/>
  <c r="FC98" i="30" s="1"/>
  <c r="FB82" i="30"/>
  <c r="FB31" i="30" s="1"/>
  <c r="FC14" i="30" s="1"/>
  <c r="FC99" i="30" s="1"/>
  <c r="FC72" i="30" s="1"/>
  <c r="FC21" i="30" s="1"/>
  <c r="FD4" i="30" s="1"/>
  <c r="FD89" i="30" s="1"/>
  <c r="FD78" i="30" s="1"/>
  <c r="FD27" i="30" s="1"/>
  <c r="FE10" i="30" s="1"/>
  <c r="FE95" i="30" s="1"/>
  <c r="FB71" i="30"/>
  <c r="FB20" i="30" s="1"/>
  <c r="FC3" i="30" s="1"/>
  <c r="FC88" i="30" s="1"/>
  <c r="FB74" i="30"/>
  <c r="FB23" i="30" s="1"/>
  <c r="FC6" i="30" s="1"/>
  <c r="FC91" i="30" s="1"/>
  <c r="FB86" i="30"/>
  <c r="FB35" i="30" s="1"/>
  <c r="FC18" i="30" s="1"/>
  <c r="FC103" i="30" s="1"/>
  <c r="FB75" i="30"/>
  <c r="FB24" i="30" s="1"/>
  <c r="FC7" i="30" s="1"/>
  <c r="FC92" i="30" s="1"/>
  <c r="FB80" i="30"/>
  <c r="FB29" i="30" s="1"/>
  <c r="FC12" i="30" s="1"/>
  <c r="FC97" i="30" s="1"/>
  <c r="HE104" i="30"/>
  <c r="HE36" i="30"/>
  <c r="HF19" i="30" s="1"/>
  <c r="HE102" i="30"/>
  <c r="HE83" i="30" s="1"/>
  <c r="HE34" i="30"/>
  <c r="HF17" i="30" s="1"/>
  <c r="HD101" i="30"/>
  <c r="HD33" i="30"/>
  <c r="HE16" i="30" s="1"/>
  <c r="HD100" i="30"/>
  <c r="HD79" i="30" s="1"/>
  <c r="HD28" i="30" s="1"/>
  <c r="HE11" i="30" s="1"/>
  <c r="HE96" i="30" s="1"/>
  <c r="HD32" i="30"/>
  <c r="HE15" i="30" s="1"/>
  <c r="HE94" i="30"/>
  <c r="HE26" i="30"/>
  <c r="HF9" i="30" s="1"/>
  <c r="HD93" i="30"/>
  <c r="HD25" i="30"/>
  <c r="HE8" i="30" s="1"/>
  <c r="FC30" i="30" l="1"/>
  <c r="FD13" i="30" s="1"/>
  <c r="FD98" i="30" s="1"/>
  <c r="FC71" i="30"/>
  <c r="FC20" i="30" s="1"/>
  <c r="FD3" i="30" s="1"/>
  <c r="FD88" i="30" s="1"/>
  <c r="FC82" i="30"/>
  <c r="FC31" i="30" s="1"/>
  <c r="FD14" i="30" s="1"/>
  <c r="FD99" i="30" s="1"/>
  <c r="FC74" i="30"/>
  <c r="FC23" i="30" s="1"/>
  <c r="FD6" i="30" s="1"/>
  <c r="FD91" i="30" s="1"/>
  <c r="FC86" i="30"/>
  <c r="FC35" i="30" s="1"/>
  <c r="FD18" i="30" s="1"/>
  <c r="FD103" i="30" s="1"/>
  <c r="FC73" i="30"/>
  <c r="FC22" i="30" s="1"/>
  <c r="FD5" i="30" s="1"/>
  <c r="FD90" i="30" s="1"/>
  <c r="FD81" i="30" s="1"/>
  <c r="FC80" i="30"/>
  <c r="FC29" i="30" s="1"/>
  <c r="FD12" i="30" s="1"/>
  <c r="FD97" i="30" s="1"/>
  <c r="FC75" i="30"/>
  <c r="FC24" i="30" s="1"/>
  <c r="FD7" i="30" s="1"/>
  <c r="FD92" i="30" s="1"/>
  <c r="HF104" i="30"/>
  <c r="HF36" i="30"/>
  <c r="HG19" i="30" s="1"/>
  <c r="HF34" i="30"/>
  <c r="HG17" i="30" s="1"/>
  <c r="HF102" i="30"/>
  <c r="HF83" i="30" s="1"/>
  <c r="HE101" i="30"/>
  <c r="HE33" i="30"/>
  <c r="HF16" i="30" s="1"/>
  <c r="HE100" i="30"/>
  <c r="HE79" i="30" s="1"/>
  <c r="HE28" i="30" s="1"/>
  <c r="HF11" i="30" s="1"/>
  <c r="HF96" i="30" s="1"/>
  <c r="HE32" i="30"/>
  <c r="HF15" i="30" s="1"/>
  <c r="HF94" i="30"/>
  <c r="HF26" i="30"/>
  <c r="HG9" i="30" s="1"/>
  <c r="HE93" i="30"/>
  <c r="HE25" i="30"/>
  <c r="HF8" i="30" s="1"/>
  <c r="FD82" i="30" l="1"/>
  <c r="FD31" i="30" s="1"/>
  <c r="FE14" i="30" s="1"/>
  <c r="FE99" i="30" s="1"/>
  <c r="FE72" i="30" s="1"/>
  <c r="FD30" i="30"/>
  <c r="FE13" i="30" s="1"/>
  <c r="FE98" i="30" s="1"/>
  <c r="FD72" i="30"/>
  <c r="FD21" i="30" s="1"/>
  <c r="FE4" i="30" s="1"/>
  <c r="FE89" i="30" s="1"/>
  <c r="FE78" i="30" s="1"/>
  <c r="FE27" i="30" s="1"/>
  <c r="FF10" i="30" s="1"/>
  <c r="V210" i="30" s="1"/>
  <c r="FD73" i="30"/>
  <c r="FD22" i="30" s="1"/>
  <c r="FE5" i="30" s="1"/>
  <c r="FE90" i="30" s="1"/>
  <c r="FE81" i="30" s="1"/>
  <c r="FD71" i="30"/>
  <c r="FD20" i="30" s="1"/>
  <c r="FE3" i="30" s="1"/>
  <c r="FE88" i="30" s="1"/>
  <c r="FD74" i="30"/>
  <c r="FD23" i="30" s="1"/>
  <c r="FE6" i="30" s="1"/>
  <c r="FE91" i="30" s="1"/>
  <c r="FD80" i="30"/>
  <c r="FD29" i="30" s="1"/>
  <c r="FE12" i="30" s="1"/>
  <c r="FE97" i="30" s="1"/>
  <c r="FD86" i="30"/>
  <c r="FD35" i="30" s="1"/>
  <c r="FE18" i="30" s="1"/>
  <c r="FE103" i="30" s="1"/>
  <c r="FD75" i="30"/>
  <c r="FD24" i="30" s="1"/>
  <c r="FE7" i="30" s="1"/>
  <c r="FE92" i="30" s="1"/>
  <c r="HG104" i="30"/>
  <c r="HG36" i="30"/>
  <c r="HH19" i="30" s="1"/>
  <c r="HG34" i="30"/>
  <c r="HH17" i="30" s="1"/>
  <c r="HG102" i="30"/>
  <c r="HG83" i="30" s="1"/>
  <c r="HF33" i="30"/>
  <c r="HG16" i="30" s="1"/>
  <c r="HF101" i="30"/>
  <c r="HF100" i="30"/>
  <c r="HF79" i="30" s="1"/>
  <c r="HF28" i="30" s="1"/>
  <c r="HG11" i="30" s="1"/>
  <c r="HG96" i="30" s="1"/>
  <c r="HF32" i="30"/>
  <c r="HG15" i="30" s="1"/>
  <c r="HG94" i="30"/>
  <c r="HG26" i="30"/>
  <c r="HH9" i="30" s="1"/>
  <c r="HF25" i="30"/>
  <c r="HG8" i="30" s="1"/>
  <c r="HF93" i="30"/>
  <c r="FE30" i="30" l="1"/>
  <c r="FF13" i="30" s="1"/>
  <c r="V225" i="30" s="1"/>
  <c r="FE82" i="30"/>
  <c r="FE31" i="30" s="1"/>
  <c r="FF14" i="30" s="1"/>
  <c r="V230" i="30" s="1"/>
  <c r="FF95" i="30"/>
  <c r="FE73" i="30"/>
  <c r="FE22" i="30" s="1"/>
  <c r="FF5" i="30" s="1"/>
  <c r="V185" i="30" s="1"/>
  <c r="FE21" i="30"/>
  <c r="FF4" i="30" s="1"/>
  <c r="V180" i="30" s="1"/>
  <c r="FE74" i="30"/>
  <c r="FE23" i="30" s="1"/>
  <c r="FF6" i="30" s="1"/>
  <c r="V190" i="30" s="1"/>
  <c r="FE75" i="30"/>
  <c r="FE24" i="30" s="1"/>
  <c r="FF7" i="30" s="1"/>
  <c r="V195" i="30" s="1"/>
  <c r="FE80" i="30"/>
  <c r="FE29" i="30" s="1"/>
  <c r="FF12" i="30" s="1"/>
  <c r="V220" i="30" s="1"/>
  <c r="FE86" i="30"/>
  <c r="FE35" i="30" s="1"/>
  <c r="FF18" i="30" s="1"/>
  <c r="V250" i="30" s="1"/>
  <c r="FE71" i="30"/>
  <c r="FE20" i="30" s="1"/>
  <c r="FF3" i="30" s="1"/>
  <c r="V175" i="30" s="1"/>
  <c r="HH104" i="30"/>
  <c r="HH36" i="30"/>
  <c r="HI19" i="30" s="1"/>
  <c r="HH34" i="30"/>
  <c r="HI17" i="30" s="1"/>
  <c r="HH102" i="30"/>
  <c r="HH83" i="30" s="1"/>
  <c r="HG101" i="30"/>
  <c r="HG33" i="30"/>
  <c r="HH16" i="30" s="1"/>
  <c r="HG100" i="30"/>
  <c r="HG79" i="30" s="1"/>
  <c r="HG28" i="30" s="1"/>
  <c r="HH11" i="30" s="1"/>
  <c r="HH96" i="30" s="1"/>
  <c r="HG32" i="30"/>
  <c r="HH15" i="30" s="1"/>
  <c r="HH26" i="30"/>
  <c r="HI9" i="30" s="1"/>
  <c r="HH94" i="30"/>
  <c r="HG93" i="30"/>
  <c r="HG25" i="30"/>
  <c r="HH8" i="30" s="1"/>
  <c r="FF92" i="30" l="1"/>
  <c r="FF98" i="30"/>
  <c r="FF99" i="30"/>
  <c r="FF72" i="30" s="1"/>
  <c r="FF21" i="30" s="1"/>
  <c r="FG4" i="30" s="1"/>
  <c r="FG89" i="30" s="1"/>
  <c r="FG78" i="30" s="1"/>
  <c r="FF90" i="30"/>
  <c r="FF81" i="30" s="1"/>
  <c r="FF30" i="30" s="1"/>
  <c r="FG13" i="30" s="1"/>
  <c r="FG98" i="30" s="1"/>
  <c r="FF89" i="30"/>
  <c r="FF78" i="30" s="1"/>
  <c r="FF27" i="30" s="1"/>
  <c r="FG10" i="30" s="1"/>
  <c r="FG95" i="30" s="1"/>
  <c r="FF91" i="30"/>
  <c r="FF103" i="30"/>
  <c r="FF97" i="30"/>
  <c r="FF88" i="30"/>
  <c r="HI104" i="30"/>
  <c r="HI36" i="30"/>
  <c r="HJ19" i="30" s="1"/>
  <c r="AC255" i="30" s="1"/>
  <c r="HI102" i="30"/>
  <c r="HI83" i="30" s="1"/>
  <c r="HI34" i="30"/>
  <c r="HJ17" i="30" s="1"/>
  <c r="AC245" i="30" s="1"/>
  <c r="HH33" i="30"/>
  <c r="HI16" i="30" s="1"/>
  <c r="HH101" i="30"/>
  <c r="HH100" i="30"/>
  <c r="HH79" i="30" s="1"/>
  <c r="HH28" i="30" s="1"/>
  <c r="HI11" i="30" s="1"/>
  <c r="HI96" i="30" s="1"/>
  <c r="HH32" i="30"/>
  <c r="HI15" i="30" s="1"/>
  <c r="HI94" i="30"/>
  <c r="HI26" i="30"/>
  <c r="HJ9" i="30" s="1"/>
  <c r="AC205" i="30" s="1"/>
  <c r="HH25" i="30"/>
  <c r="HI8" i="30" s="1"/>
  <c r="HH93" i="30"/>
  <c r="FF71" i="30" l="1"/>
  <c r="FF20" i="30" s="1"/>
  <c r="FG3" i="30" s="1"/>
  <c r="FG88" i="30" s="1"/>
  <c r="FF74" i="30"/>
  <c r="FF23" i="30" s="1"/>
  <c r="FG6" i="30" s="1"/>
  <c r="FG91" i="30" s="1"/>
  <c r="FG82" i="30" s="1"/>
  <c r="FF75" i="30"/>
  <c r="FF24" i="30" s="1"/>
  <c r="FG7" i="30" s="1"/>
  <c r="FG92" i="30" s="1"/>
  <c r="FF82" i="30"/>
  <c r="FF31" i="30" s="1"/>
  <c r="FG14" i="30" s="1"/>
  <c r="FG99" i="30" s="1"/>
  <c r="FG72" i="30" s="1"/>
  <c r="FG21" i="30" s="1"/>
  <c r="FH4" i="30" s="1"/>
  <c r="FH89" i="30" s="1"/>
  <c r="FH78" i="30" s="1"/>
  <c r="FG27" i="30"/>
  <c r="FH10" i="30" s="1"/>
  <c r="FH95" i="30" s="1"/>
  <c r="FF73" i="30"/>
  <c r="FF22" i="30" s="1"/>
  <c r="FG5" i="30" s="1"/>
  <c r="FG90" i="30" s="1"/>
  <c r="FG81" i="30" s="1"/>
  <c r="FG30" i="30" s="1"/>
  <c r="FH13" i="30" s="1"/>
  <c r="FH98" i="30" s="1"/>
  <c r="FF80" i="30"/>
  <c r="FF29" i="30" s="1"/>
  <c r="FG12" i="30" s="1"/>
  <c r="FG97" i="30" s="1"/>
  <c r="FF86" i="30"/>
  <c r="FF35" i="30" s="1"/>
  <c r="FG18" i="30" s="1"/>
  <c r="FG103" i="30" s="1"/>
  <c r="HJ104" i="30"/>
  <c r="HJ36" i="30"/>
  <c r="HK19" i="30" s="1"/>
  <c r="HJ102" i="30"/>
  <c r="HJ83" i="30" s="1"/>
  <c r="HJ34" i="30"/>
  <c r="HK17" i="30" s="1"/>
  <c r="HI33" i="30"/>
  <c r="HJ16" i="30" s="1"/>
  <c r="AC240" i="30" s="1"/>
  <c r="HI101" i="30"/>
  <c r="HI100" i="30"/>
  <c r="HI79" i="30" s="1"/>
  <c r="HI28" i="30" s="1"/>
  <c r="HJ11" i="30" s="1"/>
  <c r="AC215" i="30" s="1"/>
  <c r="HI32" i="30"/>
  <c r="HJ15" i="30" s="1"/>
  <c r="AC235" i="30" s="1"/>
  <c r="HJ94" i="30"/>
  <c r="HJ26" i="30"/>
  <c r="HK9" i="30" s="1"/>
  <c r="HI93" i="30"/>
  <c r="HI25" i="30"/>
  <c r="HJ8" i="30" s="1"/>
  <c r="AC200" i="30" s="1"/>
  <c r="FG31" i="30" l="1"/>
  <c r="FH14" i="30" s="1"/>
  <c r="FH99" i="30" s="1"/>
  <c r="FH72" i="30" s="1"/>
  <c r="FH21" i="30" s="1"/>
  <c r="FI4" i="30" s="1"/>
  <c r="FI89" i="30" s="1"/>
  <c r="FI78" i="30" s="1"/>
  <c r="FG86" i="30"/>
  <c r="FG35" i="30" s="1"/>
  <c r="FH18" i="30" s="1"/>
  <c r="FH103" i="30" s="1"/>
  <c r="FH27" i="30"/>
  <c r="FI10" i="30" s="1"/>
  <c r="FI95" i="30" s="1"/>
  <c r="FG74" i="30"/>
  <c r="FG23" i="30" s="1"/>
  <c r="FH6" i="30" s="1"/>
  <c r="FH91" i="30" s="1"/>
  <c r="FH82" i="30" s="1"/>
  <c r="FG75" i="30"/>
  <c r="FG24" i="30" s="1"/>
  <c r="FH7" i="30" s="1"/>
  <c r="FH92" i="30" s="1"/>
  <c r="FG73" i="30"/>
  <c r="FG22" i="30" s="1"/>
  <c r="FH5" i="30" s="1"/>
  <c r="FH90" i="30" s="1"/>
  <c r="FG80" i="30"/>
  <c r="FG29" i="30" s="1"/>
  <c r="FH12" i="30" s="1"/>
  <c r="FH97" i="30" s="1"/>
  <c r="FG71" i="30"/>
  <c r="FG20" i="30" s="1"/>
  <c r="FH3" i="30" s="1"/>
  <c r="FH88" i="30" s="1"/>
  <c r="HK104" i="30"/>
  <c r="HK36" i="30"/>
  <c r="HL19" i="30" s="1"/>
  <c r="HK34" i="30"/>
  <c r="HL17" i="30" s="1"/>
  <c r="HK102" i="30"/>
  <c r="HK83" i="30" s="1"/>
  <c r="HJ96" i="30"/>
  <c r="HJ101" i="30"/>
  <c r="HJ33" i="30"/>
  <c r="HK16" i="30" s="1"/>
  <c r="HJ100" i="30"/>
  <c r="HJ79" i="30" s="1"/>
  <c r="HJ28" i="30" s="1"/>
  <c r="HK11" i="30" s="1"/>
  <c r="HK96" i="30" s="1"/>
  <c r="HJ32" i="30"/>
  <c r="HK15" i="30" s="1"/>
  <c r="HK94" i="30"/>
  <c r="HK26" i="30"/>
  <c r="HL9" i="30" s="1"/>
  <c r="HJ25" i="30"/>
  <c r="HK8" i="30" s="1"/>
  <c r="HJ93" i="30"/>
  <c r="FH73" i="30" l="1"/>
  <c r="FH22" i="30" s="1"/>
  <c r="FI5" i="30" s="1"/>
  <c r="FI90" i="30" s="1"/>
  <c r="FI81" i="30" s="1"/>
  <c r="FH31" i="30"/>
  <c r="FI14" i="30" s="1"/>
  <c r="FI99" i="30" s="1"/>
  <c r="FI72" i="30" s="1"/>
  <c r="FI21" i="30" s="1"/>
  <c r="FJ4" i="30" s="1"/>
  <c r="FJ89" i="30" s="1"/>
  <c r="FJ78" i="30" s="1"/>
  <c r="FI27" i="30"/>
  <c r="FJ10" i="30" s="1"/>
  <c r="FJ95" i="30" s="1"/>
  <c r="FH81" i="30"/>
  <c r="FH30" i="30" s="1"/>
  <c r="FI13" i="30" s="1"/>
  <c r="FI98" i="30" s="1"/>
  <c r="FH74" i="30"/>
  <c r="FH23" i="30" s="1"/>
  <c r="FI6" i="30" s="1"/>
  <c r="FI91" i="30" s="1"/>
  <c r="FH75" i="30"/>
  <c r="FH24" i="30" s="1"/>
  <c r="FI7" i="30" s="1"/>
  <c r="FI92" i="30" s="1"/>
  <c r="FH71" i="30"/>
  <c r="FH20" i="30" s="1"/>
  <c r="FI3" i="30" s="1"/>
  <c r="FI88" i="30" s="1"/>
  <c r="FH86" i="30"/>
  <c r="FH35" i="30" s="1"/>
  <c r="FI18" i="30" s="1"/>
  <c r="FI103" i="30" s="1"/>
  <c r="FH80" i="30"/>
  <c r="FH29" i="30" s="1"/>
  <c r="FI12" i="30" s="1"/>
  <c r="FI97" i="30" s="1"/>
  <c r="HL104" i="30"/>
  <c r="HL36" i="30"/>
  <c r="HM19" i="30" s="1"/>
  <c r="HL102" i="30"/>
  <c r="HL83" i="30" s="1"/>
  <c r="HL34" i="30"/>
  <c r="HM17" i="30" s="1"/>
  <c r="HK33" i="30"/>
  <c r="HL16" i="30" s="1"/>
  <c r="HK101" i="30"/>
  <c r="HK100" i="30"/>
  <c r="HK79" i="30" s="1"/>
  <c r="HK28" i="30" s="1"/>
  <c r="HL11" i="30" s="1"/>
  <c r="HL96" i="30" s="1"/>
  <c r="HK32" i="30"/>
  <c r="HL15" i="30" s="1"/>
  <c r="HL26" i="30"/>
  <c r="HM9" i="30" s="1"/>
  <c r="HL94" i="30"/>
  <c r="HK93" i="30"/>
  <c r="HK25" i="30"/>
  <c r="HL8" i="30" s="1"/>
  <c r="FI73" i="30" l="1"/>
  <c r="FI22" i="30" s="1"/>
  <c r="FJ5" i="30" s="1"/>
  <c r="FJ90" i="30" s="1"/>
  <c r="FJ81" i="30" s="1"/>
  <c r="FJ27" i="30"/>
  <c r="FK10" i="30" s="1"/>
  <c r="FK95" i="30" s="1"/>
  <c r="FI30" i="30"/>
  <c r="FJ13" i="30" s="1"/>
  <c r="FJ98" i="30" s="1"/>
  <c r="FI82" i="30"/>
  <c r="FI31" i="30" s="1"/>
  <c r="FJ14" i="30" s="1"/>
  <c r="FJ99" i="30" s="1"/>
  <c r="FJ72" i="30" s="1"/>
  <c r="FJ21" i="30" s="1"/>
  <c r="FK4" i="30" s="1"/>
  <c r="FK89" i="30" s="1"/>
  <c r="FK78" i="30" s="1"/>
  <c r="FI74" i="30"/>
  <c r="FI23" i="30" s="1"/>
  <c r="FJ6" i="30" s="1"/>
  <c r="FJ91" i="30" s="1"/>
  <c r="FI86" i="30"/>
  <c r="FI35" i="30" s="1"/>
  <c r="FJ18" i="30" s="1"/>
  <c r="FJ103" i="30" s="1"/>
  <c r="FI75" i="30"/>
  <c r="FI24" i="30" s="1"/>
  <c r="FJ7" i="30" s="1"/>
  <c r="FJ92" i="30" s="1"/>
  <c r="FI80" i="30"/>
  <c r="FI29" i="30" s="1"/>
  <c r="FJ12" i="30" s="1"/>
  <c r="FJ97" i="30" s="1"/>
  <c r="FI71" i="30"/>
  <c r="FI20" i="30" s="1"/>
  <c r="FJ3" i="30" s="1"/>
  <c r="FJ88" i="30" s="1"/>
  <c r="HM36" i="30"/>
  <c r="HN19" i="30" s="1"/>
  <c r="HM104" i="30"/>
  <c r="HM102" i="30"/>
  <c r="HM83" i="30" s="1"/>
  <c r="HM34" i="30"/>
  <c r="HN17" i="30" s="1"/>
  <c r="HL101" i="30"/>
  <c r="HL33" i="30"/>
  <c r="HM16" i="30" s="1"/>
  <c r="HL100" i="30"/>
  <c r="HL79" i="30" s="1"/>
  <c r="HL28" i="30" s="1"/>
  <c r="HM11" i="30" s="1"/>
  <c r="HM96" i="30" s="1"/>
  <c r="HL32" i="30"/>
  <c r="HM15" i="30" s="1"/>
  <c r="HM94" i="30"/>
  <c r="HM26" i="30"/>
  <c r="HN9" i="30" s="1"/>
  <c r="HL25" i="30"/>
  <c r="HM8" i="30" s="1"/>
  <c r="HL93" i="30"/>
  <c r="FK27" i="30" l="1"/>
  <c r="FL10" i="30" s="1"/>
  <c r="FL95" i="30" s="1"/>
  <c r="FJ30" i="30"/>
  <c r="FK13" i="30" s="1"/>
  <c r="FK98" i="30" s="1"/>
  <c r="FJ82" i="30"/>
  <c r="FJ31" i="30" s="1"/>
  <c r="FK14" i="30" s="1"/>
  <c r="FK99" i="30" s="1"/>
  <c r="FK72" i="30" s="1"/>
  <c r="FK21" i="30" s="1"/>
  <c r="FL4" i="30" s="1"/>
  <c r="FL89" i="30" s="1"/>
  <c r="FJ73" i="30"/>
  <c r="FJ22" i="30" s="1"/>
  <c r="FK5" i="30" s="1"/>
  <c r="FK90" i="30" s="1"/>
  <c r="FK81" i="30" s="1"/>
  <c r="FJ74" i="30"/>
  <c r="FJ23" i="30" s="1"/>
  <c r="FK6" i="30" s="1"/>
  <c r="FK91" i="30" s="1"/>
  <c r="FJ80" i="30"/>
  <c r="FJ29" i="30" s="1"/>
  <c r="FK12" i="30" s="1"/>
  <c r="FK97" i="30" s="1"/>
  <c r="FJ75" i="30"/>
  <c r="FJ24" i="30" s="1"/>
  <c r="FK7" i="30" s="1"/>
  <c r="FK92" i="30" s="1"/>
  <c r="FJ71" i="30"/>
  <c r="FJ20" i="30" s="1"/>
  <c r="FK3" i="30" s="1"/>
  <c r="FK88" i="30" s="1"/>
  <c r="FJ86" i="30"/>
  <c r="FJ35" i="30" s="1"/>
  <c r="FK18" i="30" s="1"/>
  <c r="FK103" i="30" s="1"/>
  <c r="HN36" i="30"/>
  <c r="HO19" i="30" s="1"/>
  <c r="HN104" i="30"/>
  <c r="HN102" i="30"/>
  <c r="HN83" i="30" s="1"/>
  <c r="HN34" i="30"/>
  <c r="HO17" i="30" s="1"/>
  <c r="HM33" i="30"/>
  <c r="HN16" i="30" s="1"/>
  <c r="HM101" i="30"/>
  <c r="HM100" i="30"/>
  <c r="HM79" i="30" s="1"/>
  <c r="HM28" i="30" s="1"/>
  <c r="HN11" i="30" s="1"/>
  <c r="HN96" i="30" s="1"/>
  <c r="HM32" i="30"/>
  <c r="HN15" i="30" s="1"/>
  <c r="HN26" i="30"/>
  <c r="HO9" i="30" s="1"/>
  <c r="HN94" i="30"/>
  <c r="HM93" i="30"/>
  <c r="HM25" i="30"/>
  <c r="HN8" i="30" s="1"/>
  <c r="FK30" i="30" l="1"/>
  <c r="FL13" i="30" s="1"/>
  <c r="FL98" i="30" s="1"/>
  <c r="FK74" i="30"/>
  <c r="FK23" i="30" s="1"/>
  <c r="FL6" i="30" s="1"/>
  <c r="FL91" i="30" s="1"/>
  <c r="FK80" i="30"/>
  <c r="FK29" i="30" s="1"/>
  <c r="FL12" i="30" s="1"/>
  <c r="FL97" i="30" s="1"/>
  <c r="FK75" i="30"/>
  <c r="FK24" i="30" s="1"/>
  <c r="FL7" i="30" s="1"/>
  <c r="FL92" i="30" s="1"/>
  <c r="HO36" i="30"/>
  <c r="HP19" i="30" s="1"/>
  <c r="HO104" i="30"/>
  <c r="HO34" i="30"/>
  <c r="HP17" i="30" s="1"/>
  <c r="HO102" i="30"/>
  <c r="HO83" i="30" s="1"/>
  <c r="HN33" i="30"/>
  <c r="HO16" i="30" s="1"/>
  <c r="HN101" i="30"/>
  <c r="HN100" i="30"/>
  <c r="HN79" i="30" s="1"/>
  <c r="HN28" i="30" s="1"/>
  <c r="HO11" i="30" s="1"/>
  <c r="HO96" i="30" s="1"/>
  <c r="HN32" i="30"/>
  <c r="HO15" i="30" s="1"/>
  <c r="HO94" i="30"/>
  <c r="HO26" i="30"/>
  <c r="HP9" i="30" s="1"/>
  <c r="HN93" i="30"/>
  <c r="HN25" i="30"/>
  <c r="HO8" i="30" s="1"/>
  <c r="FL78" i="30"/>
  <c r="FL27" i="30" s="1"/>
  <c r="FM10" i="30" s="1"/>
  <c r="FK71" i="30"/>
  <c r="FK20" i="30" s="1"/>
  <c r="FL3" i="30" s="1"/>
  <c r="FK73" i="30"/>
  <c r="FK22" i="30" s="1"/>
  <c r="FL5" i="30" s="1"/>
  <c r="FK86" i="30"/>
  <c r="FK35" i="30" s="1"/>
  <c r="FL18" i="30" s="1"/>
  <c r="FK82" i="30"/>
  <c r="FK31" i="30" s="1"/>
  <c r="FL14" i="30" s="1"/>
  <c r="HP104" i="30" l="1"/>
  <c r="HP36" i="30"/>
  <c r="HQ19" i="30" s="1"/>
  <c r="HP34" i="30"/>
  <c r="HQ17" i="30" s="1"/>
  <c r="HP102" i="30"/>
  <c r="HP83" i="30" s="1"/>
  <c r="HO101" i="30"/>
  <c r="HO33" i="30"/>
  <c r="HP16" i="30" s="1"/>
  <c r="HO100" i="30"/>
  <c r="HO79" i="30" s="1"/>
  <c r="HO28" i="30" s="1"/>
  <c r="HP11" i="30" s="1"/>
  <c r="HP96" i="30" s="1"/>
  <c r="HO32" i="30"/>
  <c r="HP15" i="30" s="1"/>
  <c r="HP26" i="30"/>
  <c r="HQ9" i="30" s="1"/>
  <c r="HP94" i="30"/>
  <c r="HO93" i="30"/>
  <c r="HO25" i="30"/>
  <c r="HP8" i="30" s="1"/>
  <c r="FL99" i="30"/>
  <c r="FM95" i="30"/>
  <c r="FL86" i="30"/>
  <c r="FL35" i="30" s="1"/>
  <c r="FM18" i="30" s="1"/>
  <c r="FL90" i="30"/>
  <c r="FL82" i="30"/>
  <c r="FL31" i="30" s="1"/>
  <c r="FM14" i="30" s="1"/>
  <c r="FL103" i="30"/>
  <c r="FL88" i="30"/>
  <c r="HQ104" i="30" l="1"/>
  <c r="HQ36" i="30"/>
  <c r="HR19" i="30" s="1"/>
  <c r="AD255" i="30" s="1"/>
  <c r="HQ34" i="30"/>
  <c r="HR17" i="30" s="1"/>
  <c r="AD245" i="30" s="1"/>
  <c r="HQ102" i="30"/>
  <c r="HQ83" i="30" s="1"/>
  <c r="HP101" i="30"/>
  <c r="HP33" i="30"/>
  <c r="HQ16" i="30" s="1"/>
  <c r="HP100" i="30"/>
  <c r="HP79" i="30" s="1"/>
  <c r="HP28" i="30" s="1"/>
  <c r="HQ11" i="30" s="1"/>
  <c r="HQ96" i="30" s="1"/>
  <c r="HP32" i="30"/>
  <c r="HQ15" i="30" s="1"/>
  <c r="HQ94" i="30"/>
  <c r="HQ26" i="30"/>
  <c r="HR9" i="30" s="1"/>
  <c r="AD205" i="30" s="1"/>
  <c r="HP93" i="30"/>
  <c r="HP25" i="30"/>
  <c r="HQ8" i="30" s="1"/>
  <c r="FM103" i="30"/>
  <c r="FM99" i="30"/>
  <c r="FM72" i="30" s="1"/>
  <c r="FL75" i="30"/>
  <c r="FL24" i="30" s="1"/>
  <c r="FM7" i="30" s="1"/>
  <c r="FL80" i="30"/>
  <c r="FL29" i="30" s="1"/>
  <c r="FM12" i="30" s="1"/>
  <c r="FL81" i="30"/>
  <c r="FL30" i="30" s="1"/>
  <c r="FM13" i="30" s="1"/>
  <c r="FL74" i="30"/>
  <c r="FL23" i="30" s="1"/>
  <c r="FM6" i="30" s="1"/>
  <c r="FL71" i="30"/>
  <c r="FL20" i="30" s="1"/>
  <c r="FM3" i="30" s="1"/>
  <c r="FL72" i="30"/>
  <c r="FL21" i="30" s="1"/>
  <c r="FM4" i="30" s="1"/>
  <c r="FL73" i="30"/>
  <c r="FL22" i="30" s="1"/>
  <c r="FM5" i="30" s="1"/>
  <c r="HR36" i="30" l="1"/>
  <c r="HS19" i="30" s="1"/>
  <c r="HR104" i="30"/>
  <c r="HR102" i="30"/>
  <c r="HR83" i="30" s="1"/>
  <c r="HR34" i="30"/>
  <c r="HS17" i="30" s="1"/>
  <c r="HQ101" i="30"/>
  <c r="HQ33" i="30"/>
  <c r="HR16" i="30" s="1"/>
  <c r="AD240" i="30" s="1"/>
  <c r="HQ100" i="30"/>
  <c r="HQ79" i="30" s="1"/>
  <c r="HQ28" i="30" s="1"/>
  <c r="HR11" i="30" s="1"/>
  <c r="AD215" i="30" s="1"/>
  <c r="HQ32" i="30"/>
  <c r="HR15" i="30" s="1"/>
  <c r="AD235" i="30" s="1"/>
  <c r="HR94" i="30"/>
  <c r="HR26" i="30"/>
  <c r="HS9" i="30" s="1"/>
  <c r="HQ93" i="30"/>
  <c r="HQ25" i="30"/>
  <c r="HR8" i="30" s="1"/>
  <c r="AD200" i="30" s="1"/>
  <c r="FM90" i="30"/>
  <c r="FM91" i="30"/>
  <c r="FM98" i="30"/>
  <c r="FM21" i="30"/>
  <c r="FN4" i="30" s="1"/>
  <c r="W180" i="30" s="1"/>
  <c r="FM89" i="30"/>
  <c r="FM97" i="30"/>
  <c r="FM88" i="30"/>
  <c r="FM92" i="30"/>
  <c r="HS36" i="30" l="1"/>
  <c r="HT19" i="30" s="1"/>
  <c r="HS104" i="30"/>
  <c r="HS34" i="30"/>
  <c r="HT17" i="30" s="1"/>
  <c r="HS102" i="30"/>
  <c r="HS83" i="30" s="1"/>
  <c r="HR101" i="30"/>
  <c r="HR33" i="30"/>
  <c r="HS16" i="30" s="1"/>
  <c r="HR96" i="30"/>
  <c r="HR100" i="30"/>
  <c r="HR79" i="30" s="1"/>
  <c r="HR28" i="30" s="1"/>
  <c r="HS11" i="30" s="1"/>
  <c r="HS96" i="30" s="1"/>
  <c r="HR32" i="30"/>
  <c r="HS15" i="30" s="1"/>
  <c r="HS94" i="30"/>
  <c r="HS26" i="30"/>
  <c r="HT9" i="30" s="1"/>
  <c r="HR25" i="30"/>
  <c r="HS8" i="30" s="1"/>
  <c r="HR93" i="30"/>
  <c r="FM75" i="30"/>
  <c r="FM24" i="30" s="1"/>
  <c r="FN7" i="30" s="1"/>
  <c r="W195" i="30" s="1"/>
  <c r="FM80" i="30"/>
  <c r="FM29" i="30" s="1"/>
  <c r="FN12" i="30" s="1"/>
  <c r="W220" i="30" s="1"/>
  <c r="FN89" i="30"/>
  <c r="FM86" i="30"/>
  <c r="FM35" i="30" s="1"/>
  <c r="FN18" i="30" s="1"/>
  <c r="W250" i="30" s="1"/>
  <c r="FM78" i="30"/>
  <c r="FM27" i="30" s="1"/>
  <c r="FN10" i="30" s="1"/>
  <c r="W210" i="30" s="1"/>
  <c r="FM73" i="30"/>
  <c r="FM22" i="30" s="1"/>
  <c r="FN5" i="30" s="1"/>
  <c r="W185" i="30" s="1"/>
  <c r="FM82" i="30"/>
  <c r="FM31" i="30" s="1"/>
  <c r="FN14" i="30" s="1"/>
  <c r="W230" i="30" s="1"/>
  <c r="FM71" i="30"/>
  <c r="FM20" i="30" s="1"/>
  <c r="FN3" i="30" s="1"/>
  <c r="W175" i="30" s="1"/>
  <c r="FM81" i="30"/>
  <c r="FM30" i="30" s="1"/>
  <c r="FN13" i="30" s="1"/>
  <c r="W225" i="30" s="1"/>
  <c r="FM74" i="30"/>
  <c r="FM23" i="30" s="1"/>
  <c r="FN6" i="30" s="1"/>
  <c r="W190" i="30" s="1"/>
  <c r="HT36" i="30" l="1"/>
  <c r="HU19" i="30" s="1"/>
  <c r="HT104" i="30"/>
  <c r="HT102" i="30"/>
  <c r="HT83" i="30" s="1"/>
  <c r="HT34" i="30"/>
  <c r="HU17" i="30" s="1"/>
  <c r="HS101" i="30"/>
  <c r="HS33" i="30"/>
  <c r="HT16" i="30" s="1"/>
  <c r="HS100" i="30"/>
  <c r="HS79" i="30" s="1"/>
  <c r="HS28" i="30" s="1"/>
  <c r="HT11" i="30" s="1"/>
  <c r="HT96" i="30" s="1"/>
  <c r="HS32" i="30"/>
  <c r="HT15" i="30" s="1"/>
  <c r="HT94" i="30"/>
  <c r="HT26" i="30"/>
  <c r="HU9" i="30" s="1"/>
  <c r="HS93" i="30"/>
  <c r="HS25" i="30"/>
  <c r="HT8" i="30" s="1"/>
  <c r="FN91" i="30"/>
  <c r="FN90" i="30"/>
  <c r="FN88" i="30"/>
  <c r="FN98" i="30"/>
  <c r="FN95" i="30"/>
  <c r="FN103" i="30"/>
  <c r="FN97" i="30"/>
  <c r="FN99" i="30"/>
  <c r="FN72" i="30" s="1"/>
  <c r="FN21" i="30" s="1"/>
  <c r="FO4" i="30" s="1"/>
  <c r="FN78" i="30"/>
  <c r="FN27" i="30" s="1"/>
  <c r="FO10" i="30" s="1"/>
  <c r="FN92" i="30"/>
  <c r="HU36" i="30" l="1"/>
  <c r="HV19" i="30" s="1"/>
  <c r="HU104" i="30"/>
  <c r="HU102" i="30"/>
  <c r="HU83" i="30" s="1"/>
  <c r="HU34" i="30"/>
  <c r="HV17" i="30" s="1"/>
  <c r="HT101" i="30"/>
  <c r="HT33" i="30"/>
  <c r="HU16" i="30" s="1"/>
  <c r="HT100" i="30"/>
  <c r="HT79" i="30" s="1"/>
  <c r="HT28" i="30" s="1"/>
  <c r="HU11" i="30" s="1"/>
  <c r="HU96" i="30" s="1"/>
  <c r="HT32" i="30"/>
  <c r="HU15" i="30" s="1"/>
  <c r="HU94" i="30"/>
  <c r="HU26" i="30"/>
  <c r="HV9" i="30" s="1"/>
  <c r="HT25" i="30"/>
  <c r="HU8" i="30" s="1"/>
  <c r="HT93" i="30"/>
  <c r="FN71" i="30"/>
  <c r="FN20" i="30" s="1"/>
  <c r="FO3" i="30" s="1"/>
  <c r="FO88" i="30" s="1"/>
  <c r="FN82" i="30"/>
  <c r="FN31" i="30" s="1"/>
  <c r="FO14" i="30" s="1"/>
  <c r="FO99" i="30" s="1"/>
  <c r="FO72" i="30" s="1"/>
  <c r="FO21" i="30" s="1"/>
  <c r="FP4" i="30" s="1"/>
  <c r="FO95" i="30"/>
  <c r="FN73" i="30"/>
  <c r="FN22" i="30" s="1"/>
  <c r="FO5" i="30" s="1"/>
  <c r="FO89" i="30"/>
  <c r="FN75" i="30"/>
  <c r="FN24" i="30" s="1"/>
  <c r="FO7" i="30" s="1"/>
  <c r="FN80" i="30"/>
  <c r="FN29" i="30" s="1"/>
  <c r="FO12" i="30" s="1"/>
  <c r="FN74" i="30"/>
  <c r="FN23" i="30" s="1"/>
  <c r="FO6" i="30" s="1"/>
  <c r="FN81" i="30"/>
  <c r="FN30" i="30" s="1"/>
  <c r="FO13" i="30" s="1"/>
  <c r="FN86" i="30"/>
  <c r="FN35" i="30" s="1"/>
  <c r="FO18" i="30" s="1"/>
  <c r="HV104" i="30" l="1"/>
  <c r="HV36" i="30"/>
  <c r="HW19" i="30" s="1"/>
  <c r="HV34" i="30"/>
  <c r="HW17" i="30" s="1"/>
  <c r="HV102" i="30"/>
  <c r="HV83" i="30" s="1"/>
  <c r="HU101" i="30"/>
  <c r="HU33" i="30"/>
  <c r="HV16" i="30" s="1"/>
  <c r="HU100" i="30"/>
  <c r="HU79" i="30" s="1"/>
  <c r="HU28" i="30" s="1"/>
  <c r="HV11" i="30" s="1"/>
  <c r="HV96" i="30" s="1"/>
  <c r="HU32" i="30"/>
  <c r="HV15" i="30" s="1"/>
  <c r="HV94" i="30"/>
  <c r="HV26" i="30"/>
  <c r="HW9" i="30" s="1"/>
  <c r="HU25" i="30"/>
  <c r="HV8" i="30" s="1"/>
  <c r="HU93" i="30"/>
  <c r="FO90" i="30"/>
  <c r="FO91" i="30"/>
  <c r="FP89" i="30"/>
  <c r="FO97" i="30"/>
  <c r="FO103" i="30"/>
  <c r="FO92" i="30"/>
  <c r="FO98" i="30"/>
  <c r="FO73" i="30" s="1"/>
  <c r="FO22" i="30" s="1"/>
  <c r="FP5" i="30" s="1"/>
  <c r="FO78" i="30"/>
  <c r="FO27" i="30" s="1"/>
  <c r="FP10" i="30" s="1"/>
  <c r="HW104" i="30" l="1"/>
  <c r="HW36" i="30"/>
  <c r="HX19" i="30" s="1"/>
  <c r="HW34" i="30"/>
  <c r="HX17" i="30" s="1"/>
  <c r="HW102" i="30"/>
  <c r="HW83" i="30" s="1"/>
  <c r="HV101" i="30"/>
  <c r="HV33" i="30"/>
  <c r="HW16" i="30" s="1"/>
  <c r="HV100" i="30"/>
  <c r="HV79" i="30" s="1"/>
  <c r="HV28" i="30" s="1"/>
  <c r="HW11" i="30" s="1"/>
  <c r="HW96" i="30" s="1"/>
  <c r="HV32" i="30"/>
  <c r="HW15" i="30" s="1"/>
  <c r="HW94" i="30"/>
  <c r="HW26" i="30"/>
  <c r="HX9" i="30" s="1"/>
  <c r="HV25" i="30"/>
  <c r="HW8" i="30" s="1"/>
  <c r="HV93" i="30"/>
  <c r="FP90" i="30"/>
  <c r="FP95" i="30"/>
  <c r="FO86" i="30"/>
  <c r="FO35" i="30" s="1"/>
  <c r="FP18" i="30" s="1"/>
  <c r="FO74" i="30"/>
  <c r="FO23" i="30" s="1"/>
  <c r="FP6" i="30" s="1"/>
  <c r="FO81" i="30"/>
  <c r="FO30" i="30" s="1"/>
  <c r="FP13" i="30" s="1"/>
  <c r="FO71" i="30"/>
  <c r="FO20" i="30" s="1"/>
  <c r="FP3" i="30" s="1"/>
  <c r="FO80" i="30"/>
  <c r="FO29" i="30" s="1"/>
  <c r="FP12" i="30" s="1"/>
  <c r="FO82" i="30"/>
  <c r="FO31" i="30" s="1"/>
  <c r="FP14" i="30" s="1"/>
  <c r="FO75" i="30"/>
  <c r="FO24" i="30" s="1"/>
  <c r="FP7" i="30" s="1"/>
  <c r="FP78" i="30"/>
  <c r="FP27" i="30" s="1"/>
  <c r="FQ10" i="30" s="1"/>
  <c r="HX104" i="30" l="1"/>
  <c r="HX36" i="30"/>
  <c r="HY19" i="30" s="1"/>
  <c r="HX34" i="30"/>
  <c r="HY17" i="30" s="1"/>
  <c r="HX102" i="30"/>
  <c r="HX83" i="30" s="1"/>
  <c r="HW101" i="30"/>
  <c r="HW33" i="30"/>
  <c r="HX16" i="30" s="1"/>
  <c r="HW100" i="30"/>
  <c r="HW79" i="30" s="1"/>
  <c r="HW28" i="30" s="1"/>
  <c r="HX11" i="30" s="1"/>
  <c r="HX96" i="30" s="1"/>
  <c r="HW32" i="30"/>
  <c r="HX15" i="30" s="1"/>
  <c r="HX26" i="30"/>
  <c r="HY9" i="30" s="1"/>
  <c r="HX94" i="30"/>
  <c r="HW93" i="30"/>
  <c r="HW25" i="30"/>
  <c r="HX8" i="30" s="1"/>
  <c r="FQ95" i="30"/>
  <c r="FP88" i="30"/>
  <c r="FP92" i="30"/>
  <c r="FP98" i="30"/>
  <c r="FP99" i="30"/>
  <c r="FP72" i="30" s="1"/>
  <c r="FP21" i="30" s="1"/>
  <c r="FQ4" i="30" s="1"/>
  <c r="FP91" i="30"/>
  <c r="FP97" i="30"/>
  <c r="FP103" i="30"/>
  <c r="FP81" i="30"/>
  <c r="FP30" i="30" s="1"/>
  <c r="FQ13" i="30" s="1"/>
  <c r="HY36" i="30" l="1"/>
  <c r="HZ19" i="30" s="1"/>
  <c r="AE255" i="30" s="1"/>
  <c r="HY104" i="30"/>
  <c r="HY102" i="30"/>
  <c r="HY83" i="30" s="1"/>
  <c r="HY34" i="30"/>
  <c r="HZ17" i="30" s="1"/>
  <c r="AE245" i="30" s="1"/>
  <c r="HX101" i="30"/>
  <c r="HX33" i="30"/>
  <c r="HY16" i="30" s="1"/>
  <c r="HX100" i="30"/>
  <c r="HX79" i="30" s="1"/>
  <c r="HX28" i="30" s="1"/>
  <c r="HY11" i="30" s="1"/>
  <c r="HY96" i="30" s="1"/>
  <c r="HX32" i="30"/>
  <c r="HY15" i="30" s="1"/>
  <c r="HY26" i="30"/>
  <c r="HZ9" i="30" s="1"/>
  <c r="AE205" i="30" s="1"/>
  <c r="HY94" i="30"/>
  <c r="HX25" i="30"/>
  <c r="HY8" i="30" s="1"/>
  <c r="HX93" i="30"/>
  <c r="FP73" i="30"/>
  <c r="FP22" i="30" s="1"/>
  <c r="FQ5" i="30" s="1"/>
  <c r="FQ90" i="30" s="1"/>
  <c r="FP74" i="30"/>
  <c r="FP23" i="30" s="1"/>
  <c r="FQ6" i="30" s="1"/>
  <c r="FQ91" i="30" s="1"/>
  <c r="FP71" i="30"/>
  <c r="FP20" i="30" s="1"/>
  <c r="FQ3" i="30" s="1"/>
  <c r="FQ88" i="30" s="1"/>
  <c r="FQ98" i="30"/>
  <c r="FP75" i="30"/>
  <c r="FP24" i="30" s="1"/>
  <c r="FQ7" i="30" s="1"/>
  <c r="FP80" i="30"/>
  <c r="FP29" i="30" s="1"/>
  <c r="FQ12" i="30" s="1"/>
  <c r="FP86" i="30"/>
  <c r="FP35" i="30" s="1"/>
  <c r="FQ18" i="30" s="1"/>
  <c r="FP82" i="30"/>
  <c r="FP31" i="30" s="1"/>
  <c r="FQ14" i="30" s="1"/>
  <c r="FQ89" i="30"/>
  <c r="HZ104" i="30" l="1"/>
  <c r="HZ36" i="30"/>
  <c r="IA19" i="30" s="1"/>
  <c r="HZ34" i="30"/>
  <c r="IA17" i="30" s="1"/>
  <c r="HZ102" i="30"/>
  <c r="HZ83" i="30" s="1"/>
  <c r="HY101" i="30"/>
  <c r="HY33" i="30"/>
  <c r="HZ16" i="30" s="1"/>
  <c r="AE240" i="30" s="1"/>
  <c r="HY100" i="30"/>
  <c r="HY79" i="30" s="1"/>
  <c r="HY28" i="30" s="1"/>
  <c r="HZ11" i="30" s="1"/>
  <c r="AE215" i="30" s="1"/>
  <c r="HY32" i="30"/>
  <c r="HZ15" i="30" s="1"/>
  <c r="AE235" i="30" s="1"/>
  <c r="HZ94" i="30"/>
  <c r="HZ26" i="30"/>
  <c r="IA9" i="30" s="1"/>
  <c r="HY25" i="30"/>
  <c r="HZ8" i="30" s="1"/>
  <c r="AE200" i="30" s="1"/>
  <c r="HY93" i="30"/>
  <c r="FQ97" i="30"/>
  <c r="FQ71" i="30" s="1"/>
  <c r="FQ20" i="30" s="1"/>
  <c r="FR3" i="30" s="1"/>
  <c r="FQ92" i="30"/>
  <c r="FQ75" i="30"/>
  <c r="FQ24" i="30" s="1"/>
  <c r="FR7" i="30" s="1"/>
  <c r="FQ103" i="30"/>
  <c r="FQ80" i="30" s="1"/>
  <c r="FQ29" i="30" s="1"/>
  <c r="FR12" i="30" s="1"/>
  <c r="FQ78" i="30"/>
  <c r="FQ27" i="30" s="1"/>
  <c r="FR10" i="30" s="1"/>
  <c r="FQ82" i="30"/>
  <c r="FQ31" i="30" s="1"/>
  <c r="FR14" i="30" s="1"/>
  <c r="FQ81" i="30"/>
  <c r="FQ30" i="30" s="1"/>
  <c r="FR13" i="30" s="1"/>
  <c r="FQ99" i="30"/>
  <c r="FQ72" i="30" s="1"/>
  <c r="FQ21" i="30" s="1"/>
  <c r="FR4" i="30" s="1"/>
  <c r="IA104" i="30" l="1"/>
  <c r="IA36" i="30"/>
  <c r="IB19" i="30" s="1"/>
  <c r="HZ96" i="30"/>
  <c r="IA34" i="30"/>
  <c r="IB17" i="30" s="1"/>
  <c r="IA102" i="30"/>
  <c r="IA83" i="30" s="1"/>
  <c r="HZ33" i="30"/>
  <c r="IA16" i="30" s="1"/>
  <c r="HZ101" i="30"/>
  <c r="HZ100" i="30"/>
  <c r="HZ79" i="30" s="1"/>
  <c r="HZ28" i="30" s="1"/>
  <c r="IA11" i="30" s="1"/>
  <c r="IA96" i="30" s="1"/>
  <c r="HZ32" i="30"/>
  <c r="IA15" i="30" s="1"/>
  <c r="IA26" i="30"/>
  <c r="IB9" i="30" s="1"/>
  <c r="IA94" i="30"/>
  <c r="HZ25" i="30"/>
  <c r="IA8" i="30" s="1"/>
  <c r="HZ93" i="30"/>
  <c r="FQ74" i="30"/>
  <c r="FQ23" i="30" s="1"/>
  <c r="FR6" i="30" s="1"/>
  <c r="FR91" i="30" s="1"/>
  <c r="FR97" i="30"/>
  <c r="FR92" i="30"/>
  <c r="FR99" i="30"/>
  <c r="FR72" i="30" s="1"/>
  <c r="FR21" i="30" s="1"/>
  <c r="FS4" i="30" s="1"/>
  <c r="FR88" i="30"/>
  <c r="FQ86" i="30"/>
  <c r="FQ35" i="30" s="1"/>
  <c r="FR18" i="30" s="1"/>
  <c r="FR89" i="30"/>
  <c r="FR98" i="30"/>
  <c r="FR95" i="30"/>
  <c r="FQ73" i="30"/>
  <c r="FQ22" i="30" s="1"/>
  <c r="FR5" i="30" s="1"/>
  <c r="IB36" i="30" l="1"/>
  <c r="IC19" i="30" s="1"/>
  <c r="IB104" i="30"/>
  <c r="IB102" i="30"/>
  <c r="IB83" i="30" s="1"/>
  <c r="IB34" i="30"/>
  <c r="IC17" i="30" s="1"/>
  <c r="IA101" i="30"/>
  <c r="IA33" i="30"/>
  <c r="IB16" i="30" s="1"/>
  <c r="IA100" i="30"/>
  <c r="IA79" i="30" s="1"/>
  <c r="IA28" i="30" s="1"/>
  <c r="IB11" i="30" s="1"/>
  <c r="IB96" i="30" s="1"/>
  <c r="IA32" i="30"/>
  <c r="IB15" i="30" s="1"/>
  <c r="IB26" i="30"/>
  <c r="IC9" i="30" s="1"/>
  <c r="IB94" i="30"/>
  <c r="IA25" i="30"/>
  <c r="IB8" i="30" s="1"/>
  <c r="IA93" i="30"/>
  <c r="FS89" i="30"/>
  <c r="FR78" i="30"/>
  <c r="FR27" i="30" s="1"/>
  <c r="FS10" i="30" s="1"/>
  <c r="FR73" i="30"/>
  <c r="FR22" i="30" s="1"/>
  <c r="FS5" i="30" s="1"/>
  <c r="FR82" i="30"/>
  <c r="FR31" i="30" s="1"/>
  <c r="FS14" i="30" s="1"/>
  <c r="FR103" i="30"/>
  <c r="FR90" i="30"/>
  <c r="FR86" i="30"/>
  <c r="FR35" i="30" s="1"/>
  <c r="FS18" i="30" s="1"/>
  <c r="IC104" i="30" l="1"/>
  <c r="IC36" i="30"/>
  <c r="ID19" i="30" s="1"/>
  <c r="IC102" i="30"/>
  <c r="IC83" i="30" s="1"/>
  <c r="IC34" i="30"/>
  <c r="ID17" i="30" s="1"/>
  <c r="IB101" i="30"/>
  <c r="IB33" i="30"/>
  <c r="IC16" i="30" s="1"/>
  <c r="IB100" i="30"/>
  <c r="IB79" i="30" s="1"/>
  <c r="IB28" i="30" s="1"/>
  <c r="IC11" i="30" s="1"/>
  <c r="IC96" i="30" s="1"/>
  <c r="IB32" i="30"/>
  <c r="IC15" i="30" s="1"/>
  <c r="IC94" i="30"/>
  <c r="IC26" i="30"/>
  <c r="ID9" i="30" s="1"/>
  <c r="IB93" i="30"/>
  <c r="IB25" i="30"/>
  <c r="IC8" i="30" s="1"/>
  <c r="FS103" i="30"/>
  <c r="FS90" i="30"/>
  <c r="FR81" i="30"/>
  <c r="FR30" i="30" s="1"/>
  <c r="FS13" i="30" s="1"/>
  <c r="FR74" i="30"/>
  <c r="FR23" i="30" s="1"/>
  <c r="FS6" i="30" s="1"/>
  <c r="FS95" i="30"/>
  <c r="FR80" i="30"/>
  <c r="FR29" i="30" s="1"/>
  <c r="FS12" i="30" s="1"/>
  <c r="FR75" i="30"/>
  <c r="FR24" i="30" s="1"/>
  <c r="FS7" i="30" s="1"/>
  <c r="FR71" i="30"/>
  <c r="FR20" i="30" s="1"/>
  <c r="FS3" i="30" s="1"/>
  <c r="FS78" i="30"/>
  <c r="FS27" i="30" s="1"/>
  <c r="FT10" i="30" s="1"/>
  <c r="FS99" i="30"/>
  <c r="FS72" i="30" s="1"/>
  <c r="FS21" i="30" s="1"/>
  <c r="FT4" i="30" s="1"/>
  <c r="ID104" i="30" l="1"/>
  <c r="ID36" i="30"/>
  <c r="IE19" i="30" s="1"/>
  <c r="ID34" i="30"/>
  <c r="IE17" i="30" s="1"/>
  <c r="ID102" i="30"/>
  <c r="ID83" i="30" s="1"/>
  <c r="IC101" i="30"/>
  <c r="IC33" i="30"/>
  <c r="ID16" i="30" s="1"/>
  <c r="IC100" i="30"/>
  <c r="IC79" i="30" s="1"/>
  <c r="IC28" i="30" s="1"/>
  <c r="ID11" i="30" s="1"/>
  <c r="ID96" i="30" s="1"/>
  <c r="IC32" i="30"/>
  <c r="ID15" i="30" s="1"/>
  <c r="ID94" i="30"/>
  <c r="ID26" i="30"/>
  <c r="IE9" i="30" s="1"/>
  <c r="IC93" i="30"/>
  <c r="IC25" i="30"/>
  <c r="ID8" i="30" s="1"/>
  <c r="FT95" i="30"/>
  <c r="FT89" i="30"/>
  <c r="FS88" i="30"/>
  <c r="FS81" i="30"/>
  <c r="FS30" i="30" s="1"/>
  <c r="FT13" i="30" s="1"/>
  <c r="FS91" i="30"/>
  <c r="FS92" i="30"/>
  <c r="FS74" i="30" s="1"/>
  <c r="FS23" i="30" s="1"/>
  <c r="FT6" i="30" s="1"/>
  <c r="FS97" i="30"/>
  <c r="FS98" i="30"/>
  <c r="FS73" i="30" s="1"/>
  <c r="FS22" i="30" s="1"/>
  <c r="FT5" i="30" s="1"/>
  <c r="IE104" i="30" l="1"/>
  <c r="IE36" i="30"/>
  <c r="IF19" i="30" s="1"/>
  <c r="IE102" i="30"/>
  <c r="IE83" i="30" s="1"/>
  <c r="IE34" i="30"/>
  <c r="IF17" i="30" s="1"/>
  <c r="ID33" i="30"/>
  <c r="IE16" i="30" s="1"/>
  <c r="ID101" i="30"/>
  <c r="ID100" i="30"/>
  <c r="ID79" i="30" s="1"/>
  <c r="ID28" i="30" s="1"/>
  <c r="IE11" i="30" s="1"/>
  <c r="IE96" i="30" s="1"/>
  <c r="ID32" i="30"/>
  <c r="IE15" i="30" s="1"/>
  <c r="IE94" i="30"/>
  <c r="IE26" i="30"/>
  <c r="IF9" i="30" s="1"/>
  <c r="ID93" i="30"/>
  <c r="ID25" i="30"/>
  <c r="IE8" i="30" s="1"/>
  <c r="FT91" i="30"/>
  <c r="FT98" i="30"/>
  <c r="FT90" i="30"/>
  <c r="FT78" i="30"/>
  <c r="FT27" i="30" s="1"/>
  <c r="FU10" i="30" s="1"/>
  <c r="FS71" i="30"/>
  <c r="FS20" i="30" s="1"/>
  <c r="FT3" i="30" s="1"/>
  <c r="FS86" i="30"/>
  <c r="FS35" i="30" s="1"/>
  <c r="FT18" i="30" s="1"/>
  <c r="FS82" i="30"/>
  <c r="FS31" i="30" s="1"/>
  <c r="FT14" i="30" s="1"/>
  <c r="FS75" i="30"/>
  <c r="FS24" i="30" s="1"/>
  <c r="FT7" i="30" s="1"/>
  <c r="FS80" i="30"/>
  <c r="FS29" i="30" s="1"/>
  <c r="FT12" i="30" s="1"/>
  <c r="IF104" i="30" l="1"/>
  <c r="IF36" i="30"/>
  <c r="IG19" i="30" s="1"/>
  <c r="IF34" i="30"/>
  <c r="IG17" i="30" s="1"/>
  <c r="IF102" i="30"/>
  <c r="IF83" i="30" s="1"/>
  <c r="IE101" i="30"/>
  <c r="IE33" i="30"/>
  <c r="IF16" i="30" s="1"/>
  <c r="IE100" i="30"/>
  <c r="IE79" i="30" s="1"/>
  <c r="IE28" i="30" s="1"/>
  <c r="IF11" i="30" s="1"/>
  <c r="IF96" i="30" s="1"/>
  <c r="IE32" i="30"/>
  <c r="IF15" i="30" s="1"/>
  <c r="IF94" i="30"/>
  <c r="IF26" i="30"/>
  <c r="IG9" i="30" s="1"/>
  <c r="IE93" i="30"/>
  <c r="IE25" i="30"/>
  <c r="IF8" i="30" s="1"/>
  <c r="FT82" i="30"/>
  <c r="FT31" i="30" s="1"/>
  <c r="FU14" i="30" s="1"/>
  <c r="FT88" i="30"/>
  <c r="FU95" i="30"/>
  <c r="FT92" i="30"/>
  <c r="FT81" i="30"/>
  <c r="FT30" i="30" s="1"/>
  <c r="FU13" i="30" s="1"/>
  <c r="FT103" i="30"/>
  <c r="FT97" i="30"/>
  <c r="FT99" i="30"/>
  <c r="IG36" i="30" l="1"/>
  <c r="IH19" i="30" s="1"/>
  <c r="AF255" i="30" s="1"/>
  <c r="IG104" i="30"/>
  <c r="IG102" i="30"/>
  <c r="IG83" i="30" s="1"/>
  <c r="IG34" i="30"/>
  <c r="IH17" i="30" s="1"/>
  <c r="AF245" i="30" s="1"/>
  <c r="IF101" i="30"/>
  <c r="IF33" i="30"/>
  <c r="IG16" i="30" s="1"/>
  <c r="IF100" i="30"/>
  <c r="IF79" i="30" s="1"/>
  <c r="IF28" i="30" s="1"/>
  <c r="IG11" i="30" s="1"/>
  <c r="IG96" i="30" s="1"/>
  <c r="IF32" i="30"/>
  <c r="IG15" i="30" s="1"/>
  <c r="IG26" i="30"/>
  <c r="IH9" i="30" s="1"/>
  <c r="AF205" i="30" s="1"/>
  <c r="IG94" i="30"/>
  <c r="IF93" i="30"/>
  <c r="IF25" i="30"/>
  <c r="IG8" i="30" s="1"/>
  <c r="FT86" i="30"/>
  <c r="FT35" i="30" s="1"/>
  <c r="FU18" i="30" s="1"/>
  <c r="FU103" i="30" s="1"/>
  <c r="FT74" i="30"/>
  <c r="FT23" i="30" s="1"/>
  <c r="FU6" i="30" s="1"/>
  <c r="FU91" i="30" s="1"/>
  <c r="FU99" i="30"/>
  <c r="FU72" i="30" s="1"/>
  <c r="FT71" i="30"/>
  <c r="FT20" i="30" s="1"/>
  <c r="FU3" i="30" s="1"/>
  <c r="FT72" i="30"/>
  <c r="FT21" i="30" s="1"/>
  <c r="FU4" i="30" s="1"/>
  <c r="FT73" i="30"/>
  <c r="FT22" i="30" s="1"/>
  <c r="FU5" i="30" s="1"/>
  <c r="FU98" i="30"/>
  <c r="FT80" i="30"/>
  <c r="FT29" i="30" s="1"/>
  <c r="FU12" i="30" s="1"/>
  <c r="FT75" i="30"/>
  <c r="FT24" i="30" s="1"/>
  <c r="FU7" i="30" s="1"/>
  <c r="IH36" i="30" l="1"/>
  <c r="II19" i="30" s="1"/>
  <c r="IH104" i="30"/>
  <c r="IH34" i="30"/>
  <c r="II17" i="30" s="1"/>
  <c r="IH102" i="30"/>
  <c r="IH83" i="30" s="1"/>
  <c r="IG33" i="30"/>
  <c r="IH16" i="30" s="1"/>
  <c r="AF240" i="30" s="1"/>
  <c r="IG101" i="30"/>
  <c r="IG100" i="30"/>
  <c r="IG79" i="30" s="1"/>
  <c r="IG28" i="30" s="1"/>
  <c r="IH11" i="30" s="1"/>
  <c r="AF215" i="30" s="1"/>
  <c r="IG32" i="30"/>
  <c r="IH15" i="30" s="1"/>
  <c r="AF235" i="30" s="1"/>
  <c r="IH94" i="30"/>
  <c r="IH26" i="30"/>
  <c r="II9" i="30" s="1"/>
  <c r="IG93" i="30"/>
  <c r="IG25" i="30"/>
  <c r="IH8" i="30" s="1"/>
  <c r="AF200" i="30" s="1"/>
  <c r="FU21" i="30"/>
  <c r="FV4" i="30" s="1"/>
  <c r="X180" i="30" s="1"/>
  <c r="FU97" i="30"/>
  <c r="FU89" i="30"/>
  <c r="FU90" i="30"/>
  <c r="FU88" i="30"/>
  <c r="FU92" i="30"/>
  <c r="II36" i="30" l="1"/>
  <c r="IJ19" i="30" s="1"/>
  <c r="II104" i="30"/>
  <c r="II102" i="30"/>
  <c r="II83" i="30" s="1"/>
  <c r="II34" i="30"/>
  <c r="IJ17" i="30" s="1"/>
  <c r="IH101" i="30"/>
  <c r="IH33" i="30"/>
  <c r="II16" i="30" s="1"/>
  <c r="IH96" i="30"/>
  <c r="IH100" i="30"/>
  <c r="IH79" i="30" s="1"/>
  <c r="IH28" i="30" s="1"/>
  <c r="II11" i="30" s="1"/>
  <c r="II96" i="30" s="1"/>
  <c r="IH32" i="30"/>
  <c r="II15" i="30" s="1"/>
  <c r="II94" i="30"/>
  <c r="II26" i="30"/>
  <c r="IJ9" i="30" s="1"/>
  <c r="IH25" i="30"/>
  <c r="II8" i="30" s="1"/>
  <c r="IH93" i="30"/>
  <c r="FU86" i="30"/>
  <c r="FU35" i="30" s="1"/>
  <c r="FV18" i="30" s="1"/>
  <c r="X250" i="30" s="1"/>
  <c r="FU74" i="30"/>
  <c r="FU23" i="30" s="1"/>
  <c r="FV6" i="30" s="1"/>
  <c r="X190" i="30" s="1"/>
  <c r="FU81" i="30"/>
  <c r="FU30" i="30" s="1"/>
  <c r="FV13" i="30" s="1"/>
  <c r="X225" i="30" s="1"/>
  <c r="FU75" i="30"/>
  <c r="FU24" i="30" s="1"/>
  <c r="FV7" i="30" s="1"/>
  <c r="X195" i="30" s="1"/>
  <c r="FU80" i="30"/>
  <c r="FU29" i="30" s="1"/>
  <c r="FV12" i="30" s="1"/>
  <c r="X220" i="30" s="1"/>
  <c r="FV89" i="30"/>
  <c r="FU78" i="30"/>
  <c r="FU27" i="30" s="1"/>
  <c r="FV10" i="30" s="1"/>
  <c r="X210" i="30" s="1"/>
  <c r="FU73" i="30"/>
  <c r="FU22" i="30" s="1"/>
  <c r="FV5" i="30" s="1"/>
  <c r="X185" i="30" s="1"/>
  <c r="FU82" i="30"/>
  <c r="FU31" i="30" s="1"/>
  <c r="FV14" i="30" s="1"/>
  <c r="X230" i="30" s="1"/>
  <c r="FU71" i="30"/>
  <c r="FU20" i="30" s="1"/>
  <c r="FV3" i="30" s="1"/>
  <c r="X175" i="30" s="1"/>
  <c r="IJ104" i="30" l="1"/>
  <c r="IJ36" i="30"/>
  <c r="IK19" i="30" s="1"/>
  <c r="IJ34" i="30"/>
  <c r="IK17" i="30" s="1"/>
  <c r="IJ102" i="30"/>
  <c r="IJ83" i="30" s="1"/>
  <c r="II101" i="30"/>
  <c r="II33" i="30"/>
  <c r="IJ16" i="30" s="1"/>
  <c r="II100" i="30"/>
  <c r="II79" i="30" s="1"/>
  <c r="II28" i="30" s="1"/>
  <c r="IJ11" i="30" s="1"/>
  <c r="IJ96" i="30" s="1"/>
  <c r="II32" i="30"/>
  <c r="IJ15" i="30" s="1"/>
  <c r="IJ94" i="30"/>
  <c r="IJ26" i="30"/>
  <c r="IK9" i="30" s="1"/>
  <c r="II93" i="30"/>
  <c r="II25" i="30"/>
  <c r="IJ8" i="30" s="1"/>
  <c r="FV103" i="30"/>
  <c r="FV90" i="30"/>
  <c r="FV78" i="30"/>
  <c r="FV27" i="30" s="1"/>
  <c r="FW10" i="30" s="1"/>
  <c r="FV91" i="30"/>
  <c r="FV97" i="30"/>
  <c r="FV95" i="30"/>
  <c r="FV88" i="30"/>
  <c r="FV92" i="30"/>
  <c r="FV99" i="30"/>
  <c r="FV72" i="30" s="1"/>
  <c r="FV21" i="30" s="1"/>
  <c r="FW4" i="30" s="1"/>
  <c r="FV98" i="30"/>
  <c r="IK104" i="30" l="1"/>
  <c r="IK36" i="30"/>
  <c r="IL19" i="30" s="1"/>
  <c r="IK34" i="30"/>
  <c r="IL17" i="30" s="1"/>
  <c r="IK102" i="30"/>
  <c r="IK83" i="30" s="1"/>
  <c r="IJ33" i="30"/>
  <c r="IK16" i="30" s="1"/>
  <c r="IJ101" i="30"/>
  <c r="IJ100" i="30"/>
  <c r="IJ79" i="30" s="1"/>
  <c r="IJ28" i="30" s="1"/>
  <c r="IK11" i="30" s="1"/>
  <c r="IK96" i="30" s="1"/>
  <c r="IJ32" i="30"/>
  <c r="IK15" i="30" s="1"/>
  <c r="IK94" i="30"/>
  <c r="IK26" i="30"/>
  <c r="IL9" i="30" s="1"/>
  <c r="IJ25" i="30"/>
  <c r="IK8" i="30" s="1"/>
  <c r="IJ93" i="30"/>
  <c r="FV71" i="30"/>
  <c r="FV20" i="30" s="1"/>
  <c r="FW3" i="30" s="1"/>
  <c r="FW88" i="30" s="1"/>
  <c r="FV82" i="30"/>
  <c r="FV31" i="30" s="1"/>
  <c r="FW14" i="30" s="1"/>
  <c r="FW99" i="30" s="1"/>
  <c r="FW72" i="30" s="1"/>
  <c r="FW21" i="30" s="1"/>
  <c r="FX4" i="30" s="1"/>
  <c r="FV73" i="30"/>
  <c r="FV22" i="30" s="1"/>
  <c r="FW5" i="30" s="1"/>
  <c r="FW90" i="30" s="1"/>
  <c r="FW95" i="30"/>
  <c r="FW89" i="30"/>
  <c r="FV75" i="30"/>
  <c r="FV24" i="30" s="1"/>
  <c r="FW7" i="30" s="1"/>
  <c r="FV80" i="30"/>
  <c r="FV29" i="30" s="1"/>
  <c r="FW12" i="30" s="1"/>
  <c r="FV86" i="30"/>
  <c r="FV35" i="30" s="1"/>
  <c r="FW18" i="30" s="1"/>
  <c r="FV81" i="30"/>
  <c r="FV30" i="30" s="1"/>
  <c r="FW13" i="30" s="1"/>
  <c r="FV74" i="30"/>
  <c r="FV23" i="30" s="1"/>
  <c r="FW6" i="30" s="1"/>
  <c r="IL36" i="30" l="1"/>
  <c r="IM19" i="30" s="1"/>
  <c r="IL104" i="30"/>
  <c r="IL34" i="30"/>
  <c r="IM17" i="30" s="1"/>
  <c r="IL102" i="30"/>
  <c r="IL83" i="30" s="1"/>
  <c r="IK101" i="30"/>
  <c r="IK33" i="30"/>
  <c r="IL16" i="30" s="1"/>
  <c r="IK100" i="30"/>
  <c r="IK79" i="30" s="1"/>
  <c r="IK28" i="30" s="1"/>
  <c r="IL11" i="30" s="1"/>
  <c r="IL96" i="30" s="1"/>
  <c r="IK32" i="30"/>
  <c r="IL15" i="30" s="1"/>
  <c r="IL26" i="30"/>
  <c r="IM9" i="30" s="1"/>
  <c r="IL94" i="30"/>
  <c r="IK25" i="30"/>
  <c r="IL8" i="30" s="1"/>
  <c r="IK93" i="30"/>
  <c r="FX89" i="30"/>
  <c r="FW97" i="30"/>
  <c r="FW91" i="30"/>
  <c r="FW75" i="30" s="1"/>
  <c r="FW24" i="30" s="1"/>
  <c r="FX7" i="30" s="1"/>
  <c r="FW92" i="30"/>
  <c r="FW74" i="30" s="1"/>
  <c r="FW23" i="30" s="1"/>
  <c r="FX6" i="30" s="1"/>
  <c r="FW98" i="30"/>
  <c r="FW73" i="30" s="1"/>
  <c r="FW22" i="30" s="1"/>
  <c r="FX5" i="30" s="1"/>
  <c r="FW103" i="30"/>
  <c r="FW80" i="30" s="1"/>
  <c r="FW29" i="30" s="1"/>
  <c r="FX12" i="30" s="1"/>
  <c r="FW78" i="30"/>
  <c r="FW27" i="30" s="1"/>
  <c r="FX10" i="30" s="1"/>
  <c r="FW81" i="30"/>
  <c r="FW30" i="30" s="1"/>
  <c r="FX13" i="30" s="1"/>
  <c r="IM104" i="30" l="1"/>
  <c r="IM36" i="30"/>
  <c r="IN19" i="30" s="1"/>
  <c r="IM102" i="30"/>
  <c r="IM83" i="30" s="1"/>
  <c r="IM34" i="30"/>
  <c r="IN17" i="30" s="1"/>
  <c r="IL101" i="30"/>
  <c r="IL33" i="30"/>
  <c r="IM16" i="30" s="1"/>
  <c r="IL100" i="30"/>
  <c r="IL79" i="30" s="1"/>
  <c r="IL28" i="30" s="1"/>
  <c r="IM11" i="30" s="1"/>
  <c r="IM96" i="30" s="1"/>
  <c r="IL32" i="30"/>
  <c r="IM15" i="30" s="1"/>
  <c r="IM94" i="30"/>
  <c r="IM26" i="30"/>
  <c r="IN9" i="30" s="1"/>
  <c r="IL93" i="30"/>
  <c r="IL25" i="30"/>
  <c r="IM8" i="30" s="1"/>
  <c r="FW71" i="30"/>
  <c r="FW20" i="30" s="1"/>
  <c r="FX3" i="30" s="1"/>
  <c r="FX88" i="30" s="1"/>
  <c r="FW82" i="30"/>
  <c r="FW31" i="30" s="1"/>
  <c r="FX14" i="30" s="1"/>
  <c r="FX99" i="30" s="1"/>
  <c r="FX72" i="30" s="1"/>
  <c r="FX21" i="30" s="1"/>
  <c r="FY4" i="30" s="1"/>
  <c r="FX91" i="30"/>
  <c r="FX98" i="30"/>
  <c r="FX92" i="30"/>
  <c r="FX97" i="30"/>
  <c r="FX90" i="30"/>
  <c r="FW86" i="30"/>
  <c r="FW35" i="30" s="1"/>
  <c r="FX18" i="30" s="1"/>
  <c r="FX95" i="30"/>
  <c r="FX78" i="30"/>
  <c r="FX27" i="30" s="1"/>
  <c r="FY10" i="30" s="1"/>
  <c r="IN36" i="30" l="1"/>
  <c r="IO19" i="30" s="1"/>
  <c r="IN104" i="30"/>
  <c r="IN34" i="30"/>
  <c r="IO17" i="30" s="1"/>
  <c r="IN102" i="30"/>
  <c r="IN83" i="30" s="1"/>
  <c r="IM101" i="30"/>
  <c r="IM33" i="30"/>
  <c r="IN16" i="30" s="1"/>
  <c r="IM100" i="30"/>
  <c r="IM79" i="30" s="1"/>
  <c r="IM28" i="30" s="1"/>
  <c r="IN11" i="30" s="1"/>
  <c r="IN96" i="30" s="1"/>
  <c r="IM32" i="30"/>
  <c r="IN15" i="30" s="1"/>
  <c r="IN26" i="30"/>
  <c r="IO9" i="30" s="1"/>
  <c r="IN94" i="30"/>
  <c r="IM93" i="30"/>
  <c r="IM25" i="30"/>
  <c r="IN8" i="30" s="1"/>
  <c r="FX82" i="30"/>
  <c r="FX31" i="30" s="1"/>
  <c r="FY14" i="30" s="1"/>
  <c r="FY99" i="30" s="1"/>
  <c r="FY72" i="30" s="1"/>
  <c r="FY21" i="30" s="1"/>
  <c r="FZ4" i="30" s="1"/>
  <c r="FX71" i="30"/>
  <c r="FX20" i="30" s="1"/>
  <c r="FY3" i="30" s="1"/>
  <c r="FY88" i="30" s="1"/>
  <c r="FX73" i="30"/>
  <c r="FX22" i="30" s="1"/>
  <c r="FY5" i="30" s="1"/>
  <c r="FY90" i="30" s="1"/>
  <c r="FY95" i="30"/>
  <c r="FX75" i="30"/>
  <c r="FX24" i="30" s="1"/>
  <c r="FY7" i="30" s="1"/>
  <c r="FX103" i="30"/>
  <c r="FX80" i="30" s="1"/>
  <c r="FX29" i="30" s="1"/>
  <c r="FY12" i="30" s="1"/>
  <c r="FX74" i="30"/>
  <c r="FX23" i="30" s="1"/>
  <c r="FY6" i="30" s="1"/>
  <c r="FX81" i="30"/>
  <c r="FX30" i="30" s="1"/>
  <c r="FY13" i="30" s="1"/>
  <c r="FY89" i="30"/>
  <c r="FX86" i="30"/>
  <c r="FX35" i="30" s="1"/>
  <c r="FY18" i="30" s="1"/>
  <c r="IO36" i="30" l="1"/>
  <c r="IP19" i="30" s="1"/>
  <c r="IO104" i="30"/>
  <c r="IO102" i="30"/>
  <c r="IO83" i="30" s="1"/>
  <c r="IO34" i="30"/>
  <c r="IP17" i="30" s="1"/>
  <c r="IN33" i="30"/>
  <c r="IO16" i="30" s="1"/>
  <c r="IN101" i="30"/>
  <c r="IN100" i="30"/>
  <c r="IN79" i="30" s="1"/>
  <c r="IN28" i="30" s="1"/>
  <c r="IO11" i="30" s="1"/>
  <c r="IO96" i="30" s="1"/>
  <c r="IN32" i="30"/>
  <c r="IO15" i="30" s="1"/>
  <c r="IO26" i="30"/>
  <c r="IP9" i="30" s="1"/>
  <c r="IO94" i="30"/>
  <c r="IN93" i="30"/>
  <c r="IN25" i="30"/>
  <c r="IO8" i="30" s="1"/>
  <c r="FZ89" i="30"/>
  <c r="FY97" i="30"/>
  <c r="FY103" i="30"/>
  <c r="FY80" i="30" s="1"/>
  <c r="FY29" i="30" s="1"/>
  <c r="FZ12" i="30" s="1"/>
  <c r="FY92" i="30"/>
  <c r="FY74" i="30" s="1"/>
  <c r="FY23" i="30" s="1"/>
  <c r="FZ6" i="30" s="1"/>
  <c r="FY81" i="30"/>
  <c r="FY30" i="30" s="1"/>
  <c r="FZ13" i="30" s="1"/>
  <c r="FY78" i="30"/>
  <c r="FY27" i="30" s="1"/>
  <c r="FZ10" i="30" s="1"/>
  <c r="FY98" i="30"/>
  <c r="FY91" i="30"/>
  <c r="IP36" i="30" l="1"/>
  <c r="IQ19" i="30" s="1"/>
  <c r="IP104" i="30"/>
  <c r="IP34" i="30"/>
  <c r="IQ17" i="30" s="1"/>
  <c r="IP102" i="30"/>
  <c r="IP83" i="30" s="1"/>
  <c r="IO33" i="30"/>
  <c r="IP16" i="30" s="1"/>
  <c r="IO101" i="30"/>
  <c r="IO100" i="30"/>
  <c r="IO79" i="30" s="1"/>
  <c r="IO28" i="30" s="1"/>
  <c r="IP11" i="30" s="1"/>
  <c r="IP96" i="30" s="1"/>
  <c r="IO32" i="30"/>
  <c r="IP15" i="30" s="1"/>
  <c r="IP26" i="30"/>
  <c r="IQ9" i="30" s="1"/>
  <c r="IP94" i="30"/>
  <c r="IO93" i="30"/>
  <c r="IO25" i="30"/>
  <c r="IP8" i="30" s="1"/>
  <c r="FY71" i="30"/>
  <c r="FY20" i="30" s="1"/>
  <c r="FZ3" i="30" s="1"/>
  <c r="FZ88" i="30" s="1"/>
  <c r="FY86" i="30"/>
  <c r="FY35" i="30" s="1"/>
  <c r="FZ18" i="30" s="1"/>
  <c r="FZ103" i="30" s="1"/>
  <c r="FY73" i="30"/>
  <c r="FY22" i="30" s="1"/>
  <c r="FZ5" i="30" s="1"/>
  <c r="FZ90" i="30" s="1"/>
  <c r="FY75" i="30"/>
  <c r="FY24" i="30" s="1"/>
  <c r="FZ7" i="30" s="1"/>
  <c r="FZ92" i="30" s="1"/>
  <c r="FZ97" i="30"/>
  <c r="FZ98" i="30"/>
  <c r="FZ91" i="30"/>
  <c r="FZ95" i="30"/>
  <c r="FY82" i="30"/>
  <c r="FY31" i="30" s="1"/>
  <c r="FZ14" i="30" s="1"/>
  <c r="FZ78" i="30"/>
  <c r="FZ27" i="30" s="1"/>
  <c r="GA10" i="30" s="1"/>
  <c r="IQ36" i="30" l="1"/>
  <c r="IR19" i="30" s="1"/>
  <c r="IQ104" i="30"/>
  <c r="IQ34" i="30"/>
  <c r="IR17" i="30" s="1"/>
  <c r="IQ102" i="30"/>
  <c r="IQ83" i="30" s="1"/>
  <c r="IP101" i="30"/>
  <c r="IP33" i="30"/>
  <c r="IQ16" i="30" s="1"/>
  <c r="IP100" i="30"/>
  <c r="IP79" i="30" s="1"/>
  <c r="IP28" i="30" s="1"/>
  <c r="IQ11" i="30" s="1"/>
  <c r="IQ96" i="30" s="1"/>
  <c r="IP32" i="30"/>
  <c r="IQ15" i="30" s="1"/>
  <c r="IQ94" i="30"/>
  <c r="IQ26" i="30"/>
  <c r="IR9" i="30" s="1"/>
  <c r="IP93" i="30"/>
  <c r="IP25" i="30"/>
  <c r="IQ8" i="30" s="1"/>
  <c r="FZ82" i="30"/>
  <c r="FZ31" i="30" s="1"/>
  <c r="GA14" i="30" s="1"/>
  <c r="FZ71" i="30"/>
  <c r="FZ20" i="30" s="1"/>
  <c r="GA3" i="30" s="1"/>
  <c r="GA88" i="30" s="1"/>
  <c r="GA95" i="30"/>
  <c r="FZ81" i="30"/>
  <c r="FZ30" i="30" s="1"/>
  <c r="GA13" i="30" s="1"/>
  <c r="FZ86" i="30"/>
  <c r="FZ35" i="30" s="1"/>
  <c r="GA18" i="30" s="1"/>
  <c r="FZ99" i="30"/>
  <c r="FZ75" i="30"/>
  <c r="FZ24" i="30" s="1"/>
  <c r="GA7" i="30" s="1"/>
  <c r="FZ80" i="30"/>
  <c r="FZ29" i="30" s="1"/>
  <c r="GA12" i="30" s="1"/>
  <c r="IR104" i="30" l="1"/>
  <c r="IR36" i="30"/>
  <c r="IS19" i="30" s="1"/>
  <c r="IR34" i="30"/>
  <c r="IS17" i="30" s="1"/>
  <c r="IR102" i="30"/>
  <c r="IR83" i="30" s="1"/>
  <c r="IQ101" i="30"/>
  <c r="IQ33" i="30"/>
  <c r="IR16" i="30" s="1"/>
  <c r="IQ100" i="30"/>
  <c r="IQ79" i="30" s="1"/>
  <c r="IQ28" i="30" s="1"/>
  <c r="IR11" i="30" s="1"/>
  <c r="IR96" i="30" s="1"/>
  <c r="IQ32" i="30"/>
  <c r="IR15" i="30" s="1"/>
  <c r="IR94" i="30"/>
  <c r="IR26" i="30"/>
  <c r="IS9" i="30" s="1"/>
  <c r="IQ93" i="30"/>
  <c r="IQ25" i="30"/>
  <c r="IR8" i="30" s="1"/>
  <c r="GA99" i="30"/>
  <c r="GA72" i="30" s="1"/>
  <c r="FZ72" i="30"/>
  <c r="FZ21" i="30" s="1"/>
  <c r="GA4" i="30" s="1"/>
  <c r="FZ73" i="30"/>
  <c r="FZ22" i="30" s="1"/>
  <c r="GA5" i="30" s="1"/>
  <c r="GA97" i="30"/>
  <c r="GA103" i="30"/>
  <c r="GA92" i="30"/>
  <c r="FZ74" i="30"/>
  <c r="FZ23" i="30" s="1"/>
  <c r="GA6" i="30" s="1"/>
  <c r="GA98" i="30"/>
  <c r="IS104" i="30" l="1"/>
  <c r="IS36" i="30"/>
  <c r="IT19" i="30" s="1"/>
  <c r="IS102" i="30"/>
  <c r="IS83" i="30" s="1"/>
  <c r="IS34" i="30"/>
  <c r="IT17" i="30" s="1"/>
  <c r="IR101" i="30"/>
  <c r="IR33" i="30"/>
  <c r="IS16" i="30" s="1"/>
  <c r="IR100" i="30"/>
  <c r="IR79" i="30" s="1"/>
  <c r="IR28" i="30" s="1"/>
  <c r="IS11" i="30" s="1"/>
  <c r="IS96" i="30" s="1"/>
  <c r="IR32" i="30"/>
  <c r="IS15" i="30" s="1"/>
  <c r="IS26" i="30"/>
  <c r="IT9" i="30" s="1"/>
  <c r="IS94" i="30"/>
  <c r="IR25" i="30"/>
  <c r="IS8" i="30" s="1"/>
  <c r="IR93" i="30"/>
  <c r="GA90" i="30"/>
  <c r="GA89" i="30"/>
  <c r="GA91" i="30"/>
  <c r="GA86" i="30" s="1"/>
  <c r="GA35" i="30" s="1"/>
  <c r="GB18" i="30" s="1"/>
  <c r="GA21" i="30"/>
  <c r="GB4" i="30" s="1"/>
  <c r="IT104" i="30" l="1"/>
  <c r="IT36" i="30"/>
  <c r="IU19" i="30" s="1"/>
  <c r="IT34" i="30"/>
  <c r="IU17" i="30" s="1"/>
  <c r="IT102" i="30"/>
  <c r="IT83" i="30" s="1"/>
  <c r="IS33" i="30"/>
  <c r="IT16" i="30" s="1"/>
  <c r="IS101" i="30"/>
  <c r="IS100" i="30"/>
  <c r="IS79" i="30" s="1"/>
  <c r="IS28" i="30" s="1"/>
  <c r="IT11" i="30" s="1"/>
  <c r="IT96" i="30" s="1"/>
  <c r="IS32" i="30"/>
  <c r="IT15" i="30" s="1"/>
  <c r="IT94" i="30"/>
  <c r="IT26" i="30"/>
  <c r="IU9" i="30" s="1"/>
  <c r="IS93" i="30"/>
  <c r="IS25" i="30"/>
  <c r="IT8" i="30" s="1"/>
  <c r="GB89" i="30"/>
  <c r="GB103" i="30"/>
  <c r="GA82" i="30"/>
  <c r="GA31" i="30" s="1"/>
  <c r="GB14" i="30" s="1"/>
  <c r="GA78" i="30"/>
  <c r="GA27" i="30" s="1"/>
  <c r="GB10" i="30" s="1"/>
  <c r="GA73" i="30"/>
  <c r="GA22" i="30" s="1"/>
  <c r="GB5" i="30" s="1"/>
  <c r="GA71" i="30"/>
  <c r="GA20" i="30" s="1"/>
  <c r="GB3" i="30" s="1"/>
  <c r="GA75" i="30"/>
  <c r="GA24" i="30" s="1"/>
  <c r="GB7" i="30" s="1"/>
  <c r="GA80" i="30"/>
  <c r="GA29" i="30" s="1"/>
  <c r="GB12" i="30" s="1"/>
  <c r="GA74" i="30"/>
  <c r="GA23" i="30" s="1"/>
  <c r="GB6" i="30" s="1"/>
  <c r="GA81" i="30"/>
  <c r="GA30" i="30" s="1"/>
  <c r="GB13" i="30" s="1"/>
  <c r="IU104" i="30" l="1"/>
  <c r="IU36" i="30"/>
  <c r="IV19" i="30" s="1"/>
  <c r="IU34" i="30"/>
  <c r="IV17" i="30" s="1"/>
  <c r="IU102" i="30"/>
  <c r="IU83" i="30" s="1"/>
  <c r="IT101" i="30"/>
  <c r="IT33" i="30"/>
  <c r="IU16" i="30" s="1"/>
  <c r="IT100" i="30"/>
  <c r="IT79" i="30" s="1"/>
  <c r="IT28" i="30" s="1"/>
  <c r="IU11" i="30" s="1"/>
  <c r="IU96" i="30" s="1"/>
  <c r="IT32" i="30"/>
  <c r="IU15" i="30" s="1"/>
  <c r="IU94" i="30"/>
  <c r="IU26" i="30"/>
  <c r="IV9" i="30" s="1"/>
  <c r="IT25" i="30"/>
  <c r="IU8" i="30" s="1"/>
  <c r="IT93" i="30"/>
  <c r="GB98" i="30"/>
  <c r="GB88" i="30"/>
  <c r="GB90" i="30"/>
  <c r="GB97" i="30"/>
  <c r="GB95" i="30"/>
  <c r="GB91" i="30"/>
  <c r="GB92" i="30"/>
  <c r="GB99" i="30"/>
  <c r="GB72" i="30" s="1"/>
  <c r="GB21" i="30" s="1"/>
  <c r="GC4" i="30" s="1"/>
  <c r="GB78" i="30"/>
  <c r="GB27" i="30" s="1"/>
  <c r="GC10" i="30" s="1"/>
  <c r="IV36" i="30" l="1"/>
  <c r="IV104" i="30"/>
  <c r="IV34" i="30"/>
  <c r="IV102" i="30"/>
  <c r="IV83" i="30" s="1"/>
  <c r="IU101" i="30"/>
  <c r="IU33" i="30"/>
  <c r="IV16" i="30" s="1"/>
  <c r="IU100" i="30"/>
  <c r="IU79" i="30" s="1"/>
  <c r="IU28" i="30" s="1"/>
  <c r="IV11" i="30" s="1"/>
  <c r="IV96" i="30" s="1"/>
  <c r="IU32" i="30"/>
  <c r="IV15" i="30" s="1"/>
  <c r="IV26" i="30"/>
  <c r="IV94" i="30"/>
  <c r="IU25" i="30"/>
  <c r="IV8" i="30" s="1"/>
  <c r="IU93" i="30"/>
  <c r="GB73" i="30"/>
  <c r="GB22" i="30" s="1"/>
  <c r="GC5" i="30" s="1"/>
  <c r="GC90" i="30" s="1"/>
  <c r="GB86" i="30"/>
  <c r="GB35" i="30" s="1"/>
  <c r="GC18" i="30" s="1"/>
  <c r="GC103" i="30" s="1"/>
  <c r="GC95" i="30"/>
  <c r="GB80" i="30"/>
  <c r="GB29" i="30" s="1"/>
  <c r="GC12" i="30" s="1"/>
  <c r="GB75" i="30"/>
  <c r="GB24" i="30" s="1"/>
  <c r="GC7" i="30" s="1"/>
  <c r="GB82" i="30"/>
  <c r="GB31" i="30" s="1"/>
  <c r="GC14" i="30" s="1"/>
  <c r="GB74" i="30"/>
  <c r="GB23" i="30" s="1"/>
  <c r="GC6" i="30" s="1"/>
  <c r="GB81" i="30"/>
  <c r="GB30" i="30" s="1"/>
  <c r="GC13" i="30" s="1"/>
  <c r="GC89" i="30"/>
  <c r="GB71" i="30"/>
  <c r="GB20" i="30" s="1"/>
  <c r="GC3" i="30" s="1"/>
  <c r="IV101" i="30" l="1"/>
  <c r="IV33" i="30"/>
  <c r="IV100" i="30"/>
  <c r="IV79" i="30" s="1"/>
  <c r="IV28" i="30" s="1"/>
  <c r="IV32" i="30"/>
  <c r="IV93" i="30"/>
  <c r="IV25" i="30"/>
  <c r="GC98" i="30"/>
  <c r="GC97" i="30"/>
  <c r="GC78" i="30"/>
  <c r="GC27" i="30" s="1"/>
  <c r="GD10" i="30" s="1"/>
  <c r="Y210" i="30" s="1"/>
  <c r="GC88" i="30"/>
  <c r="GC91" i="30"/>
  <c r="GC92" i="30"/>
  <c r="GC99" i="30"/>
  <c r="GC72" i="30" s="1"/>
  <c r="GC21" i="30" s="1"/>
  <c r="GD4" i="30" s="1"/>
  <c r="Y180" i="30" s="1"/>
  <c r="GC81" i="30"/>
  <c r="GC30" i="30" s="1"/>
  <c r="GD13" i="30" s="1"/>
  <c r="Y225" i="30" s="1"/>
  <c r="GC82" i="30" l="1"/>
  <c r="GC31" i="30" s="1"/>
  <c r="GD14" i="30" s="1"/>
  <c r="Y230" i="30" s="1"/>
  <c r="GC71" i="30"/>
  <c r="GC20" i="30" s="1"/>
  <c r="GD3" i="30" s="1"/>
  <c r="Y175" i="30" s="1"/>
  <c r="GC74" i="30"/>
  <c r="GC23" i="30" s="1"/>
  <c r="GD6" i="30" s="1"/>
  <c r="Y190" i="30" s="1"/>
  <c r="GD98" i="30"/>
  <c r="GD89" i="30"/>
  <c r="GC86" i="30"/>
  <c r="GC35" i="30" s="1"/>
  <c r="GD18" i="30" s="1"/>
  <c r="Y250" i="30" s="1"/>
  <c r="GC75" i="30"/>
  <c r="GC24" i="30" s="1"/>
  <c r="GD7" i="30" s="1"/>
  <c r="Y195" i="30" s="1"/>
  <c r="GC80" i="30"/>
  <c r="GC29" i="30" s="1"/>
  <c r="GD12" i="30" s="1"/>
  <c r="Y220" i="30" s="1"/>
  <c r="GC73" i="30"/>
  <c r="GC22" i="30" s="1"/>
  <c r="GD5" i="30" s="1"/>
  <c r="Y185" i="30" s="1"/>
  <c r="GD95" i="30"/>
  <c r="GD88" i="30" l="1"/>
  <c r="GD99" i="30"/>
  <c r="GD72" i="30" s="1"/>
  <c r="GD21" i="30" s="1"/>
  <c r="GE4" i="30" s="1"/>
  <c r="GE89" i="30" s="1"/>
  <c r="GD91" i="30"/>
  <c r="GD82" i="30" s="1"/>
  <c r="GD31" i="30" s="1"/>
  <c r="GE14" i="30" s="1"/>
  <c r="GD103" i="30"/>
  <c r="GD90" i="30"/>
  <c r="GD97" i="30"/>
  <c r="GD92" i="30"/>
  <c r="GD78" i="30"/>
  <c r="GD27" i="30" s="1"/>
  <c r="GE10" i="30" s="1"/>
  <c r="GD73" i="30" l="1"/>
  <c r="GD22" i="30" s="1"/>
  <c r="GE5" i="30" s="1"/>
  <c r="GE90" i="30" s="1"/>
  <c r="GD75" i="30"/>
  <c r="GD24" i="30" s="1"/>
  <c r="GE7" i="30" s="1"/>
  <c r="GE92" i="30" s="1"/>
  <c r="GD86" i="30"/>
  <c r="GD35" i="30" s="1"/>
  <c r="GE18" i="30" s="1"/>
  <c r="GE103" i="30" s="1"/>
  <c r="GD80" i="30"/>
  <c r="GD29" i="30" s="1"/>
  <c r="GE12" i="30" s="1"/>
  <c r="GE97" i="30" s="1"/>
  <c r="GD71" i="30"/>
  <c r="GD20" i="30" s="1"/>
  <c r="GE3" i="30" s="1"/>
  <c r="GE88" i="30" s="1"/>
  <c r="GE95" i="30"/>
  <c r="GE78" i="30"/>
  <c r="GE27" i="30" s="1"/>
  <c r="GF10" i="30" s="1"/>
  <c r="GD81" i="30"/>
  <c r="GD30" i="30" s="1"/>
  <c r="GE13" i="30" s="1"/>
  <c r="GD74" i="30"/>
  <c r="GD23" i="30" s="1"/>
  <c r="GE6" i="30" s="1"/>
  <c r="GE99" i="30"/>
  <c r="GE72" i="30" s="1"/>
  <c r="GE21" i="30" s="1"/>
  <c r="GF4" i="30" s="1"/>
  <c r="GF95" i="30" l="1"/>
  <c r="GE98" i="30"/>
  <c r="GE74" i="30"/>
  <c r="GE23" i="30" s="1"/>
  <c r="GF6" i="30" s="1"/>
  <c r="GE81" i="30"/>
  <c r="GE30" i="30" s="1"/>
  <c r="GF13" i="30" s="1"/>
  <c r="GF89" i="30"/>
  <c r="GE91" i="30"/>
  <c r="GE75" i="30" s="1"/>
  <c r="GE24" i="30" s="1"/>
  <c r="GF7" i="30" s="1"/>
  <c r="GE80" i="30"/>
  <c r="GE29" i="30" s="1"/>
  <c r="GF12" i="30" s="1"/>
  <c r="GF98" i="30" l="1"/>
  <c r="GF92" i="30"/>
  <c r="GE71" i="30"/>
  <c r="GE20" i="30" s="1"/>
  <c r="GF3" i="30" s="1"/>
  <c r="GE73" i="30"/>
  <c r="GE22" i="30" s="1"/>
  <c r="GF5" i="30" s="1"/>
  <c r="GF78" i="30"/>
  <c r="GF27" i="30" s="1"/>
  <c r="GG10" i="30" s="1"/>
  <c r="GF97" i="30"/>
  <c r="GF91" i="30"/>
  <c r="GE86" i="30"/>
  <c r="GE35" i="30" s="1"/>
  <c r="GF18" i="30" s="1"/>
  <c r="GE82" i="30"/>
  <c r="GE31" i="30" s="1"/>
  <c r="GF14" i="30" s="1"/>
  <c r="GF86" i="30" l="1"/>
  <c r="GF35" i="30" s="1"/>
  <c r="GG18" i="30" s="1"/>
  <c r="GF103" i="30"/>
  <c r="GF99" i="30"/>
  <c r="GF82" i="30"/>
  <c r="GF31" i="30" s="1"/>
  <c r="GG14" i="30" s="1"/>
  <c r="GG95" i="30"/>
  <c r="GF90" i="30"/>
  <c r="GF88" i="30"/>
  <c r="GG99" i="30" l="1"/>
  <c r="GG72" i="30" s="1"/>
  <c r="GF75" i="30"/>
  <c r="GF24" i="30" s="1"/>
  <c r="GG7" i="30" s="1"/>
  <c r="GF80" i="30"/>
  <c r="GF29" i="30" s="1"/>
  <c r="GG12" i="30" s="1"/>
  <c r="GF74" i="30"/>
  <c r="GF23" i="30" s="1"/>
  <c r="GG6" i="30" s="1"/>
  <c r="GF81" i="30"/>
  <c r="GF30" i="30" s="1"/>
  <c r="GG13" i="30" s="1"/>
  <c r="GF71" i="30"/>
  <c r="GF20" i="30" s="1"/>
  <c r="GG3" i="30" s="1"/>
  <c r="GF72" i="30"/>
  <c r="GF21" i="30" s="1"/>
  <c r="GG4" i="30" s="1"/>
  <c r="GF73" i="30"/>
  <c r="GF22" i="30" s="1"/>
  <c r="GG5" i="30" s="1"/>
  <c r="GG103" i="30"/>
  <c r="GG89" i="30" l="1"/>
  <c r="GG97" i="30"/>
  <c r="GG88" i="30"/>
  <c r="GG92" i="30"/>
  <c r="GG98" i="30"/>
  <c r="GG90" i="30"/>
  <c r="GG91" i="30"/>
  <c r="GG21" i="30"/>
  <c r="GH4" i="30" s="1"/>
  <c r="GH89" i="30" l="1"/>
  <c r="GG81" i="30"/>
  <c r="GG30" i="30" s="1"/>
  <c r="GH13" i="30" s="1"/>
  <c r="GG74" i="30"/>
  <c r="GG23" i="30" s="1"/>
  <c r="GH6" i="30" s="1"/>
  <c r="GG75" i="30"/>
  <c r="GG24" i="30" s="1"/>
  <c r="GH7" i="30" s="1"/>
  <c r="GG80" i="30"/>
  <c r="GG29" i="30" s="1"/>
  <c r="GH12" i="30" s="1"/>
  <c r="GG86" i="30"/>
  <c r="GG35" i="30" s="1"/>
  <c r="GH18" i="30" s="1"/>
  <c r="GG82" i="30"/>
  <c r="GG31" i="30" s="1"/>
  <c r="GH14" i="30" s="1"/>
  <c r="GG73" i="30"/>
  <c r="GG22" i="30" s="1"/>
  <c r="GH5" i="30" s="1"/>
  <c r="GG71" i="30"/>
  <c r="GG20" i="30" s="1"/>
  <c r="GH3" i="30" s="1"/>
  <c r="GG78" i="30"/>
  <c r="GG27" i="30" s="1"/>
  <c r="GH10" i="30" s="1"/>
  <c r="GH99" i="30" l="1"/>
  <c r="GH72" i="30" s="1"/>
  <c r="GH21" i="30" s="1"/>
  <c r="GI4" i="30" s="1"/>
  <c r="GH91" i="30"/>
  <c r="GH95" i="30"/>
  <c r="GH103" i="30"/>
  <c r="GH98" i="30"/>
  <c r="GH88" i="30"/>
  <c r="GH97" i="30"/>
  <c r="GH90" i="30"/>
  <c r="GH92" i="30"/>
  <c r="GH78" i="30"/>
  <c r="GH27" i="30" s="1"/>
  <c r="GI10" i="30" s="1"/>
  <c r="GH73" i="30" l="1"/>
  <c r="GH22" i="30" s="1"/>
  <c r="GI5" i="30" s="1"/>
  <c r="GI90" i="30" s="1"/>
  <c r="GH82" i="30"/>
  <c r="GH31" i="30" s="1"/>
  <c r="GI14" i="30" s="1"/>
  <c r="GI99" i="30" s="1"/>
  <c r="GI72" i="30" s="1"/>
  <c r="GI21" i="30" s="1"/>
  <c r="GJ4" i="30" s="1"/>
  <c r="GH86" i="30"/>
  <c r="GH35" i="30" s="1"/>
  <c r="GI18" i="30" s="1"/>
  <c r="GI103" i="30" s="1"/>
  <c r="GI95" i="30"/>
  <c r="GH75" i="30"/>
  <c r="GH24" i="30" s="1"/>
  <c r="GI7" i="30" s="1"/>
  <c r="GH80" i="30"/>
  <c r="GH29" i="30" s="1"/>
  <c r="GI12" i="30" s="1"/>
  <c r="GH74" i="30"/>
  <c r="GH23" i="30" s="1"/>
  <c r="GI6" i="30" s="1"/>
  <c r="GH81" i="30"/>
  <c r="GH30" i="30" s="1"/>
  <c r="GI13" i="30" s="1"/>
  <c r="GH71" i="30"/>
  <c r="GH20" i="30" s="1"/>
  <c r="GI3" i="30" s="1"/>
  <c r="GI89" i="30"/>
  <c r="GI98" i="30" l="1"/>
  <c r="GI73" i="30" s="1"/>
  <c r="GI22" i="30" s="1"/>
  <c r="GJ5" i="30" s="1"/>
  <c r="GJ89" i="30"/>
  <c r="GI92" i="30"/>
  <c r="GI74" i="30" s="1"/>
  <c r="GI23" i="30" s="1"/>
  <c r="GJ6" i="30" s="1"/>
  <c r="GI78" i="30"/>
  <c r="GI27" i="30" s="1"/>
  <c r="GJ10" i="30" s="1"/>
  <c r="GI97" i="30"/>
  <c r="GI91" i="30"/>
  <c r="GI88" i="30"/>
  <c r="GI81" i="30"/>
  <c r="GI30" i="30" s="1"/>
  <c r="GJ13" i="30" s="1"/>
  <c r="GI82" i="30" l="1"/>
  <c r="GI31" i="30" s="1"/>
  <c r="GJ14" i="30" s="1"/>
  <c r="GJ99" i="30" s="1"/>
  <c r="GJ72" i="30" s="1"/>
  <c r="GJ21" i="30" s="1"/>
  <c r="GK4" i="30" s="1"/>
  <c r="GI71" i="30"/>
  <c r="GI20" i="30" s="1"/>
  <c r="GJ3" i="30" s="1"/>
  <c r="GJ88" i="30" s="1"/>
  <c r="GJ98" i="30"/>
  <c r="GJ91" i="30"/>
  <c r="GI86" i="30"/>
  <c r="GI35" i="30" s="1"/>
  <c r="GJ18" i="30" s="1"/>
  <c r="GJ95" i="30"/>
  <c r="GI80" i="30"/>
  <c r="GI29" i="30" s="1"/>
  <c r="GJ12" i="30" s="1"/>
  <c r="GI75" i="30"/>
  <c r="GI24" i="30" s="1"/>
  <c r="GJ7" i="30" s="1"/>
  <c r="GJ90" i="30"/>
  <c r="GJ78" i="30"/>
  <c r="GJ27" i="30" s="1"/>
  <c r="GK10" i="30" s="1"/>
  <c r="GJ82" i="30" l="1"/>
  <c r="GJ31" i="30" s="1"/>
  <c r="GK14" i="30" s="1"/>
  <c r="GK99" i="30" s="1"/>
  <c r="GK72" i="30" s="1"/>
  <c r="GK21" i="30" s="1"/>
  <c r="GL4" i="30" s="1"/>
  <c r="Z180" i="30" s="1"/>
  <c r="GK95" i="30"/>
  <c r="GJ97" i="30"/>
  <c r="GJ71" i="30" s="1"/>
  <c r="GJ20" i="30" s="1"/>
  <c r="GK3" i="30" s="1"/>
  <c r="GK89" i="30"/>
  <c r="GJ81" i="30"/>
  <c r="GJ30" i="30" s="1"/>
  <c r="GK13" i="30" s="1"/>
  <c r="GJ73" i="30"/>
  <c r="GJ22" i="30" s="1"/>
  <c r="GK5" i="30" s="1"/>
  <c r="GJ92" i="30"/>
  <c r="GJ103" i="30"/>
  <c r="GJ80" i="30" s="1"/>
  <c r="GJ29" i="30" s="1"/>
  <c r="GK12" i="30" s="1"/>
  <c r="GJ75" i="30"/>
  <c r="GJ24" i="30" s="1"/>
  <c r="GK7" i="30" s="1"/>
  <c r="GJ86" i="30" l="1"/>
  <c r="GJ35" i="30" s="1"/>
  <c r="GK18" i="30" s="1"/>
  <c r="GK103" i="30" s="1"/>
  <c r="GK92" i="30"/>
  <c r="GK97" i="30"/>
  <c r="GL89" i="30"/>
  <c r="GK90" i="30"/>
  <c r="GK78" i="30"/>
  <c r="GK27" i="30" s="1"/>
  <c r="GL10" i="30" s="1"/>
  <c r="Z210" i="30" s="1"/>
  <c r="GK98" i="30"/>
  <c r="GK73" i="30" s="1"/>
  <c r="GK22" i="30" s="1"/>
  <c r="GL5" i="30" s="1"/>
  <c r="Z185" i="30" s="1"/>
  <c r="GJ74" i="30"/>
  <c r="GJ23" i="30" s="1"/>
  <c r="GK6" i="30" s="1"/>
  <c r="GK88" i="30"/>
  <c r="GK71" i="30" l="1"/>
  <c r="GK20" i="30" s="1"/>
  <c r="GL3" i="30" s="1"/>
  <c r="Z175" i="30" s="1"/>
  <c r="GL90" i="30"/>
  <c r="GL95" i="30"/>
  <c r="GK80" i="30"/>
  <c r="GK29" i="30" s="1"/>
  <c r="GL12" i="30" s="1"/>
  <c r="Z220" i="30" s="1"/>
  <c r="GL78" i="30"/>
  <c r="GL27" i="30" s="1"/>
  <c r="GM10" i="30" s="1"/>
  <c r="GK91" i="30"/>
  <c r="GK75" i="30" s="1"/>
  <c r="GK24" i="30" s="1"/>
  <c r="GL7" i="30" s="1"/>
  <c r="Z195" i="30" s="1"/>
  <c r="GK74" i="30"/>
  <c r="GK23" i="30" s="1"/>
  <c r="GL6" i="30" s="1"/>
  <c r="Z190" i="30" s="1"/>
  <c r="GK81" i="30"/>
  <c r="GK30" i="30" s="1"/>
  <c r="GL13" i="30" s="1"/>
  <c r="Z225" i="30" s="1"/>
  <c r="GL88" i="30" l="1"/>
  <c r="GM95" i="30"/>
  <c r="GL91" i="30"/>
  <c r="GL92" i="30"/>
  <c r="GL81" i="30"/>
  <c r="GL30" i="30" s="1"/>
  <c r="GM13" i="30" s="1"/>
  <c r="GL98" i="30"/>
  <c r="GL97" i="30"/>
  <c r="GK86" i="30"/>
  <c r="GK35" i="30" s="1"/>
  <c r="GL18" i="30" s="1"/>
  <c r="Z250" i="30" s="1"/>
  <c r="GK82" i="30"/>
  <c r="GK31" i="30" s="1"/>
  <c r="GL14" i="30" s="1"/>
  <c r="Z230" i="30" s="1"/>
  <c r="GL75" i="30" l="1"/>
  <c r="GL24" i="30" s="1"/>
  <c r="GM7" i="30" s="1"/>
  <c r="GM92" i="30" s="1"/>
  <c r="GL71" i="30"/>
  <c r="GL20" i="30" s="1"/>
  <c r="GM3" i="30" s="1"/>
  <c r="GM88" i="30" s="1"/>
  <c r="GL99" i="30"/>
  <c r="GL72" i="30" s="1"/>
  <c r="GL21" i="30" s="1"/>
  <c r="GM4" i="30" s="1"/>
  <c r="GM98" i="30"/>
  <c r="GL86" i="30"/>
  <c r="GL35" i="30" s="1"/>
  <c r="GM18" i="30" s="1"/>
  <c r="GL82" i="30"/>
  <c r="GL31" i="30" s="1"/>
  <c r="GM14" i="30" s="1"/>
  <c r="GL103" i="30"/>
  <c r="GL80" i="30" s="1"/>
  <c r="GL29" i="30" s="1"/>
  <c r="GM12" i="30" s="1"/>
  <c r="GL73" i="30" l="1"/>
  <c r="GL22" i="30" s="1"/>
  <c r="GM5" i="30" s="1"/>
  <c r="GM90" i="30" s="1"/>
  <c r="GL74" i="30"/>
  <c r="GL23" i="30" s="1"/>
  <c r="GM6" i="30" s="1"/>
  <c r="GM91" i="30" s="1"/>
  <c r="GM99" i="30"/>
  <c r="GM72" i="30" s="1"/>
  <c r="GM21" i="30" s="1"/>
  <c r="GN4" i="30" s="1"/>
  <c r="GM103" i="30"/>
  <c r="GM97" i="30"/>
  <c r="GM89" i="30"/>
  <c r="GM86" i="30" l="1"/>
  <c r="GM35" i="30" s="1"/>
  <c r="GN18" i="30" s="1"/>
  <c r="GN103" i="30" s="1"/>
  <c r="GM75" i="30"/>
  <c r="GM24" i="30" s="1"/>
  <c r="GN7" i="30" s="1"/>
  <c r="GN92" i="30" s="1"/>
  <c r="GN89" i="30"/>
  <c r="GM82" i="30"/>
  <c r="GM31" i="30" s="1"/>
  <c r="GN14" i="30" s="1"/>
  <c r="GM78" i="30"/>
  <c r="GM27" i="30" s="1"/>
  <c r="GN10" i="30" s="1"/>
  <c r="GM73" i="30"/>
  <c r="GM22" i="30" s="1"/>
  <c r="GN5" i="30" s="1"/>
  <c r="GM71" i="30"/>
  <c r="GM20" i="30" s="1"/>
  <c r="GN3" i="30" s="1"/>
  <c r="GM81" i="30"/>
  <c r="GM30" i="30" s="1"/>
  <c r="GN13" i="30" s="1"/>
  <c r="GM74" i="30"/>
  <c r="GM23" i="30" s="1"/>
  <c r="GN6" i="30" s="1"/>
  <c r="GM80" i="30"/>
  <c r="GM29" i="30" s="1"/>
  <c r="GN12" i="30" s="1"/>
  <c r="GN91" i="30" l="1"/>
  <c r="GN95" i="30"/>
  <c r="GN78" i="30"/>
  <c r="GN27" i="30" s="1"/>
  <c r="GO10" i="30" s="1"/>
  <c r="GN98" i="30"/>
  <c r="GN99" i="30"/>
  <c r="GN72" i="30" s="1"/>
  <c r="GN21" i="30" s="1"/>
  <c r="GO4" i="30" s="1"/>
  <c r="GN88" i="30"/>
  <c r="GN97" i="30"/>
  <c r="GN90" i="30"/>
  <c r="GN71" i="30" l="1"/>
  <c r="GN20" i="30" s="1"/>
  <c r="GO3" i="30" s="1"/>
  <c r="GO88" i="30" s="1"/>
  <c r="GN73" i="30"/>
  <c r="GN22" i="30" s="1"/>
  <c r="GO5" i="30" s="1"/>
  <c r="GO90" i="30" s="1"/>
  <c r="GN82" i="30"/>
  <c r="GN31" i="30" s="1"/>
  <c r="GO14" i="30" s="1"/>
  <c r="GO99" i="30" s="1"/>
  <c r="GO72" i="30" s="1"/>
  <c r="GO21" i="30" s="1"/>
  <c r="GP4" i="30" s="1"/>
  <c r="GO95" i="30"/>
  <c r="GO89" i="30"/>
  <c r="GN80" i="30"/>
  <c r="GN29" i="30" s="1"/>
  <c r="GO12" i="30" s="1"/>
  <c r="GN75" i="30"/>
  <c r="GN24" i="30" s="1"/>
  <c r="GO7" i="30" s="1"/>
  <c r="GN86" i="30"/>
  <c r="GN35" i="30" s="1"/>
  <c r="GO18" i="30" s="1"/>
  <c r="GN74" i="30"/>
  <c r="GN23" i="30" s="1"/>
  <c r="GO6" i="30" s="1"/>
  <c r="GN81" i="30"/>
  <c r="GN30" i="30" s="1"/>
  <c r="GO13" i="30" s="1"/>
  <c r="GP89" i="30" l="1"/>
  <c r="GO98" i="30"/>
  <c r="GO73" i="30" s="1"/>
  <c r="GO22" i="30" s="1"/>
  <c r="GP5" i="30" s="1"/>
  <c r="GO92" i="30"/>
  <c r="GO74" i="30" s="1"/>
  <c r="GO23" i="30" s="1"/>
  <c r="GP6" i="30" s="1"/>
  <c r="GO81" i="30"/>
  <c r="GO30" i="30" s="1"/>
  <c r="GP13" i="30" s="1"/>
  <c r="GO97" i="30"/>
  <c r="GO91" i="30"/>
  <c r="GO103" i="30"/>
  <c r="GO80" i="30" s="1"/>
  <c r="GO29" i="30" s="1"/>
  <c r="GP12" i="30" s="1"/>
  <c r="GO78" i="30"/>
  <c r="GO27" i="30" s="1"/>
  <c r="GP10" i="30" s="1"/>
  <c r="GO82" i="30" l="1"/>
  <c r="GO31" i="30" s="1"/>
  <c r="GP14" i="30" s="1"/>
  <c r="GP99" i="30" s="1"/>
  <c r="GP72" i="30" s="1"/>
  <c r="GP21" i="30" s="1"/>
  <c r="GQ4" i="30" s="1"/>
  <c r="GO71" i="30"/>
  <c r="GO20" i="30" s="1"/>
  <c r="GP3" i="30" s="1"/>
  <c r="GP88" i="30" s="1"/>
  <c r="GP97" i="30"/>
  <c r="GP91" i="30"/>
  <c r="GP98" i="30"/>
  <c r="GP90" i="30"/>
  <c r="GO86" i="30"/>
  <c r="GO35" i="30" s="1"/>
  <c r="GP18" i="30" s="1"/>
  <c r="GP95" i="30"/>
  <c r="GO75" i="30"/>
  <c r="GO24" i="30" s="1"/>
  <c r="GP7" i="30" s="1"/>
  <c r="GP78" i="30"/>
  <c r="GP27" i="30" s="1"/>
  <c r="GQ10" i="30" s="1"/>
  <c r="GP71" i="30" l="1"/>
  <c r="GP20" i="30" s="1"/>
  <c r="GQ3" i="30" s="1"/>
  <c r="GQ88" i="30" s="1"/>
  <c r="GQ95" i="30"/>
  <c r="GQ89" i="30"/>
  <c r="GP75" i="30"/>
  <c r="GP24" i="30" s="1"/>
  <c r="GQ7" i="30" s="1"/>
  <c r="GP103" i="30"/>
  <c r="GP80" i="30" s="1"/>
  <c r="GP29" i="30" s="1"/>
  <c r="GQ12" i="30" s="1"/>
  <c r="GP92" i="30"/>
  <c r="GP86" i="30" s="1"/>
  <c r="GP35" i="30" s="1"/>
  <c r="GQ18" i="30" s="1"/>
  <c r="GP73" i="30"/>
  <c r="GP22" i="30" s="1"/>
  <c r="GQ5" i="30" s="1"/>
  <c r="GP81" i="30"/>
  <c r="GP30" i="30" s="1"/>
  <c r="GQ13" i="30" s="1"/>
  <c r="GP82" i="30"/>
  <c r="GP31" i="30" s="1"/>
  <c r="GQ14" i="30" s="1"/>
  <c r="GP74" i="30" l="1"/>
  <c r="GP23" i="30" s="1"/>
  <c r="GQ6" i="30" s="1"/>
  <c r="GQ91" i="30" s="1"/>
  <c r="GQ92" i="30"/>
  <c r="GQ103" i="30"/>
  <c r="GQ97" i="30"/>
  <c r="GQ98" i="30"/>
  <c r="GQ90" i="30"/>
  <c r="GQ78" i="30"/>
  <c r="GQ27" i="30" s="1"/>
  <c r="GR10" i="30" s="1"/>
  <c r="GQ99" i="30"/>
  <c r="GQ72" i="30" s="1"/>
  <c r="GQ21" i="30" s="1"/>
  <c r="GR4" i="30" s="1"/>
  <c r="GQ86" i="30" l="1"/>
  <c r="GQ35" i="30" s="1"/>
  <c r="GR18" i="30" s="1"/>
  <c r="GR103" i="30" s="1"/>
  <c r="GR89" i="30"/>
  <c r="GQ74" i="30"/>
  <c r="GQ23" i="30" s="1"/>
  <c r="GR6" i="30" s="1"/>
  <c r="GQ81" i="30"/>
  <c r="GQ30" i="30" s="1"/>
  <c r="GR13" i="30" s="1"/>
  <c r="GQ82" i="30"/>
  <c r="GQ31" i="30" s="1"/>
  <c r="GR14" i="30" s="1"/>
  <c r="GQ73" i="30"/>
  <c r="GQ22" i="30" s="1"/>
  <c r="GR5" i="30" s="1"/>
  <c r="GQ71" i="30"/>
  <c r="GQ20" i="30" s="1"/>
  <c r="GR3" i="30" s="1"/>
  <c r="GQ80" i="30"/>
  <c r="GQ29" i="30" s="1"/>
  <c r="GR12" i="30" s="1"/>
  <c r="GR95" i="30"/>
  <c r="GQ75" i="30"/>
  <c r="GQ24" i="30" s="1"/>
  <c r="GR7" i="30" s="1"/>
  <c r="GR88" i="30" l="1"/>
  <c r="GR90" i="30"/>
  <c r="GR92" i="30"/>
  <c r="GR99" i="30"/>
  <c r="GR72" i="30" s="1"/>
  <c r="GR21" i="30" s="1"/>
  <c r="GS4" i="30" s="1"/>
  <c r="GR78" i="30"/>
  <c r="GR27" i="30" s="1"/>
  <c r="GS10" i="30" s="1"/>
  <c r="GR97" i="30"/>
  <c r="GR98" i="30"/>
  <c r="GR91" i="30"/>
  <c r="GR86" i="30" l="1"/>
  <c r="GR35" i="30" s="1"/>
  <c r="GS18" i="30" s="1"/>
  <c r="GS103" i="30" s="1"/>
  <c r="GR73" i="30"/>
  <c r="GR22" i="30" s="1"/>
  <c r="GS5" i="30" s="1"/>
  <c r="GS90" i="30" s="1"/>
  <c r="GR71" i="30"/>
  <c r="GR20" i="30" s="1"/>
  <c r="GS3" i="30" s="1"/>
  <c r="GS89" i="30"/>
  <c r="GR74" i="30"/>
  <c r="GR23" i="30" s="1"/>
  <c r="GS6" i="30" s="1"/>
  <c r="GR81" i="30"/>
  <c r="GR30" i="30" s="1"/>
  <c r="GS13" i="30" s="1"/>
  <c r="GR82" i="30"/>
  <c r="GR31" i="30" s="1"/>
  <c r="GS14" i="30" s="1"/>
  <c r="GS95" i="30"/>
  <c r="GR80" i="30"/>
  <c r="GR29" i="30" s="1"/>
  <c r="GS12" i="30" s="1"/>
  <c r="GR75" i="30"/>
  <c r="GR24" i="30" s="1"/>
  <c r="GS7" i="30" s="1"/>
  <c r="GS92" i="30" l="1"/>
  <c r="GS78" i="30"/>
  <c r="GS27" i="30" s="1"/>
  <c r="GT10" i="30" s="1"/>
  <c r="AA210" i="30" s="1"/>
  <c r="GS98" i="30"/>
  <c r="GS88" i="30"/>
  <c r="GS91" i="30"/>
  <c r="GS99" i="30"/>
  <c r="GS72" i="30" s="1"/>
  <c r="GS21" i="30" s="1"/>
  <c r="GT4" i="30" s="1"/>
  <c r="AA180" i="30" s="1"/>
  <c r="GS97" i="30"/>
  <c r="GS81" i="30"/>
  <c r="GS30" i="30" s="1"/>
  <c r="GT13" i="30" s="1"/>
  <c r="AA225" i="30" s="1"/>
  <c r="GS71" i="30" l="1"/>
  <c r="GS20" i="30" s="1"/>
  <c r="GT3" i="30" s="1"/>
  <c r="AA175" i="30" s="1"/>
  <c r="GS73" i="30"/>
  <c r="GS22" i="30" s="1"/>
  <c r="GT5" i="30" s="1"/>
  <c r="AA185" i="30" s="1"/>
  <c r="GS74" i="30"/>
  <c r="GS23" i="30" s="1"/>
  <c r="GT6" i="30" s="1"/>
  <c r="AA190" i="30" s="1"/>
  <c r="GT98" i="30"/>
  <c r="GS86" i="30"/>
  <c r="GS35" i="30" s="1"/>
  <c r="GT18" i="30" s="1"/>
  <c r="AA250" i="30" s="1"/>
  <c r="GS82" i="30"/>
  <c r="GS31" i="30" s="1"/>
  <c r="GT14" i="30" s="1"/>
  <c r="AA230" i="30" s="1"/>
  <c r="GT89" i="30"/>
  <c r="GS75" i="30"/>
  <c r="GS24" i="30" s="1"/>
  <c r="GT7" i="30" s="1"/>
  <c r="AA195" i="30" s="1"/>
  <c r="GS80" i="30"/>
  <c r="GS29" i="30" s="1"/>
  <c r="GT12" i="30" s="1"/>
  <c r="AA220" i="30" s="1"/>
  <c r="GT95" i="30"/>
  <c r="GT91" i="30" l="1"/>
  <c r="GT82" i="30" s="1"/>
  <c r="GT31" i="30" s="1"/>
  <c r="GU14" i="30" s="1"/>
  <c r="GT90" i="30"/>
  <c r="GT81" i="30" s="1"/>
  <c r="GT30" i="30" s="1"/>
  <c r="GU13" i="30" s="1"/>
  <c r="GT88" i="30"/>
  <c r="GT103" i="30"/>
  <c r="GT78" i="30"/>
  <c r="GT27" i="30" s="1"/>
  <c r="GU10" i="30" s="1"/>
  <c r="GT97" i="30"/>
  <c r="GT99" i="30"/>
  <c r="GT72" i="30" s="1"/>
  <c r="GT21" i="30" s="1"/>
  <c r="GU4" i="30" s="1"/>
  <c r="GT92" i="30"/>
  <c r="GT75" i="30" l="1"/>
  <c r="GT24" i="30" s="1"/>
  <c r="GU7" i="30" s="1"/>
  <c r="GU92" i="30" s="1"/>
  <c r="GT80" i="30"/>
  <c r="GT29" i="30" s="1"/>
  <c r="GU12" i="30" s="1"/>
  <c r="GU97" i="30" s="1"/>
  <c r="GT71" i="30"/>
  <c r="GT20" i="30" s="1"/>
  <c r="GU3" i="30" s="1"/>
  <c r="GU88" i="30" s="1"/>
  <c r="GT74" i="30"/>
  <c r="GT23" i="30" s="1"/>
  <c r="GU6" i="30" s="1"/>
  <c r="GU91" i="30" s="1"/>
  <c r="GT73" i="30"/>
  <c r="GT22" i="30" s="1"/>
  <c r="GU5" i="30" s="1"/>
  <c r="GU90" i="30" s="1"/>
  <c r="GT86" i="30"/>
  <c r="GT35" i="30" s="1"/>
  <c r="GU18" i="30" s="1"/>
  <c r="GU95" i="30"/>
  <c r="GU98" i="30"/>
  <c r="GU99" i="30"/>
  <c r="GU72" i="30" s="1"/>
  <c r="GU21" i="30" s="1"/>
  <c r="GV4" i="30" s="1"/>
  <c r="GU89" i="30"/>
  <c r="GV89" i="30" l="1"/>
  <c r="GU103" i="30"/>
  <c r="GU80" i="30" s="1"/>
  <c r="GU29" i="30" s="1"/>
  <c r="GV12" i="30" s="1"/>
  <c r="GU74" i="30"/>
  <c r="GU23" i="30" s="1"/>
  <c r="GV6" i="30" s="1"/>
  <c r="GU81" i="30"/>
  <c r="GU30" i="30" s="1"/>
  <c r="GV13" i="30" s="1"/>
  <c r="GU71" i="30"/>
  <c r="GU20" i="30" s="1"/>
  <c r="GV3" i="30" s="1"/>
  <c r="GU73" i="30"/>
  <c r="GU22" i="30" s="1"/>
  <c r="GV5" i="30" s="1"/>
  <c r="GU82" i="30"/>
  <c r="GU31" i="30" s="1"/>
  <c r="GV14" i="30" s="1"/>
  <c r="GU78" i="30"/>
  <c r="GU27" i="30" s="1"/>
  <c r="GV10" i="30" s="1"/>
  <c r="GU75" i="30"/>
  <c r="GU24" i="30" s="1"/>
  <c r="GV7" i="30" s="1"/>
  <c r="GU86" i="30"/>
  <c r="GU35" i="30" s="1"/>
  <c r="GV18" i="30" s="1"/>
  <c r="GV103" i="30" l="1"/>
  <c r="GV97" i="30"/>
  <c r="GV90" i="30"/>
  <c r="GV92" i="30"/>
  <c r="GV88" i="30"/>
  <c r="GV95" i="30"/>
  <c r="GV98" i="30"/>
  <c r="GV78" i="30"/>
  <c r="GV27" i="30" s="1"/>
  <c r="GW10" i="30" s="1"/>
  <c r="GV99" i="30"/>
  <c r="GV72" i="30" s="1"/>
  <c r="GV21" i="30" s="1"/>
  <c r="GW4" i="30" s="1"/>
  <c r="GV91" i="30"/>
  <c r="GV71" i="30" l="1"/>
  <c r="GV20" i="30" s="1"/>
  <c r="GW3" i="30" s="1"/>
  <c r="GW88" i="30" s="1"/>
  <c r="GV86" i="30"/>
  <c r="GV35" i="30" s="1"/>
  <c r="GW18" i="30" s="1"/>
  <c r="GW103" i="30" s="1"/>
  <c r="GW95" i="30"/>
  <c r="GW89" i="30"/>
  <c r="GV82" i="30"/>
  <c r="GV31" i="30" s="1"/>
  <c r="GW14" i="30" s="1"/>
  <c r="GV75" i="30"/>
  <c r="GV24" i="30" s="1"/>
  <c r="GW7" i="30" s="1"/>
  <c r="GV80" i="30"/>
  <c r="GV29" i="30" s="1"/>
  <c r="GW12" i="30" s="1"/>
  <c r="GV73" i="30"/>
  <c r="GV22" i="30" s="1"/>
  <c r="GW5" i="30" s="1"/>
  <c r="GV74" i="30"/>
  <c r="GV23" i="30" s="1"/>
  <c r="GW6" i="30" s="1"/>
  <c r="GV81" i="30"/>
  <c r="GV30" i="30" s="1"/>
  <c r="GW13" i="30" s="1"/>
  <c r="GW90" i="30" l="1"/>
  <c r="GW80" i="30" s="1"/>
  <c r="GW29" i="30" s="1"/>
  <c r="GX12" i="30" s="1"/>
  <c r="GW97" i="30"/>
  <c r="GW78" i="30"/>
  <c r="GW27" i="30" s="1"/>
  <c r="GX10" i="30" s="1"/>
  <c r="GW98" i="30"/>
  <c r="GW92" i="30"/>
  <c r="GW91" i="30"/>
  <c r="GW99" i="30"/>
  <c r="GW72" i="30" s="1"/>
  <c r="GW21" i="30" s="1"/>
  <c r="GX4" i="30" s="1"/>
  <c r="GW75" i="30" l="1"/>
  <c r="GW24" i="30" s="1"/>
  <c r="GX7" i="30" s="1"/>
  <c r="GX92" i="30" s="1"/>
  <c r="GW73" i="30"/>
  <c r="GW22" i="30" s="1"/>
  <c r="GX5" i="30" s="1"/>
  <c r="GX90" i="30" s="1"/>
  <c r="GX97" i="30"/>
  <c r="GW71" i="30"/>
  <c r="GW20" i="30" s="1"/>
  <c r="GX3" i="30" s="1"/>
  <c r="GX89" i="30"/>
  <c r="GW86" i="30"/>
  <c r="GW35" i="30" s="1"/>
  <c r="GX18" i="30" s="1"/>
  <c r="GW82" i="30"/>
  <c r="GW31" i="30" s="1"/>
  <c r="GX14" i="30" s="1"/>
  <c r="GX95" i="30"/>
  <c r="GW74" i="30"/>
  <c r="GW23" i="30" s="1"/>
  <c r="GX6" i="30" s="1"/>
  <c r="GW81" i="30"/>
  <c r="GW30" i="30" s="1"/>
  <c r="GX13" i="30" s="1"/>
  <c r="GX99" i="30" l="1"/>
  <c r="GX72" i="30" s="1"/>
  <c r="GX21" i="30" s="1"/>
  <c r="GY4" i="30" s="1"/>
  <c r="GX78" i="30"/>
  <c r="GX27" i="30" s="1"/>
  <c r="GY10" i="30" s="1"/>
  <c r="GX81" i="30"/>
  <c r="GX30" i="30" s="1"/>
  <c r="GY13" i="30" s="1"/>
  <c r="GX98" i="30"/>
  <c r="GX71" i="30" s="1"/>
  <c r="GX20" i="30" s="1"/>
  <c r="GY3" i="30" s="1"/>
  <c r="GX88" i="30"/>
  <c r="GX91" i="30"/>
  <c r="GX103" i="30"/>
  <c r="GX86" i="30" l="1"/>
  <c r="GX35" i="30" s="1"/>
  <c r="GY18" i="30" s="1"/>
  <c r="GY103" i="30" s="1"/>
  <c r="GX74" i="30"/>
  <c r="GX23" i="30" s="1"/>
  <c r="GY6" i="30" s="1"/>
  <c r="GY91" i="30" s="1"/>
  <c r="GY98" i="30"/>
  <c r="GY88" i="30"/>
  <c r="GX75" i="30"/>
  <c r="GX24" i="30" s="1"/>
  <c r="GY7" i="30" s="1"/>
  <c r="GX80" i="30"/>
  <c r="GX29" i="30" s="1"/>
  <c r="GY12" i="30" s="1"/>
  <c r="GX73" i="30"/>
  <c r="GX22" i="30" s="1"/>
  <c r="GY5" i="30" s="1"/>
  <c r="GY95" i="30"/>
  <c r="GX82" i="30"/>
  <c r="GX31" i="30" s="1"/>
  <c r="GY14" i="30" s="1"/>
  <c r="GY89" i="30"/>
  <c r="GY99" i="30" l="1"/>
  <c r="GY72" i="30" s="1"/>
  <c r="GY21" i="30" s="1"/>
  <c r="GZ4" i="30" s="1"/>
  <c r="GY90" i="30"/>
  <c r="GY78" i="30"/>
  <c r="GY27" i="30" s="1"/>
  <c r="GZ10" i="30" s="1"/>
  <c r="GY82" i="30"/>
  <c r="GY31" i="30" s="1"/>
  <c r="GZ14" i="30" s="1"/>
  <c r="GY97" i="30"/>
  <c r="GY92" i="30"/>
  <c r="GY71" i="30" l="1"/>
  <c r="GY20" i="30" s="1"/>
  <c r="GZ3" i="30" s="1"/>
  <c r="GZ88" i="30" s="1"/>
  <c r="GY86" i="30"/>
  <c r="GY35" i="30" s="1"/>
  <c r="GZ18" i="30" s="1"/>
  <c r="GZ103" i="30" s="1"/>
  <c r="GZ99" i="30"/>
  <c r="GZ72" i="30" s="1"/>
  <c r="GZ21" i="30" s="1"/>
  <c r="HA4" i="30" s="1"/>
  <c r="GZ95" i="30"/>
  <c r="GY74" i="30"/>
  <c r="GY23" i="30" s="1"/>
  <c r="GZ6" i="30" s="1"/>
  <c r="GY81" i="30"/>
  <c r="GY30" i="30" s="1"/>
  <c r="GZ13" i="30" s="1"/>
  <c r="GY73" i="30"/>
  <c r="GY22" i="30" s="1"/>
  <c r="GZ5" i="30" s="1"/>
  <c r="GY75" i="30"/>
  <c r="GY24" i="30" s="1"/>
  <c r="GZ7" i="30" s="1"/>
  <c r="GY80" i="30"/>
  <c r="GY29" i="30" s="1"/>
  <c r="GZ12" i="30" s="1"/>
  <c r="GZ89" i="30"/>
  <c r="GZ90" i="30" l="1"/>
  <c r="GZ80" i="30" s="1"/>
  <c r="GZ29" i="30" s="1"/>
  <c r="HA12" i="30" s="1"/>
  <c r="GZ92" i="30"/>
  <c r="HA89" i="30"/>
  <c r="GZ78" i="30"/>
  <c r="GZ27" i="30" s="1"/>
  <c r="HA10" i="30" s="1"/>
  <c r="GZ98" i="30"/>
  <c r="GZ73" i="30" s="1"/>
  <c r="GZ22" i="30" s="1"/>
  <c r="HA5" i="30" s="1"/>
  <c r="GZ97" i="30"/>
  <c r="GZ91" i="30"/>
  <c r="GZ86" i="30" l="1"/>
  <c r="GZ35" i="30" s="1"/>
  <c r="HA18" i="30" s="1"/>
  <c r="HA103" i="30" s="1"/>
  <c r="HA97" i="30"/>
  <c r="HA90" i="30"/>
  <c r="GZ71" i="30"/>
  <c r="GZ20" i="30" s="1"/>
  <c r="HA3" i="30" s="1"/>
  <c r="HA95" i="30"/>
  <c r="GZ75" i="30"/>
  <c r="GZ24" i="30" s="1"/>
  <c r="HA7" i="30" s="1"/>
  <c r="HA78" i="30"/>
  <c r="HA27" i="30" s="1"/>
  <c r="HB10" i="30" s="1"/>
  <c r="AB210" i="30" s="1"/>
  <c r="GZ74" i="30"/>
  <c r="GZ23" i="30" s="1"/>
  <c r="HA6" i="30" s="1"/>
  <c r="GZ81" i="30"/>
  <c r="GZ30" i="30" s="1"/>
  <c r="HA13" i="30" s="1"/>
  <c r="GZ82" i="30"/>
  <c r="GZ31" i="30" s="1"/>
  <c r="HA14" i="30" s="1"/>
  <c r="HB95" i="30" l="1"/>
  <c r="HA98" i="30"/>
  <c r="HA88" i="30"/>
  <c r="HA91" i="30"/>
  <c r="HA92" i="30"/>
  <c r="HA81" i="30"/>
  <c r="HA30" i="30" s="1"/>
  <c r="HB13" i="30" s="1"/>
  <c r="AB225" i="30" s="1"/>
  <c r="HA99" i="30"/>
  <c r="HA72" i="30" s="1"/>
  <c r="HA21" i="30" s="1"/>
  <c r="HB4" i="30" s="1"/>
  <c r="AB180" i="30" s="1"/>
  <c r="HA74" i="30" l="1"/>
  <c r="HA23" i="30" s="1"/>
  <c r="HB6" i="30" s="1"/>
  <c r="AB190" i="30" s="1"/>
  <c r="HA73" i="30"/>
  <c r="HA22" i="30" s="1"/>
  <c r="HB5" i="30" s="1"/>
  <c r="AB185" i="30" s="1"/>
  <c r="HB98" i="30"/>
  <c r="HA75" i="30"/>
  <c r="HA24" i="30" s="1"/>
  <c r="HB7" i="30" s="1"/>
  <c r="AB195" i="30" s="1"/>
  <c r="HA80" i="30"/>
  <c r="HA29" i="30" s="1"/>
  <c r="HB12" i="30" s="1"/>
  <c r="AB220" i="30" s="1"/>
  <c r="HA86" i="30"/>
  <c r="HA35" i="30" s="1"/>
  <c r="HB18" i="30" s="1"/>
  <c r="AB250" i="30" s="1"/>
  <c r="HA82" i="30"/>
  <c r="HA31" i="30" s="1"/>
  <c r="HB14" i="30" s="1"/>
  <c r="AB230" i="30" s="1"/>
  <c r="HB89" i="30"/>
  <c r="HA71" i="30"/>
  <c r="HA20" i="30" s="1"/>
  <c r="HB3" i="30" s="1"/>
  <c r="AB175" i="30" s="1"/>
  <c r="HB90" i="30" l="1"/>
  <c r="HB81" i="30" s="1"/>
  <c r="HB30" i="30" s="1"/>
  <c r="HC13" i="30" s="1"/>
  <c r="HB91" i="30"/>
  <c r="HB82" i="30" s="1"/>
  <c r="HB31" i="30" s="1"/>
  <c r="HC14" i="30" s="1"/>
  <c r="HB103" i="30"/>
  <c r="HB97" i="30"/>
  <c r="HB78" i="30"/>
  <c r="HB27" i="30" s="1"/>
  <c r="HC10" i="30" s="1"/>
  <c r="HB92" i="30"/>
  <c r="HB88" i="30"/>
  <c r="HB99" i="30"/>
  <c r="HB72" i="30" s="1"/>
  <c r="HB21" i="30" s="1"/>
  <c r="HC4" i="30" s="1"/>
  <c r="HB71" i="30" l="1"/>
  <c r="HB20" i="30" s="1"/>
  <c r="HC3" i="30" s="1"/>
  <c r="HC88" i="30" s="1"/>
  <c r="HB86" i="30"/>
  <c r="HB35" i="30" s="1"/>
  <c r="HC18" i="30" s="1"/>
  <c r="HC103" i="30" s="1"/>
  <c r="HC99" i="30"/>
  <c r="HC72" i="30" s="1"/>
  <c r="HC21" i="30" s="1"/>
  <c r="HD4" i="30" s="1"/>
  <c r="HC95" i="30"/>
  <c r="HB74" i="30"/>
  <c r="HB23" i="30" s="1"/>
  <c r="HC6" i="30" s="1"/>
  <c r="HC89" i="30"/>
  <c r="HC98" i="30"/>
  <c r="HB75" i="30"/>
  <c r="HB24" i="30" s="1"/>
  <c r="HC7" i="30" s="1"/>
  <c r="HB80" i="30"/>
  <c r="HB29" i="30" s="1"/>
  <c r="HC12" i="30" s="1"/>
  <c r="HB73" i="30"/>
  <c r="HB22" i="30" s="1"/>
  <c r="HC5" i="30" s="1"/>
  <c r="HD89" i="30" l="1"/>
  <c r="HC97" i="30"/>
  <c r="HC90" i="30"/>
  <c r="HC80" i="30" s="1"/>
  <c r="HC29" i="30" s="1"/>
  <c r="HD12" i="30" s="1"/>
  <c r="HC92" i="30"/>
  <c r="HC73" i="30"/>
  <c r="HC22" i="30" s="1"/>
  <c r="HD5" i="30" s="1"/>
  <c r="HC78" i="30"/>
  <c r="HC27" i="30" s="1"/>
  <c r="HD10" i="30" s="1"/>
  <c r="HC91" i="30"/>
  <c r="HC71" i="30" l="1"/>
  <c r="HC20" i="30" s="1"/>
  <c r="HD3" i="30" s="1"/>
  <c r="HD88" i="30" s="1"/>
  <c r="HC75" i="30"/>
  <c r="HC24" i="30" s="1"/>
  <c r="HD7" i="30" s="1"/>
  <c r="HD92" i="30" s="1"/>
  <c r="HD97" i="30"/>
  <c r="HD90" i="30"/>
  <c r="HC86" i="30"/>
  <c r="HC35" i="30" s="1"/>
  <c r="HD18" i="30" s="1"/>
  <c r="HC82" i="30"/>
  <c r="HC31" i="30" s="1"/>
  <c r="HD14" i="30" s="1"/>
  <c r="HD95" i="30"/>
  <c r="HC74" i="30"/>
  <c r="HC23" i="30" s="1"/>
  <c r="HD6" i="30" s="1"/>
  <c r="HC81" i="30"/>
  <c r="HC30" i="30" s="1"/>
  <c r="HD13" i="30" s="1"/>
  <c r="HD78" i="30"/>
  <c r="HD27" i="30" s="1"/>
  <c r="HE10" i="30" s="1"/>
  <c r="HE95" i="30" l="1"/>
  <c r="HD98" i="30"/>
  <c r="HD99" i="30"/>
  <c r="HD72" i="30" s="1"/>
  <c r="HD21" i="30" s="1"/>
  <c r="HE4" i="30" s="1"/>
  <c r="HD91" i="30"/>
  <c r="HD75" i="30" s="1"/>
  <c r="HD24" i="30" s="1"/>
  <c r="HE7" i="30" s="1"/>
  <c r="HD103" i="30"/>
  <c r="HD80" i="30" s="1"/>
  <c r="HD29" i="30" s="1"/>
  <c r="HE12" i="30" s="1"/>
  <c r="HD81" i="30"/>
  <c r="HD30" i="30" s="1"/>
  <c r="HE13" i="30" s="1"/>
  <c r="HE92" i="30" l="1"/>
  <c r="HE98" i="30"/>
  <c r="HE97" i="30"/>
  <c r="HD71" i="30"/>
  <c r="HD20" i="30" s="1"/>
  <c r="HE3" i="30" s="1"/>
  <c r="HD73" i="30"/>
  <c r="HD22" i="30" s="1"/>
  <c r="HE5" i="30" s="1"/>
  <c r="HE89" i="30"/>
  <c r="HD74" i="30"/>
  <c r="HD23" i="30" s="1"/>
  <c r="HE6" i="30" s="1"/>
  <c r="HD86" i="30"/>
  <c r="HD35" i="30" s="1"/>
  <c r="HE18" i="30" s="1"/>
  <c r="HD82" i="30"/>
  <c r="HD31" i="30" s="1"/>
  <c r="HE14" i="30" s="1"/>
  <c r="HE90" i="30" l="1"/>
  <c r="HE88" i="30"/>
  <c r="HE91" i="30"/>
  <c r="HE86" i="30" s="1"/>
  <c r="HE35" i="30" s="1"/>
  <c r="HF18" i="30" s="1"/>
  <c r="HE78" i="30"/>
  <c r="HE27" i="30" s="1"/>
  <c r="HF10" i="30" s="1"/>
  <c r="HE103" i="30"/>
  <c r="HE99" i="30"/>
  <c r="HE72" i="30" s="1"/>
  <c r="HE21" i="30" s="1"/>
  <c r="HF4" i="30" s="1"/>
  <c r="HE82" i="30" l="1"/>
  <c r="HE31" i="30" s="1"/>
  <c r="HF14" i="30" s="1"/>
  <c r="HF99" i="30" s="1"/>
  <c r="HF72" i="30" s="1"/>
  <c r="HF21" i="30" s="1"/>
  <c r="HG4" i="30" s="1"/>
  <c r="HE73" i="30"/>
  <c r="HE22" i="30" s="1"/>
  <c r="HF5" i="30" s="1"/>
  <c r="HF90" i="30" s="1"/>
  <c r="HE80" i="30"/>
  <c r="HE29" i="30" s="1"/>
  <c r="HF12" i="30" s="1"/>
  <c r="HE75" i="30"/>
  <c r="HE24" i="30" s="1"/>
  <c r="HF7" i="30" s="1"/>
  <c r="HF103" i="30"/>
  <c r="HE81" i="30"/>
  <c r="HE30" i="30" s="1"/>
  <c r="HF13" i="30" s="1"/>
  <c r="HE74" i="30"/>
  <c r="HE23" i="30" s="1"/>
  <c r="HF6" i="30" s="1"/>
  <c r="HF95" i="30"/>
  <c r="HF89" i="30"/>
  <c r="HE71" i="30"/>
  <c r="HE20" i="30" s="1"/>
  <c r="HF3" i="30" s="1"/>
  <c r="HG89" i="30" l="1"/>
  <c r="HF98" i="30"/>
  <c r="HF73" i="30" s="1"/>
  <c r="HF22" i="30" s="1"/>
  <c r="HG5" i="30" s="1"/>
  <c r="HF92" i="30"/>
  <c r="HF74" i="30" s="1"/>
  <c r="HF23" i="30" s="1"/>
  <c r="HG6" i="30" s="1"/>
  <c r="HF97" i="30"/>
  <c r="HF81" i="30"/>
  <c r="HF30" i="30" s="1"/>
  <c r="HG13" i="30" s="1"/>
  <c r="HF91" i="30"/>
  <c r="HF88" i="30"/>
  <c r="HF78" i="30"/>
  <c r="HF27" i="30" s="1"/>
  <c r="HG10" i="30" s="1"/>
  <c r="HF82" i="30" l="1"/>
  <c r="HF31" i="30" s="1"/>
  <c r="HG14" i="30" s="1"/>
  <c r="HG99" i="30" s="1"/>
  <c r="HG72" i="30" s="1"/>
  <c r="HG21" i="30" s="1"/>
  <c r="HH4" i="30" s="1"/>
  <c r="HF71" i="30"/>
  <c r="HF20" i="30" s="1"/>
  <c r="HG3" i="30" s="1"/>
  <c r="HG88" i="30" s="1"/>
  <c r="HF86" i="30"/>
  <c r="HF35" i="30" s="1"/>
  <c r="HG18" i="30" s="1"/>
  <c r="HG103" i="30" s="1"/>
  <c r="HG98" i="30"/>
  <c r="HG91" i="30"/>
  <c r="HG95" i="30"/>
  <c r="HG90" i="30"/>
  <c r="HF75" i="30"/>
  <c r="HF24" i="30" s="1"/>
  <c r="HG7" i="30" s="1"/>
  <c r="HF80" i="30"/>
  <c r="HF29" i="30" s="1"/>
  <c r="HG12" i="30" s="1"/>
  <c r="HG78" i="30"/>
  <c r="HG27" i="30" s="1"/>
  <c r="HH10" i="30" s="1"/>
  <c r="HG82" i="30" l="1"/>
  <c r="HG31" i="30" s="1"/>
  <c r="HH14" i="30" s="1"/>
  <c r="HH99" i="30" s="1"/>
  <c r="HH72" i="30" s="1"/>
  <c r="HH21" i="30" s="1"/>
  <c r="HI4" i="30" s="1"/>
  <c r="HH89" i="30"/>
  <c r="HG92" i="30"/>
  <c r="HG74" i="30" s="1"/>
  <c r="HG23" i="30" s="1"/>
  <c r="HH6" i="30" s="1"/>
  <c r="HG97" i="30"/>
  <c r="HG71" i="30" s="1"/>
  <c r="HG20" i="30" s="1"/>
  <c r="HH3" i="30" s="1"/>
  <c r="HG75" i="30"/>
  <c r="HG24" i="30" s="1"/>
  <c r="HH7" i="30" s="1"/>
  <c r="HG80" i="30"/>
  <c r="HG29" i="30" s="1"/>
  <c r="HH12" i="30" s="1"/>
  <c r="HG81" i="30"/>
  <c r="HG30" i="30" s="1"/>
  <c r="HH13" i="30" s="1"/>
  <c r="HH95" i="30"/>
  <c r="HG73" i="30"/>
  <c r="HG22" i="30" s="1"/>
  <c r="HH5" i="30" s="1"/>
  <c r="HG86" i="30" l="1"/>
  <c r="HG35" i="30" s="1"/>
  <c r="HH18" i="30" s="1"/>
  <c r="HH103" i="30" s="1"/>
  <c r="HH97" i="30"/>
  <c r="HH92" i="30"/>
  <c r="HH91" i="30"/>
  <c r="HH90" i="30"/>
  <c r="HH98" i="30"/>
  <c r="HH73" i="30" s="1"/>
  <c r="HH22" i="30" s="1"/>
  <c r="HI5" i="30" s="1"/>
  <c r="HH78" i="30"/>
  <c r="HH27" i="30" s="1"/>
  <c r="HI10" i="30" s="1"/>
  <c r="HH88" i="30"/>
  <c r="HI89" i="30"/>
  <c r="HH82" i="30" l="1"/>
  <c r="HH31" i="30" s="1"/>
  <c r="HI14" i="30" s="1"/>
  <c r="HI99" i="30" s="1"/>
  <c r="HI72" i="30" s="1"/>
  <c r="HI21" i="30" s="1"/>
  <c r="HJ4" i="30" s="1"/>
  <c r="AC180" i="30" s="1"/>
  <c r="HH71" i="30"/>
  <c r="HH20" i="30" s="1"/>
  <c r="HI3" i="30" s="1"/>
  <c r="HI88" i="30" s="1"/>
  <c r="HI90" i="30"/>
  <c r="HH74" i="30"/>
  <c r="HH23" i="30" s="1"/>
  <c r="HI6" i="30" s="1"/>
  <c r="HH81" i="30"/>
  <c r="HH30" i="30" s="1"/>
  <c r="HI13" i="30" s="1"/>
  <c r="HI78" i="30"/>
  <c r="HI27" i="30" s="1"/>
  <c r="HJ10" i="30" s="1"/>
  <c r="AC210" i="30" s="1"/>
  <c r="HI95" i="30"/>
  <c r="HH75" i="30"/>
  <c r="HH24" i="30" s="1"/>
  <c r="HI7" i="30" s="1"/>
  <c r="HH80" i="30"/>
  <c r="HH29" i="30" s="1"/>
  <c r="HI12" i="30" s="1"/>
  <c r="HH86" i="30"/>
  <c r="HH35" i="30" s="1"/>
  <c r="HI18" i="30" s="1"/>
  <c r="HJ95" i="30" l="1"/>
  <c r="HI97" i="30"/>
  <c r="HJ89" i="30"/>
  <c r="HI92" i="30"/>
  <c r="HI74" i="30" s="1"/>
  <c r="HI23" i="30" s="1"/>
  <c r="HJ6" i="30" s="1"/>
  <c r="AC190" i="30" s="1"/>
  <c r="HI98" i="30"/>
  <c r="HI73" i="30" s="1"/>
  <c r="HI22" i="30" s="1"/>
  <c r="HJ5" i="30" s="1"/>
  <c r="AC185" i="30" s="1"/>
  <c r="HI103" i="30"/>
  <c r="HI80" i="30" s="1"/>
  <c r="HI29" i="30" s="1"/>
  <c r="HJ12" i="30" s="1"/>
  <c r="AC220" i="30" s="1"/>
  <c r="HI91" i="30"/>
  <c r="HI75" i="30" s="1"/>
  <c r="HI24" i="30" s="1"/>
  <c r="HJ7" i="30" s="1"/>
  <c r="AC195" i="30" s="1"/>
  <c r="HI81" i="30"/>
  <c r="HI30" i="30" s="1"/>
  <c r="HJ13" i="30" s="1"/>
  <c r="AC225" i="30" s="1"/>
  <c r="HJ98" i="30" l="1"/>
  <c r="HJ92" i="30"/>
  <c r="HJ91" i="30"/>
  <c r="HJ97" i="30"/>
  <c r="HJ90" i="30"/>
  <c r="HJ78" i="30"/>
  <c r="HJ27" i="30" s="1"/>
  <c r="HK10" i="30" s="1"/>
  <c r="HI86" i="30"/>
  <c r="HI35" i="30" s="1"/>
  <c r="HJ18" i="30" s="1"/>
  <c r="AC250" i="30" s="1"/>
  <c r="HI82" i="30"/>
  <c r="HI31" i="30" s="1"/>
  <c r="HJ14" i="30" s="1"/>
  <c r="AC230" i="30" s="1"/>
  <c r="HI71" i="30"/>
  <c r="HI20" i="30" s="1"/>
  <c r="HJ3" i="30" s="1"/>
  <c r="AC175" i="30" s="1"/>
  <c r="HJ82" i="30" l="1"/>
  <c r="HJ31" i="30" s="1"/>
  <c r="HK14" i="30" s="1"/>
  <c r="HJ71" i="30"/>
  <c r="HJ20" i="30" s="1"/>
  <c r="HK3" i="30" s="1"/>
  <c r="HK95" i="30"/>
  <c r="HJ103" i="30"/>
  <c r="HJ88" i="30"/>
  <c r="HJ99" i="30"/>
  <c r="HJ74" i="30" s="1"/>
  <c r="HJ23" i="30" s="1"/>
  <c r="HK6" i="30" s="1"/>
  <c r="HJ81" i="30"/>
  <c r="HJ30" i="30" s="1"/>
  <c r="HK13" i="30" s="1"/>
  <c r="HJ86" i="30"/>
  <c r="HJ35" i="30" s="1"/>
  <c r="HK18" i="30" s="1"/>
  <c r="HK103" i="30" l="1"/>
  <c r="HK88" i="30"/>
  <c r="HK99" i="30"/>
  <c r="HK72" i="30" s="1"/>
  <c r="HK91" i="30"/>
  <c r="HJ72" i="30"/>
  <c r="HJ21" i="30" s="1"/>
  <c r="HK4" i="30" s="1"/>
  <c r="HJ73" i="30"/>
  <c r="HJ22" i="30" s="1"/>
  <c r="HK5" i="30" s="1"/>
  <c r="HK98" i="30"/>
  <c r="HJ80" i="30"/>
  <c r="HJ29" i="30" s="1"/>
  <c r="HK12" i="30" s="1"/>
  <c r="HJ75" i="30"/>
  <c r="HJ24" i="30" s="1"/>
  <c r="HK7" i="30" s="1"/>
  <c r="HK92" i="30" l="1"/>
  <c r="HK90" i="30"/>
  <c r="HK97" i="30"/>
  <c r="HK89" i="30"/>
  <c r="HK21" i="30"/>
  <c r="HL4" i="30" s="1"/>
  <c r="HK75" i="30" l="1"/>
  <c r="HK24" i="30" s="1"/>
  <c r="HL7" i="30" s="1"/>
  <c r="HL92" i="30" s="1"/>
  <c r="HK86" i="30"/>
  <c r="HK35" i="30" s="1"/>
  <c r="HL18" i="30" s="1"/>
  <c r="HL103" i="30" s="1"/>
  <c r="HL89" i="30"/>
  <c r="HK73" i="30"/>
  <c r="HK22" i="30" s="1"/>
  <c r="HL5" i="30" s="1"/>
  <c r="HK82" i="30"/>
  <c r="HK31" i="30" s="1"/>
  <c r="HL14" i="30" s="1"/>
  <c r="HK78" i="30"/>
  <c r="HK27" i="30" s="1"/>
  <c r="HL10" i="30" s="1"/>
  <c r="HK71" i="30"/>
  <c r="HK20" i="30" s="1"/>
  <c r="HL3" i="30" s="1"/>
  <c r="HK74" i="30"/>
  <c r="HK23" i="30" s="1"/>
  <c r="HL6" i="30" s="1"/>
  <c r="HK81" i="30"/>
  <c r="HK30" i="30" s="1"/>
  <c r="HL13" i="30" s="1"/>
  <c r="HK80" i="30"/>
  <c r="HK29" i="30" s="1"/>
  <c r="HL12" i="30" s="1"/>
  <c r="HL98" i="30" l="1"/>
  <c r="HL91" i="30"/>
  <c r="HL90" i="30"/>
  <c r="HL88" i="30"/>
  <c r="HL78" i="30"/>
  <c r="HL27" i="30" s="1"/>
  <c r="HM10" i="30" s="1"/>
  <c r="HL99" i="30"/>
  <c r="HL72" i="30" s="1"/>
  <c r="HL21" i="30" s="1"/>
  <c r="HM4" i="30" s="1"/>
  <c r="HL97" i="30"/>
  <c r="HL95" i="30"/>
  <c r="HL73" i="30" l="1"/>
  <c r="HL22" i="30" s="1"/>
  <c r="HM5" i="30" s="1"/>
  <c r="HM90" i="30" s="1"/>
  <c r="HL71" i="30"/>
  <c r="HL20" i="30" s="1"/>
  <c r="HM3" i="30" s="1"/>
  <c r="HM88" i="30" s="1"/>
  <c r="HM95" i="30"/>
  <c r="HL86" i="30"/>
  <c r="HL35" i="30" s="1"/>
  <c r="HM18" i="30" s="1"/>
  <c r="HL75" i="30"/>
  <c r="HL24" i="30" s="1"/>
  <c r="HM7" i="30" s="1"/>
  <c r="HL80" i="30"/>
  <c r="HL29" i="30" s="1"/>
  <c r="HM12" i="30" s="1"/>
  <c r="HL82" i="30"/>
  <c r="HL31" i="30" s="1"/>
  <c r="HM14" i="30" s="1"/>
  <c r="HL81" i="30"/>
  <c r="HL30" i="30" s="1"/>
  <c r="HM13" i="30" s="1"/>
  <c r="HL74" i="30"/>
  <c r="HL23" i="30" s="1"/>
  <c r="HM6" i="30" s="1"/>
  <c r="HM89" i="30"/>
  <c r="HM91" i="30" l="1"/>
  <c r="HM75" i="30" s="1"/>
  <c r="HM24" i="30" s="1"/>
  <c r="HN7" i="30" s="1"/>
  <c r="HM98" i="30"/>
  <c r="HM99" i="30"/>
  <c r="HM72" i="30" s="1"/>
  <c r="HM21" i="30" s="1"/>
  <c r="HN4" i="30" s="1"/>
  <c r="HM92" i="30"/>
  <c r="HM103" i="30"/>
  <c r="HM80" i="30" s="1"/>
  <c r="HM29" i="30" s="1"/>
  <c r="HN12" i="30" s="1"/>
  <c r="HM81" i="30"/>
  <c r="HM30" i="30" s="1"/>
  <c r="HN13" i="30" s="1"/>
  <c r="HM78" i="30"/>
  <c r="HM27" i="30" s="1"/>
  <c r="HN10" i="30" s="1"/>
  <c r="HM97" i="30"/>
  <c r="HM82" i="30" l="1"/>
  <c r="HM31" i="30" s="1"/>
  <c r="HN14" i="30" s="1"/>
  <c r="HN99" i="30" s="1"/>
  <c r="HN72" i="30" s="1"/>
  <c r="HN21" i="30" s="1"/>
  <c r="HO4" i="30" s="1"/>
  <c r="HM74" i="30"/>
  <c r="HM23" i="30" s="1"/>
  <c r="HN6" i="30" s="1"/>
  <c r="HN91" i="30" s="1"/>
  <c r="HM71" i="30"/>
  <c r="HM20" i="30" s="1"/>
  <c r="HN3" i="30" s="1"/>
  <c r="HN88" i="30" s="1"/>
  <c r="HM73" i="30"/>
  <c r="HM22" i="30" s="1"/>
  <c r="HN5" i="30" s="1"/>
  <c r="HN90" i="30" s="1"/>
  <c r="HN98" i="30"/>
  <c r="HN97" i="30"/>
  <c r="HN92" i="30"/>
  <c r="HN95" i="30"/>
  <c r="HN89" i="30"/>
  <c r="HM86" i="30"/>
  <c r="HM35" i="30" s="1"/>
  <c r="HN18" i="30" s="1"/>
  <c r="HO89" i="30" l="1"/>
  <c r="HN75" i="30"/>
  <c r="HN24" i="30" s="1"/>
  <c r="HO7" i="30" s="1"/>
  <c r="HN103" i="30"/>
  <c r="HN80" i="30" s="1"/>
  <c r="HN29" i="30" s="1"/>
  <c r="HO12" i="30" s="1"/>
  <c r="HN73" i="30"/>
  <c r="HN22" i="30" s="1"/>
  <c r="HO5" i="30" s="1"/>
  <c r="HN78" i="30"/>
  <c r="HN27" i="30" s="1"/>
  <c r="HO10" i="30" s="1"/>
  <c r="HN82" i="30"/>
  <c r="HN31" i="30" s="1"/>
  <c r="HO14" i="30" s="1"/>
  <c r="HN71" i="30"/>
  <c r="HN20" i="30" s="1"/>
  <c r="HO3" i="30" s="1"/>
  <c r="HN86" i="30"/>
  <c r="HN35" i="30" s="1"/>
  <c r="HO18" i="30" s="1"/>
  <c r="HN81" i="30"/>
  <c r="HN30" i="30" s="1"/>
  <c r="HO13" i="30" s="1"/>
  <c r="HN74" i="30"/>
  <c r="HN23" i="30" s="1"/>
  <c r="HO6" i="30" s="1"/>
  <c r="HO103" i="30" l="1"/>
  <c r="HO95" i="30"/>
  <c r="HO90" i="30"/>
  <c r="HO92" i="30"/>
  <c r="HO97" i="30"/>
  <c r="HO88" i="30"/>
  <c r="HO78" i="30"/>
  <c r="HO27" i="30" s="1"/>
  <c r="HP10" i="30" s="1"/>
  <c r="HO98" i="30"/>
  <c r="HO91" i="30"/>
  <c r="HO99" i="30"/>
  <c r="HO72" i="30" s="1"/>
  <c r="HO21" i="30" s="1"/>
  <c r="HP4" i="30" s="1"/>
  <c r="HO71" i="30" l="1"/>
  <c r="HO20" i="30" s="1"/>
  <c r="HP3" i="30" s="1"/>
  <c r="HP88" i="30" s="1"/>
  <c r="HO86" i="30"/>
  <c r="HO35" i="30" s="1"/>
  <c r="HP18" i="30" s="1"/>
  <c r="HP103" i="30" s="1"/>
  <c r="HO73" i="30"/>
  <c r="HO22" i="30" s="1"/>
  <c r="HP5" i="30" s="1"/>
  <c r="HP90" i="30" s="1"/>
  <c r="HP95" i="30"/>
  <c r="HO75" i="30"/>
  <c r="HO24" i="30" s="1"/>
  <c r="HP7" i="30" s="1"/>
  <c r="HO80" i="30"/>
  <c r="HO29" i="30" s="1"/>
  <c r="HP12" i="30" s="1"/>
  <c r="HO82" i="30"/>
  <c r="HO31" i="30" s="1"/>
  <c r="HP14" i="30" s="1"/>
  <c r="HP89" i="30"/>
  <c r="HO74" i="30"/>
  <c r="HO23" i="30" s="1"/>
  <c r="HP6" i="30" s="1"/>
  <c r="HO81" i="30"/>
  <c r="HO30" i="30" s="1"/>
  <c r="HP13" i="30" s="1"/>
  <c r="HP99" i="30" l="1"/>
  <c r="HP72" i="30" s="1"/>
  <c r="HP21" i="30" s="1"/>
  <c r="HQ4" i="30" s="1"/>
  <c r="HP80" i="30"/>
  <c r="HP29" i="30" s="1"/>
  <c r="HQ12" i="30" s="1"/>
  <c r="HP78" i="30"/>
  <c r="HP27" i="30" s="1"/>
  <c r="HQ10" i="30" s="1"/>
  <c r="HP81" i="30"/>
  <c r="HP30" i="30" s="1"/>
  <c r="HQ13" i="30" s="1"/>
  <c r="HP97" i="30"/>
  <c r="HP98" i="30"/>
  <c r="HP91" i="30"/>
  <c r="HP75" i="30" s="1"/>
  <c r="HP24" i="30" s="1"/>
  <c r="HQ7" i="30" s="1"/>
  <c r="HP92" i="30"/>
  <c r="HP73" i="30" l="1"/>
  <c r="HP22" i="30" s="1"/>
  <c r="HQ5" i="30" s="1"/>
  <c r="HQ90" i="30" s="1"/>
  <c r="HP74" i="30"/>
  <c r="HP23" i="30" s="1"/>
  <c r="HQ6" i="30" s="1"/>
  <c r="HQ91" i="30" s="1"/>
  <c r="HP71" i="30"/>
  <c r="HP20" i="30" s="1"/>
  <c r="HQ3" i="30" s="1"/>
  <c r="HQ88" i="30" s="1"/>
  <c r="HQ92" i="30"/>
  <c r="HQ98" i="30"/>
  <c r="HQ97" i="30"/>
  <c r="HP86" i="30"/>
  <c r="HP35" i="30" s="1"/>
  <c r="HQ18" i="30" s="1"/>
  <c r="HP82" i="30"/>
  <c r="HP31" i="30" s="1"/>
  <c r="HQ14" i="30" s="1"/>
  <c r="HQ95" i="30"/>
  <c r="HQ89" i="30"/>
  <c r="HQ99" i="30" l="1"/>
  <c r="HQ72" i="30" s="1"/>
  <c r="HQ21" i="30" s="1"/>
  <c r="HR4" i="30" s="1"/>
  <c r="AD180" i="30" s="1"/>
  <c r="HQ86" i="30"/>
  <c r="HQ35" i="30" s="1"/>
  <c r="HR18" i="30" s="1"/>
  <c r="AD250" i="30" s="1"/>
  <c r="HQ75" i="30"/>
  <c r="HQ24" i="30" s="1"/>
  <c r="HR7" i="30" s="1"/>
  <c r="AD195" i="30" s="1"/>
  <c r="HQ103" i="30"/>
  <c r="HQ80" i="30" s="1"/>
  <c r="HQ29" i="30" s="1"/>
  <c r="HR12" i="30" s="1"/>
  <c r="AD220" i="30" s="1"/>
  <c r="HQ71" i="30"/>
  <c r="HQ20" i="30" s="1"/>
  <c r="HR3" i="30" s="1"/>
  <c r="AD175" i="30" s="1"/>
  <c r="HQ78" i="30"/>
  <c r="HQ27" i="30" s="1"/>
  <c r="HR10" i="30" s="1"/>
  <c r="AD210" i="30" s="1"/>
  <c r="HQ82" i="30"/>
  <c r="HQ31" i="30" s="1"/>
  <c r="HR14" i="30" s="1"/>
  <c r="AD230" i="30" s="1"/>
  <c r="HQ81" i="30"/>
  <c r="HQ30" i="30" s="1"/>
  <c r="HR13" i="30" s="1"/>
  <c r="AD225" i="30" s="1"/>
  <c r="HQ74" i="30" l="1"/>
  <c r="HQ23" i="30" s="1"/>
  <c r="HR6" i="30" s="1"/>
  <c r="AD190" i="30" s="1"/>
  <c r="HQ73" i="30"/>
  <c r="HQ22" i="30" s="1"/>
  <c r="HR5" i="30" s="1"/>
  <c r="AD185" i="30" s="1"/>
  <c r="HR99" i="30"/>
  <c r="HR72" i="30" s="1"/>
  <c r="HR21" i="30" s="1"/>
  <c r="HS4" i="30" s="1"/>
  <c r="HR97" i="30"/>
  <c r="HR103" i="30"/>
  <c r="HR98" i="30"/>
  <c r="HR92" i="30"/>
  <c r="HR88" i="30"/>
  <c r="HR95" i="30"/>
  <c r="HR89" i="30"/>
  <c r="HR91" i="30" l="1"/>
  <c r="HR82" i="30" s="1"/>
  <c r="HR31" i="30" s="1"/>
  <c r="HS14" i="30" s="1"/>
  <c r="HR90" i="30"/>
  <c r="HR74" i="30" s="1"/>
  <c r="HR23" i="30" s="1"/>
  <c r="HS6" i="30" s="1"/>
  <c r="HS89" i="30"/>
  <c r="HR73" i="30"/>
  <c r="HR22" i="30" s="1"/>
  <c r="HS5" i="30" s="1"/>
  <c r="HR78" i="30"/>
  <c r="HR27" i="30" s="1"/>
  <c r="HS10" i="30" s="1"/>
  <c r="HR86" i="30" l="1"/>
  <c r="HR35" i="30" s="1"/>
  <c r="HS18" i="30" s="1"/>
  <c r="HS103" i="30" s="1"/>
  <c r="HR71" i="30"/>
  <c r="HR20" i="30" s="1"/>
  <c r="HS3" i="30" s="1"/>
  <c r="HS88" i="30" s="1"/>
  <c r="HR81" i="30"/>
  <c r="HR30" i="30" s="1"/>
  <c r="HS13" i="30" s="1"/>
  <c r="HS98" i="30" s="1"/>
  <c r="HR80" i="30"/>
  <c r="HR29" i="30" s="1"/>
  <c r="HS12" i="30" s="1"/>
  <c r="HS97" i="30" s="1"/>
  <c r="HR75" i="30"/>
  <c r="HR24" i="30" s="1"/>
  <c r="HS7" i="30" s="1"/>
  <c r="HS92" i="30" s="1"/>
  <c r="HS95" i="30"/>
  <c r="HS91" i="30"/>
  <c r="HS90" i="30"/>
  <c r="HS99" i="30"/>
  <c r="HS72" i="30" s="1"/>
  <c r="HS21" i="30" s="1"/>
  <c r="HT4" i="30" s="1"/>
  <c r="HS78" i="30"/>
  <c r="HS27" i="30" s="1"/>
  <c r="HT10" i="30" s="1"/>
  <c r="HS82" i="30" l="1"/>
  <c r="HS31" i="30" s="1"/>
  <c r="HT14" i="30" s="1"/>
  <c r="HT99" i="30" s="1"/>
  <c r="HT72" i="30" s="1"/>
  <c r="HT21" i="30" s="1"/>
  <c r="HU4" i="30" s="1"/>
  <c r="HS73" i="30"/>
  <c r="HS22" i="30" s="1"/>
  <c r="HT5" i="30" s="1"/>
  <c r="HT90" i="30" s="1"/>
  <c r="HT95" i="30"/>
  <c r="HS74" i="30"/>
  <c r="HS23" i="30" s="1"/>
  <c r="HT6" i="30" s="1"/>
  <c r="HS81" i="30"/>
  <c r="HS30" i="30" s="1"/>
  <c r="HT13" i="30" s="1"/>
  <c r="HT89" i="30"/>
  <c r="HS86" i="30"/>
  <c r="HS35" i="30" s="1"/>
  <c r="HT18" i="30" s="1"/>
  <c r="HS71" i="30"/>
  <c r="HS20" i="30" s="1"/>
  <c r="HT3" i="30" s="1"/>
  <c r="HS80" i="30"/>
  <c r="HS29" i="30" s="1"/>
  <c r="HT12" i="30" s="1"/>
  <c r="HS75" i="30"/>
  <c r="HS24" i="30" s="1"/>
  <c r="HT7" i="30" s="1"/>
  <c r="HU89" i="30" l="1"/>
  <c r="HT98" i="30"/>
  <c r="HT91" i="30"/>
  <c r="HT92" i="30"/>
  <c r="HT74" i="30" s="1"/>
  <c r="HT23" i="30" s="1"/>
  <c r="HU6" i="30" s="1"/>
  <c r="HT88" i="30"/>
  <c r="HT103" i="30"/>
  <c r="HT97" i="30"/>
  <c r="HT78" i="30"/>
  <c r="HT27" i="30" s="1"/>
  <c r="HU10" i="30" s="1"/>
  <c r="HT81" i="30"/>
  <c r="HT30" i="30" s="1"/>
  <c r="HU13" i="30" s="1"/>
  <c r="HT71" i="30" l="1"/>
  <c r="HT20" i="30" s="1"/>
  <c r="HU3" i="30" s="1"/>
  <c r="HU88" i="30" s="1"/>
  <c r="HT82" i="30"/>
  <c r="HT31" i="30" s="1"/>
  <c r="HU14" i="30" s="1"/>
  <c r="HU99" i="30" s="1"/>
  <c r="HU72" i="30" s="1"/>
  <c r="HU21" i="30" s="1"/>
  <c r="HV4" i="30" s="1"/>
  <c r="HT73" i="30"/>
  <c r="HT22" i="30" s="1"/>
  <c r="HU5" i="30" s="1"/>
  <c r="HU90" i="30" s="1"/>
  <c r="HU91" i="30"/>
  <c r="HU98" i="30"/>
  <c r="HU78" i="30"/>
  <c r="HU27" i="30" s="1"/>
  <c r="HV10" i="30" s="1"/>
  <c r="HU95" i="30"/>
  <c r="HT75" i="30"/>
  <c r="HT24" i="30" s="1"/>
  <c r="HU7" i="30" s="1"/>
  <c r="HT80" i="30"/>
  <c r="HT29" i="30" s="1"/>
  <c r="HU12" i="30" s="1"/>
  <c r="HT86" i="30"/>
  <c r="HT35" i="30" s="1"/>
  <c r="HU18" i="30" s="1"/>
  <c r="HU82" i="30" l="1"/>
  <c r="HU31" i="30" s="1"/>
  <c r="HV14" i="30" s="1"/>
  <c r="HV99" i="30" s="1"/>
  <c r="HV72" i="30" s="1"/>
  <c r="HV21" i="30" s="1"/>
  <c r="HW4" i="30" s="1"/>
  <c r="HU73" i="30"/>
  <c r="HU22" i="30" s="1"/>
  <c r="HV5" i="30" s="1"/>
  <c r="HV90" i="30" s="1"/>
  <c r="HV95" i="30"/>
  <c r="HV89" i="30"/>
  <c r="HU97" i="30"/>
  <c r="HU71" i="30" s="1"/>
  <c r="HU20" i="30" s="1"/>
  <c r="HV3" i="30" s="1"/>
  <c r="HU81" i="30"/>
  <c r="HU30" i="30" s="1"/>
  <c r="HV13" i="30" s="1"/>
  <c r="HU75" i="30"/>
  <c r="HU24" i="30" s="1"/>
  <c r="HV7" i="30" s="1"/>
  <c r="HU103" i="30"/>
  <c r="HU80" i="30" s="1"/>
  <c r="HU29" i="30" s="1"/>
  <c r="HV12" i="30" s="1"/>
  <c r="HU92" i="30"/>
  <c r="HU86" i="30" l="1"/>
  <c r="HU35" i="30" s="1"/>
  <c r="HV18" i="30" s="1"/>
  <c r="HV103" i="30" s="1"/>
  <c r="HU74" i="30"/>
  <c r="HU23" i="30" s="1"/>
  <c r="HV6" i="30" s="1"/>
  <c r="HV91" i="30" s="1"/>
  <c r="HW89" i="30"/>
  <c r="HV97" i="30"/>
  <c r="HV98" i="30"/>
  <c r="HV73" i="30" s="1"/>
  <c r="HV22" i="30" s="1"/>
  <c r="HW5" i="30" s="1"/>
  <c r="HV88" i="30"/>
  <c r="HV81" i="30"/>
  <c r="HV30" i="30" s="1"/>
  <c r="HW13" i="30" s="1"/>
  <c r="HV78" i="30"/>
  <c r="HV27" i="30" s="1"/>
  <c r="HW10" i="30" s="1"/>
  <c r="HV92" i="30"/>
  <c r="HV74" i="30" s="1"/>
  <c r="HV82" i="30" l="1"/>
  <c r="HV31" i="30" s="1"/>
  <c r="HW14" i="30" s="1"/>
  <c r="HW99" i="30" s="1"/>
  <c r="HW72" i="30" s="1"/>
  <c r="HW21" i="30" s="1"/>
  <c r="HX4" i="30" s="1"/>
  <c r="HV71" i="30"/>
  <c r="HV20" i="30" s="1"/>
  <c r="HW3" i="30" s="1"/>
  <c r="HW88" i="30" s="1"/>
  <c r="HV23" i="30"/>
  <c r="HW6" i="30" s="1"/>
  <c r="HW91" i="30" s="1"/>
  <c r="HW98" i="30"/>
  <c r="HV80" i="30"/>
  <c r="HV29" i="30" s="1"/>
  <c r="HW12" i="30" s="1"/>
  <c r="HV75" i="30"/>
  <c r="HV24" i="30" s="1"/>
  <c r="HW7" i="30" s="1"/>
  <c r="HV86" i="30"/>
  <c r="HV35" i="30" s="1"/>
  <c r="HW18" i="30" s="1"/>
  <c r="HW78" i="30"/>
  <c r="HW27" i="30" s="1"/>
  <c r="HX10" i="30" s="1"/>
  <c r="HW95" i="30"/>
  <c r="HW90" i="30"/>
  <c r="HX89" i="30" l="1"/>
  <c r="HW97" i="30"/>
  <c r="HW71" i="30" s="1"/>
  <c r="HW20" i="30" s="1"/>
  <c r="HX3" i="30" s="1"/>
  <c r="HW92" i="30"/>
  <c r="HW74" i="30" s="1"/>
  <c r="HW23" i="30" s="1"/>
  <c r="HX6" i="30" s="1"/>
  <c r="HW81" i="30"/>
  <c r="HW30" i="30" s="1"/>
  <c r="HX13" i="30" s="1"/>
  <c r="HW73" i="30"/>
  <c r="HW22" i="30" s="1"/>
  <c r="HX5" i="30" s="1"/>
  <c r="HX95" i="30"/>
  <c r="HW82" i="30"/>
  <c r="HW31" i="30" s="1"/>
  <c r="HX14" i="30" s="1"/>
  <c r="HW103" i="30"/>
  <c r="HW80" i="30" s="1"/>
  <c r="HW29" i="30" s="1"/>
  <c r="HX12" i="30" s="1"/>
  <c r="HW75" i="30"/>
  <c r="HW24" i="30" s="1"/>
  <c r="HX7" i="30" s="1"/>
  <c r="HX91" i="30" l="1"/>
  <c r="HX92" i="30"/>
  <c r="HX97" i="30"/>
  <c r="HX88" i="30"/>
  <c r="HW86" i="30"/>
  <c r="HW35" i="30" s="1"/>
  <c r="HX18" i="30" s="1"/>
  <c r="HX98" i="30"/>
  <c r="HX90" i="30"/>
  <c r="HX78" i="30"/>
  <c r="HX27" i="30" s="1"/>
  <c r="HY10" i="30" s="1"/>
  <c r="HX99" i="30"/>
  <c r="HX72" i="30" s="1"/>
  <c r="HX21" i="30" s="1"/>
  <c r="HY4" i="30" s="1"/>
  <c r="HX82" i="30" l="1"/>
  <c r="HX31" i="30" s="1"/>
  <c r="HY14" i="30" s="1"/>
  <c r="HY99" i="30" s="1"/>
  <c r="HY72" i="30" s="1"/>
  <c r="HY21" i="30" s="1"/>
  <c r="HZ4" i="30" s="1"/>
  <c r="AE180" i="30" s="1"/>
  <c r="HX73" i="30"/>
  <c r="HX22" i="30" s="1"/>
  <c r="HY5" i="30" s="1"/>
  <c r="HY90" i="30" s="1"/>
  <c r="HX74" i="30"/>
  <c r="HX23" i="30" s="1"/>
  <c r="HY6" i="30" s="1"/>
  <c r="HX81" i="30"/>
  <c r="HX30" i="30" s="1"/>
  <c r="HY13" i="30" s="1"/>
  <c r="HX75" i="30"/>
  <c r="HX24" i="30" s="1"/>
  <c r="HY7" i="30" s="1"/>
  <c r="HX71" i="30"/>
  <c r="HX20" i="30" s="1"/>
  <c r="HY3" i="30" s="1"/>
  <c r="HY89" i="30"/>
  <c r="HY95" i="30"/>
  <c r="HX103" i="30"/>
  <c r="HX80" i="30" s="1"/>
  <c r="HX29" i="30" s="1"/>
  <c r="HY12" i="30" s="1"/>
  <c r="HX86" i="30"/>
  <c r="HX35" i="30" s="1"/>
  <c r="HY18" i="30" s="1"/>
  <c r="HY103" i="30" l="1"/>
  <c r="HY92" i="30"/>
  <c r="HY74" i="30" s="1"/>
  <c r="HY23" i="30" s="1"/>
  <c r="HZ6" i="30" s="1"/>
  <c r="AE190" i="30" s="1"/>
  <c r="HY97" i="30"/>
  <c r="HZ89" i="30"/>
  <c r="HY78" i="30"/>
  <c r="HY27" i="30" s="1"/>
  <c r="HZ10" i="30" s="1"/>
  <c r="AE210" i="30" s="1"/>
  <c r="HY98" i="30"/>
  <c r="HY73" i="30" s="1"/>
  <c r="HY22" i="30" s="1"/>
  <c r="HZ5" i="30" s="1"/>
  <c r="AE185" i="30" s="1"/>
  <c r="HY88" i="30"/>
  <c r="HY91" i="30"/>
  <c r="HY81" i="30"/>
  <c r="HY30" i="30" s="1"/>
  <c r="HZ13" i="30" s="1"/>
  <c r="AE225" i="30" s="1"/>
  <c r="HY82" i="30" l="1"/>
  <c r="HY31" i="30" s="1"/>
  <c r="HZ14" i="30" s="1"/>
  <c r="AE230" i="30" s="1"/>
  <c r="HZ90" i="30"/>
  <c r="HZ98" i="30"/>
  <c r="HZ91" i="30"/>
  <c r="HY80" i="30"/>
  <c r="HY29" i="30" s="1"/>
  <c r="HZ12" i="30" s="1"/>
  <c r="AE220" i="30" s="1"/>
  <c r="HY75" i="30"/>
  <c r="HY24" i="30" s="1"/>
  <c r="HZ7" i="30" s="1"/>
  <c r="AE195" i="30" s="1"/>
  <c r="HY71" i="30"/>
  <c r="HY20" i="30" s="1"/>
  <c r="HZ3" i="30" s="1"/>
  <c r="AE175" i="30" s="1"/>
  <c r="HZ95" i="30"/>
  <c r="HY86" i="30"/>
  <c r="HY35" i="30" s="1"/>
  <c r="HZ18" i="30" s="1"/>
  <c r="AE250" i="30" s="1"/>
  <c r="HZ78" i="30"/>
  <c r="HZ27" i="30" s="1"/>
  <c r="IA10" i="30" s="1"/>
  <c r="HZ99" i="30" l="1"/>
  <c r="HZ72" i="30" s="1"/>
  <c r="HZ21" i="30" s="1"/>
  <c r="IA4" i="30" s="1"/>
  <c r="IA89" i="30" s="1"/>
  <c r="HZ82" i="30"/>
  <c r="HZ31" i="30" s="1"/>
  <c r="IA14" i="30" s="1"/>
  <c r="IA99" i="30" s="1"/>
  <c r="IA72" i="30" s="1"/>
  <c r="HZ88" i="30"/>
  <c r="IA95" i="30"/>
  <c r="HZ92" i="30"/>
  <c r="HZ103" i="30"/>
  <c r="HZ97" i="30"/>
  <c r="HZ71" i="30" s="1"/>
  <c r="HZ20" i="30" s="1"/>
  <c r="IA3" i="30" s="1"/>
  <c r="HZ81" i="30"/>
  <c r="HZ30" i="30" s="1"/>
  <c r="IA13" i="30" s="1"/>
  <c r="IA21" i="30" l="1"/>
  <c r="IB4" i="30" s="1"/>
  <c r="IB89" i="30" s="1"/>
  <c r="HZ74" i="30"/>
  <c r="HZ23" i="30" s="1"/>
  <c r="IA6" i="30" s="1"/>
  <c r="IA91" i="30" s="1"/>
  <c r="HZ73" i="30"/>
  <c r="HZ22" i="30" s="1"/>
  <c r="IA5" i="30" s="1"/>
  <c r="IA90" i="30" s="1"/>
  <c r="IA81" i="30" s="1"/>
  <c r="IA30" i="30" s="1"/>
  <c r="IB13" i="30" s="1"/>
  <c r="HZ86" i="30"/>
  <c r="HZ35" i="30" s="1"/>
  <c r="IA18" i="30" s="1"/>
  <c r="IA103" i="30" s="1"/>
  <c r="IA88" i="30"/>
  <c r="IA98" i="30"/>
  <c r="IA73" i="30" s="1"/>
  <c r="HZ80" i="30"/>
  <c r="HZ29" i="30" s="1"/>
  <c r="IA12" i="30" s="1"/>
  <c r="HZ75" i="30"/>
  <c r="HZ24" i="30" s="1"/>
  <c r="IA7" i="30" s="1"/>
  <c r="IA78" i="30"/>
  <c r="IA27" i="30" s="1"/>
  <c r="IB10" i="30" s="1"/>
  <c r="IA22" i="30" l="1"/>
  <c r="IB5" i="30" s="1"/>
  <c r="IB90" i="30" s="1"/>
  <c r="IA82" i="30"/>
  <c r="IA31" i="30" s="1"/>
  <c r="IB14" i="30" s="1"/>
  <c r="IB99" i="30" s="1"/>
  <c r="IB72" i="30" s="1"/>
  <c r="IB21" i="30" s="1"/>
  <c r="IC4" i="30" s="1"/>
  <c r="IB98" i="30"/>
  <c r="IB78" i="30"/>
  <c r="IB27" i="30" s="1"/>
  <c r="IC10" i="30" s="1"/>
  <c r="IA75" i="30"/>
  <c r="IA24" i="30" s="1"/>
  <c r="IB7" i="30" s="1"/>
  <c r="IA80" i="30"/>
  <c r="IA29" i="30" s="1"/>
  <c r="IB12" i="30" s="1"/>
  <c r="IB95" i="30"/>
  <c r="IA92" i="30"/>
  <c r="IA74" i="30" s="1"/>
  <c r="IA23" i="30" s="1"/>
  <c r="IB6" i="30" s="1"/>
  <c r="IA97" i="30"/>
  <c r="IA71" i="30" s="1"/>
  <c r="IA20" i="30" s="1"/>
  <c r="IB3" i="30" s="1"/>
  <c r="IC89" i="30" l="1"/>
  <c r="IC95" i="30"/>
  <c r="IB81" i="30"/>
  <c r="IB30" i="30" s="1"/>
  <c r="IC13" i="30" s="1"/>
  <c r="IA86" i="30"/>
  <c r="IA35" i="30" s="1"/>
  <c r="IB18" i="30" s="1"/>
  <c r="IB73" i="30"/>
  <c r="IB22" i="30" s="1"/>
  <c r="IC5" i="30" s="1"/>
  <c r="IB88" i="30"/>
  <c r="IB92" i="30"/>
  <c r="IB74" i="30" s="1"/>
  <c r="IB23" i="30" s="1"/>
  <c r="IC6" i="30" s="1"/>
  <c r="IB97" i="30"/>
  <c r="IB71" i="30" s="1"/>
  <c r="IB20" i="30" s="1"/>
  <c r="IC3" i="30" s="1"/>
  <c r="IB91" i="30"/>
  <c r="IC88" i="30" l="1"/>
  <c r="IC91" i="30"/>
  <c r="IB103" i="30"/>
  <c r="IB80" i="30" s="1"/>
  <c r="IB29" i="30" s="1"/>
  <c r="IC12" i="30" s="1"/>
  <c r="IC90" i="30"/>
  <c r="IC98" i="30"/>
  <c r="IB86" i="30"/>
  <c r="IB35" i="30" s="1"/>
  <c r="IC18" i="30" s="1"/>
  <c r="IB82" i="30"/>
  <c r="IB31" i="30" s="1"/>
  <c r="IC14" i="30" s="1"/>
  <c r="IB75" i="30"/>
  <c r="IB24" i="30" s="1"/>
  <c r="IC7" i="30" s="1"/>
  <c r="IC78" i="30"/>
  <c r="IC27" i="30" s="1"/>
  <c r="ID10" i="30" s="1"/>
  <c r="IC103" i="30" l="1"/>
  <c r="IC80" i="30" s="1"/>
  <c r="IC29" i="30" s="1"/>
  <c r="ID12" i="30" s="1"/>
  <c r="ID95" i="30"/>
  <c r="IC81" i="30"/>
  <c r="IC30" i="30" s="1"/>
  <c r="ID13" i="30" s="1"/>
  <c r="IC97" i="30"/>
  <c r="IC71" i="30" s="1"/>
  <c r="IC20" i="30" s="1"/>
  <c r="ID3" i="30" s="1"/>
  <c r="IC99" i="30"/>
  <c r="IC82" i="30"/>
  <c r="IC31" i="30" s="1"/>
  <c r="ID14" i="30" s="1"/>
  <c r="IC92" i="30"/>
  <c r="IC75" i="30"/>
  <c r="IC24" i="30" s="1"/>
  <c r="ID7" i="30" s="1"/>
  <c r="IC74" i="30" l="1"/>
  <c r="IC23" i="30" s="1"/>
  <c r="ID6" i="30" s="1"/>
  <c r="ID91" i="30" s="1"/>
  <c r="ID97" i="30"/>
  <c r="ID99" i="30"/>
  <c r="ID72" i="30" s="1"/>
  <c r="ID92" i="30"/>
  <c r="IC86" i="30"/>
  <c r="IC35" i="30" s="1"/>
  <c r="ID18" i="30" s="1"/>
  <c r="IC72" i="30"/>
  <c r="IC21" i="30" s="1"/>
  <c r="ID4" i="30" s="1"/>
  <c r="IC73" i="30"/>
  <c r="IC22" i="30" s="1"/>
  <c r="ID5" i="30" s="1"/>
  <c r="ID88" i="30"/>
  <c r="ID98" i="30"/>
  <c r="ID90" i="30" l="1"/>
  <c r="ID89" i="30"/>
  <c r="ID103" i="30"/>
  <c r="ID21" i="30"/>
  <c r="IE4" i="30" s="1"/>
  <c r="ID86" i="30"/>
  <c r="ID35" i="30" s="1"/>
  <c r="IE18" i="30" s="1"/>
  <c r="IE89" i="30" l="1"/>
  <c r="IE103" i="30"/>
  <c r="ID78" i="30"/>
  <c r="ID27" i="30" s="1"/>
  <c r="IE10" i="30" s="1"/>
  <c r="ID82" i="30"/>
  <c r="ID31" i="30" s="1"/>
  <c r="IE14" i="30" s="1"/>
  <c r="ID73" i="30"/>
  <c r="ID22" i="30" s="1"/>
  <c r="IE5" i="30" s="1"/>
  <c r="ID71" i="30"/>
  <c r="ID20" i="30" s="1"/>
  <c r="IE3" i="30" s="1"/>
  <c r="ID80" i="30"/>
  <c r="ID29" i="30" s="1"/>
  <c r="IE12" i="30" s="1"/>
  <c r="ID74" i="30"/>
  <c r="ID23" i="30" s="1"/>
  <c r="IE6" i="30" s="1"/>
  <c r="ID81" i="30"/>
  <c r="ID30" i="30" s="1"/>
  <c r="IE13" i="30" s="1"/>
  <c r="ID75" i="30"/>
  <c r="ID24" i="30" s="1"/>
  <c r="IE7" i="30" s="1"/>
  <c r="IE92" i="30" l="1"/>
  <c r="IE98" i="30"/>
  <c r="IE90" i="30"/>
  <c r="IE88" i="30"/>
  <c r="IE91" i="30"/>
  <c r="IE99" i="30"/>
  <c r="IE72" i="30" s="1"/>
  <c r="IE21" i="30" s="1"/>
  <c r="IF4" i="30" s="1"/>
  <c r="IE78" i="30"/>
  <c r="IE27" i="30" s="1"/>
  <c r="IF10" i="30" s="1"/>
  <c r="IE97" i="30"/>
  <c r="IE95" i="30"/>
  <c r="IE73" i="30" l="1"/>
  <c r="IE22" i="30" s="1"/>
  <c r="IF5" i="30" s="1"/>
  <c r="IF90" i="30" s="1"/>
  <c r="IE82" i="30"/>
  <c r="IE31" i="30" s="1"/>
  <c r="IF14" i="30" s="1"/>
  <c r="IF99" i="30" s="1"/>
  <c r="IF72" i="30" s="1"/>
  <c r="IF21" i="30" s="1"/>
  <c r="IG4" i="30" s="1"/>
  <c r="IE71" i="30"/>
  <c r="IE20" i="30" s="1"/>
  <c r="IF3" i="30" s="1"/>
  <c r="IF88" i="30" s="1"/>
  <c r="IF89" i="30"/>
  <c r="IE86" i="30"/>
  <c r="IE35" i="30" s="1"/>
  <c r="IF18" i="30" s="1"/>
  <c r="IE81" i="30"/>
  <c r="IE30" i="30" s="1"/>
  <c r="IF13" i="30" s="1"/>
  <c r="IE74" i="30"/>
  <c r="IE23" i="30" s="1"/>
  <c r="IF6" i="30" s="1"/>
  <c r="IF95" i="30"/>
  <c r="IE75" i="30"/>
  <c r="IE24" i="30" s="1"/>
  <c r="IF7" i="30" s="1"/>
  <c r="IE80" i="30"/>
  <c r="IE29" i="30" s="1"/>
  <c r="IF12" i="30" s="1"/>
  <c r="IG89" i="30" l="1"/>
  <c r="IF91" i="30"/>
  <c r="IF75" i="30" s="1"/>
  <c r="IF24" i="30" s="1"/>
  <c r="IG7" i="30" s="1"/>
  <c r="IF78" i="30"/>
  <c r="IF27" i="30" s="1"/>
  <c r="IG10" i="30" s="1"/>
  <c r="IF92" i="30"/>
  <c r="IF74" i="30" s="1"/>
  <c r="IF23" i="30" s="1"/>
  <c r="IG6" i="30" s="1"/>
  <c r="IF98" i="30"/>
  <c r="IF97" i="30"/>
  <c r="IF103" i="30"/>
  <c r="IF80" i="30" s="1"/>
  <c r="IF29" i="30" s="1"/>
  <c r="IG12" i="30" s="1"/>
  <c r="IF81" i="30"/>
  <c r="IF30" i="30" s="1"/>
  <c r="IG13" i="30" s="1"/>
  <c r="IF71" i="30" l="1"/>
  <c r="IF20" i="30" s="1"/>
  <c r="IG3" i="30" s="1"/>
  <c r="IG88" i="30" s="1"/>
  <c r="IF82" i="30"/>
  <c r="IF31" i="30" s="1"/>
  <c r="IG14" i="30" s="1"/>
  <c r="IG99" i="30" s="1"/>
  <c r="IG72" i="30" s="1"/>
  <c r="IG21" i="30" s="1"/>
  <c r="IH4" i="30" s="1"/>
  <c r="AF180" i="30" s="1"/>
  <c r="IG91" i="30"/>
  <c r="IG92" i="30"/>
  <c r="IG97" i="30"/>
  <c r="IF73" i="30"/>
  <c r="IF22" i="30" s="1"/>
  <c r="IG5" i="30" s="1"/>
  <c r="IF86" i="30"/>
  <c r="IF35" i="30" s="1"/>
  <c r="IG18" i="30" s="1"/>
  <c r="IG98" i="30"/>
  <c r="IG95" i="30"/>
  <c r="IG78" i="30"/>
  <c r="IG27" i="30" s="1"/>
  <c r="IH10" i="30" s="1"/>
  <c r="AF210" i="30" s="1"/>
  <c r="IG73" i="30" l="1"/>
  <c r="IG22" i="30" s="1"/>
  <c r="IH5" i="30" s="1"/>
  <c r="AF185" i="30" s="1"/>
  <c r="IG82" i="30"/>
  <c r="IG31" i="30" s="1"/>
  <c r="IH14" i="30" s="1"/>
  <c r="AF230" i="30" s="1"/>
  <c r="IH89" i="30"/>
  <c r="IH95" i="30"/>
  <c r="IG90" i="30"/>
  <c r="IG75" i="30" s="1"/>
  <c r="IG24" i="30" s="1"/>
  <c r="IH7" i="30" s="1"/>
  <c r="AF195" i="30" s="1"/>
  <c r="IG103" i="30"/>
  <c r="IG86" i="30"/>
  <c r="IG35" i="30" s="1"/>
  <c r="IH18" i="30" s="1"/>
  <c r="AF250" i="30" s="1"/>
  <c r="IH99" i="30" l="1"/>
  <c r="IH72" i="30" s="1"/>
  <c r="IH21" i="30" s="1"/>
  <c r="II4" i="30" s="1"/>
  <c r="II89" i="30" s="1"/>
  <c r="IG80" i="30"/>
  <c r="IG29" i="30" s="1"/>
  <c r="IH12" i="30" s="1"/>
  <c r="AF220" i="30" s="1"/>
  <c r="IH103" i="30"/>
  <c r="IH92" i="30"/>
  <c r="IH90" i="30"/>
  <c r="IG74" i="30"/>
  <c r="IG23" i="30" s="1"/>
  <c r="IH6" i="30" s="1"/>
  <c r="AF190" i="30" s="1"/>
  <c r="IG81" i="30"/>
  <c r="IG30" i="30" s="1"/>
  <c r="IH13" i="30" s="1"/>
  <c r="AF225" i="30" s="1"/>
  <c r="IG71" i="30"/>
  <c r="IG20" i="30" s="1"/>
  <c r="IH3" i="30" s="1"/>
  <c r="AF175" i="30" s="1"/>
  <c r="IH78" i="30"/>
  <c r="IH27" i="30" s="1"/>
  <c r="II10" i="30" s="1"/>
  <c r="IH97" i="30" l="1"/>
  <c r="IH91" i="30"/>
  <c r="II78" i="30"/>
  <c r="II27" i="30" s="1"/>
  <c r="IJ10" i="30" s="1"/>
  <c r="IH74" i="30"/>
  <c r="IH23" i="30" s="1"/>
  <c r="II6" i="30" s="1"/>
  <c r="IH81" i="30"/>
  <c r="IH30" i="30" s="1"/>
  <c r="II13" i="30" s="1"/>
  <c r="II95" i="30"/>
  <c r="IH98" i="30"/>
  <c r="IH73" i="30" s="1"/>
  <c r="IH22" i="30" s="1"/>
  <c r="II5" i="30" s="1"/>
  <c r="IH88" i="30"/>
  <c r="II91" i="30" l="1"/>
  <c r="IJ95" i="30"/>
  <c r="IH86" i="30"/>
  <c r="IH35" i="30" s="1"/>
  <c r="II18" i="30" s="1"/>
  <c r="IH82" i="30"/>
  <c r="IH31" i="30" s="1"/>
  <c r="II14" i="30" s="1"/>
  <c r="IH75" i="30"/>
  <c r="IH24" i="30" s="1"/>
  <c r="II7" i="30" s="1"/>
  <c r="IH80" i="30"/>
  <c r="IH29" i="30" s="1"/>
  <c r="II12" i="30" s="1"/>
  <c r="II98" i="30"/>
  <c r="II90" i="30"/>
  <c r="IH71" i="30"/>
  <c r="IH20" i="30" s="1"/>
  <c r="II3" i="30" s="1"/>
  <c r="II92" i="30" l="1"/>
  <c r="II97" i="30"/>
  <c r="II81" i="30"/>
  <c r="II30" i="30" s="1"/>
  <c r="IJ13" i="30" s="1"/>
  <c r="II99" i="30"/>
  <c r="II72" i="30" s="1"/>
  <c r="II21" i="30" s="1"/>
  <c r="IJ4" i="30" s="1"/>
  <c r="II88" i="30"/>
  <c r="II103" i="30"/>
  <c r="II82" i="30"/>
  <c r="II31" i="30" s="1"/>
  <c r="IJ14" i="30" s="1"/>
  <c r="II73" i="30" l="1"/>
  <c r="II22" i="30" s="1"/>
  <c r="IJ5" i="30" s="1"/>
  <c r="IJ90" i="30" s="1"/>
  <c r="II86" i="30"/>
  <c r="II35" i="30" s="1"/>
  <c r="IJ18" i="30" s="1"/>
  <c r="IJ103" i="30" s="1"/>
  <c r="II71" i="30"/>
  <c r="II20" i="30" s="1"/>
  <c r="IJ3" i="30" s="1"/>
  <c r="IJ88" i="30" s="1"/>
  <c r="IJ99" i="30"/>
  <c r="IJ72" i="30" s="1"/>
  <c r="IJ21" i="30" s="1"/>
  <c r="IK4" i="30" s="1"/>
  <c r="II75" i="30"/>
  <c r="II24" i="30" s="1"/>
  <c r="IJ7" i="30" s="1"/>
  <c r="II80" i="30"/>
  <c r="II29" i="30" s="1"/>
  <c r="IJ12" i="30" s="1"/>
  <c r="II74" i="30"/>
  <c r="II23" i="30" s="1"/>
  <c r="IJ6" i="30" s="1"/>
  <c r="IJ89" i="30"/>
  <c r="IJ98" i="30"/>
  <c r="IK89" i="30" l="1"/>
  <c r="IJ91" i="30"/>
  <c r="IJ75" i="30" s="1"/>
  <c r="IJ24" i="30" s="1"/>
  <c r="IK7" i="30" s="1"/>
  <c r="IJ81" i="30"/>
  <c r="IJ30" i="30" s="1"/>
  <c r="IK13" i="30" s="1"/>
  <c r="IJ97" i="30"/>
  <c r="IJ71" i="30" s="1"/>
  <c r="IJ20" i="30" s="1"/>
  <c r="IK3" i="30" s="1"/>
  <c r="IJ78" i="30"/>
  <c r="IJ27" i="30" s="1"/>
  <c r="IK10" i="30" s="1"/>
  <c r="IJ73" i="30"/>
  <c r="IJ22" i="30" s="1"/>
  <c r="IK5" i="30" s="1"/>
  <c r="IJ92" i="30"/>
  <c r="IJ74" i="30" s="1"/>
  <c r="IJ23" i="30" s="1"/>
  <c r="IK6" i="30" s="1"/>
  <c r="IJ80" i="30"/>
  <c r="IJ29" i="30" s="1"/>
  <c r="IK12" i="30" s="1"/>
  <c r="IJ82" i="30" l="1"/>
  <c r="IJ31" i="30" s="1"/>
  <c r="IK14" i="30" s="1"/>
  <c r="IK99" i="30" s="1"/>
  <c r="IK72" i="30" s="1"/>
  <c r="IK21" i="30" s="1"/>
  <c r="IL4" i="30" s="1"/>
  <c r="IK88" i="30"/>
  <c r="IK91" i="30"/>
  <c r="IK97" i="30"/>
  <c r="IK92" i="30"/>
  <c r="IJ86" i="30"/>
  <c r="IJ35" i="30" s="1"/>
  <c r="IK18" i="30" s="1"/>
  <c r="IK98" i="30"/>
  <c r="IK90" i="30"/>
  <c r="IK95" i="30"/>
  <c r="IK78" i="30"/>
  <c r="IK27" i="30" s="1"/>
  <c r="IL10" i="30" s="1"/>
  <c r="IK73" i="30" l="1"/>
  <c r="IK22" i="30" s="1"/>
  <c r="IL5" i="30" s="1"/>
  <c r="IL90" i="30" s="1"/>
  <c r="IK82" i="30"/>
  <c r="IK31" i="30" s="1"/>
  <c r="IL14" i="30" s="1"/>
  <c r="IL99" i="30" s="1"/>
  <c r="IL72" i="30" s="1"/>
  <c r="IL21" i="30" s="1"/>
  <c r="IM4" i="30" s="1"/>
  <c r="IL95" i="30"/>
  <c r="IK103" i="30"/>
  <c r="IK80" i="30" s="1"/>
  <c r="IK29" i="30" s="1"/>
  <c r="IL12" i="30" s="1"/>
  <c r="IK86" i="30"/>
  <c r="IK35" i="30" s="1"/>
  <c r="IL18" i="30" s="1"/>
  <c r="IK81" i="30"/>
  <c r="IK30" i="30" s="1"/>
  <c r="IL13" i="30" s="1"/>
  <c r="IK74" i="30"/>
  <c r="IK23" i="30" s="1"/>
  <c r="IL6" i="30" s="1"/>
  <c r="IL89" i="30"/>
  <c r="IK75" i="30"/>
  <c r="IK24" i="30" s="1"/>
  <c r="IL7" i="30" s="1"/>
  <c r="IK71" i="30"/>
  <c r="IK20" i="30" s="1"/>
  <c r="IL3" i="30" s="1"/>
  <c r="IL97" i="30" l="1"/>
  <c r="IL103" i="30"/>
  <c r="IL88" i="30"/>
  <c r="IL91" i="30"/>
  <c r="IL92" i="30"/>
  <c r="IL74" i="30" s="1"/>
  <c r="IL23" i="30" s="1"/>
  <c r="IM6" i="30" s="1"/>
  <c r="IL98" i="30"/>
  <c r="IM89" i="30"/>
  <c r="IL78" i="30"/>
  <c r="IL27" i="30" s="1"/>
  <c r="IM10" i="30" s="1"/>
  <c r="IL81" i="30"/>
  <c r="IL30" i="30" s="1"/>
  <c r="IM13" i="30" s="1"/>
  <c r="IL71" i="30" l="1"/>
  <c r="IL20" i="30" s="1"/>
  <c r="IM3" i="30" s="1"/>
  <c r="IM88" i="30" s="1"/>
  <c r="IL82" i="30"/>
  <c r="IL31" i="30" s="1"/>
  <c r="IM14" i="30" s="1"/>
  <c r="IM99" i="30" s="1"/>
  <c r="IM98" i="30"/>
  <c r="IM91" i="30"/>
  <c r="IL86" i="30"/>
  <c r="IL35" i="30" s="1"/>
  <c r="IM18" i="30" s="1"/>
  <c r="IM95" i="30"/>
  <c r="IL73" i="30"/>
  <c r="IL22" i="30" s="1"/>
  <c r="IM5" i="30" s="1"/>
  <c r="IM78" i="30"/>
  <c r="IM27" i="30" s="1"/>
  <c r="IN10" i="30" s="1"/>
  <c r="IL80" i="30"/>
  <c r="IL29" i="30" s="1"/>
  <c r="IM12" i="30" s="1"/>
  <c r="IL75" i="30"/>
  <c r="IL24" i="30" s="1"/>
  <c r="IM7" i="30" s="1"/>
  <c r="IM72" i="30" l="1"/>
  <c r="IM21" i="30" s="1"/>
  <c r="IN4" i="30" s="1"/>
  <c r="IN89" i="30" s="1"/>
  <c r="IM73" i="30"/>
  <c r="IM22" i="30" s="1"/>
  <c r="IN5" i="30" s="1"/>
  <c r="IN95" i="30"/>
  <c r="IM90" i="30"/>
  <c r="IM75" i="30" s="1"/>
  <c r="IM24" i="30" s="1"/>
  <c r="IN7" i="30" s="1"/>
  <c r="IM92" i="30"/>
  <c r="IM82" i="30"/>
  <c r="IM31" i="30" s="1"/>
  <c r="IN14" i="30" s="1"/>
  <c r="IM97" i="30"/>
  <c r="IM103" i="30"/>
  <c r="IM80" i="30" l="1"/>
  <c r="IM29" i="30" s="1"/>
  <c r="IN12" i="30" s="1"/>
  <c r="IN97" i="30" s="1"/>
  <c r="IM86" i="30"/>
  <c r="IM35" i="30" s="1"/>
  <c r="IN18" i="30" s="1"/>
  <c r="IN103" i="30" s="1"/>
  <c r="IN92" i="30"/>
  <c r="IN90" i="30"/>
  <c r="IN99" i="30"/>
  <c r="IN72" i="30" s="1"/>
  <c r="IN21" i="30" s="1"/>
  <c r="IO4" i="30" s="1"/>
  <c r="IM74" i="30"/>
  <c r="IM23" i="30" s="1"/>
  <c r="IN6" i="30" s="1"/>
  <c r="IM81" i="30"/>
  <c r="IM30" i="30" s="1"/>
  <c r="IN13" i="30" s="1"/>
  <c r="IM71" i="30"/>
  <c r="IM20" i="30" s="1"/>
  <c r="IN3" i="30" s="1"/>
  <c r="IN78" i="30"/>
  <c r="IN27" i="30" s="1"/>
  <c r="IO10" i="30" s="1"/>
  <c r="IN91" i="30" l="1"/>
  <c r="IO95" i="30"/>
  <c r="IN98" i="30"/>
  <c r="IN73" i="30" s="1"/>
  <c r="IN22" i="30" s="1"/>
  <c r="IO5" i="30" s="1"/>
  <c r="IN74" i="30"/>
  <c r="IN23" i="30" s="1"/>
  <c r="IO6" i="30" s="1"/>
  <c r="IN81" i="30"/>
  <c r="IN30" i="30" s="1"/>
  <c r="IO13" i="30" s="1"/>
  <c r="IN88" i="30"/>
  <c r="IO89" i="30"/>
  <c r="IN71" i="30" l="1"/>
  <c r="IN20" i="30" s="1"/>
  <c r="IO3" i="30" s="1"/>
  <c r="IO88" i="30" s="1"/>
  <c r="IO91" i="30"/>
  <c r="IO98" i="30"/>
  <c r="IN80" i="30"/>
  <c r="IN29" i="30" s="1"/>
  <c r="IO12" i="30" s="1"/>
  <c r="IN75" i="30"/>
  <c r="IN24" i="30" s="1"/>
  <c r="IO7" i="30" s="1"/>
  <c r="IO90" i="30"/>
  <c r="IO78" i="30"/>
  <c r="IO27" i="30" s="1"/>
  <c r="IP10" i="30" s="1"/>
  <c r="IN86" i="30"/>
  <c r="IN35" i="30" s="1"/>
  <c r="IO18" i="30" s="1"/>
  <c r="IN82" i="30"/>
  <c r="IN31" i="30" s="1"/>
  <c r="IO14" i="30" s="1"/>
  <c r="IO82" i="30" l="1"/>
  <c r="IO31" i="30" s="1"/>
  <c r="IP14" i="30" s="1"/>
  <c r="IO81" i="30"/>
  <c r="IO30" i="30" s="1"/>
  <c r="IP13" i="30" s="1"/>
  <c r="IO99" i="30"/>
  <c r="IP95" i="30"/>
  <c r="IO92" i="30"/>
  <c r="IO103" i="30"/>
  <c r="IO80" i="30" s="1"/>
  <c r="IO29" i="30" s="1"/>
  <c r="IP12" i="30" s="1"/>
  <c r="IO75" i="30"/>
  <c r="IO24" i="30" s="1"/>
  <c r="IP7" i="30" s="1"/>
  <c r="IO97" i="30"/>
  <c r="IO71" i="30" s="1"/>
  <c r="IO20" i="30" s="1"/>
  <c r="IP3" i="30" s="1"/>
  <c r="IO74" i="30" l="1"/>
  <c r="IO23" i="30" s="1"/>
  <c r="IP6" i="30" s="1"/>
  <c r="IP91" i="30" s="1"/>
  <c r="IO86" i="30"/>
  <c r="IO35" i="30" s="1"/>
  <c r="IP18" i="30" s="1"/>
  <c r="IP103" i="30" s="1"/>
  <c r="IP97" i="30"/>
  <c r="IP88" i="30"/>
  <c r="IP92" i="30"/>
  <c r="IP98" i="30"/>
  <c r="IO72" i="30"/>
  <c r="IO21" i="30" s="1"/>
  <c r="IP4" i="30" s="1"/>
  <c r="IO73" i="30"/>
  <c r="IO22" i="30" s="1"/>
  <c r="IP5" i="30" s="1"/>
  <c r="IP99" i="30"/>
  <c r="IP72" i="30" s="1"/>
  <c r="IP21" i="30" l="1"/>
  <c r="IQ4" i="30" s="1"/>
  <c r="IP86" i="30"/>
  <c r="IP35" i="30" s="1"/>
  <c r="IQ18" i="30" s="1"/>
  <c r="IP90" i="30"/>
  <c r="IP89" i="30"/>
  <c r="IQ103" i="30" l="1"/>
  <c r="IQ89" i="30"/>
  <c r="IP71" i="30"/>
  <c r="IP20" i="30" s="1"/>
  <c r="IQ3" i="30" s="1"/>
  <c r="IP73" i="30"/>
  <c r="IP22" i="30" s="1"/>
  <c r="IQ5" i="30" s="1"/>
  <c r="IP78" i="30"/>
  <c r="IP27" i="30" s="1"/>
  <c r="IQ10" i="30" s="1"/>
  <c r="IP82" i="30"/>
  <c r="IP31" i="30" s="1"/>
  <c r="IQ14" i="30" s="1"/>
  <c r="IP75" i="30"/>
  <c r="IP24" i="30" s="1"/>
  <c r="IQ7" i="30" s="1"/>
  <c r="IP81" i="30"/>
  <c r="IP30" i="30" s="1"/>
  <c r="IQ13" i="30" s="1"/>
  <c r="IP74" i="30"/>
  <c r="IP23" i="30" s="1"/>
  <c r="IQ6" i="30" s="1"/>
  <c r="IP80" i="30"/>
  <c r="IP29" i="30" s="1"/>
  <c r="IQ12" i="30" s="1"/>
  <c r="IQ99" i="30" l="1"/>
  <c r="IQ72" i="30" s="1"/>
  <c r="IQ21" i="30" s="1"/>
  <c r="IR4" i="30" s="1"/>
  <c r="IQ91" i="30"/>
  <c r="IQ95" i="30"/>
  <c r="IQ97" i="30"/>
  <c r="IQ78" i="30"/>
  <c r="IQ27" i="30" s="1"/>
  <c r="IR10" i="30" s="1"/>
  <c r="IQ98" i="30"/>
  <c r="IQ90" i="30"/>
  <c r="IQ92" i="30"/>
  <c r="IQ88" i="30"/>
  <c r="IQ73" i="30" l="1"/>
  <c r="IQ22" i="30" s="1"/>
  <c r="IR5" i="30" s="1"/>
  <c r="IR90" i="30" s="1"/>
  <c r="IQ71" i="30"/>
  <c r="IQ20" i="30" s="1"/>
  <c r="IR3" i="30" s="1"/>
  <c r="IR88" i="30" s="1"/>
  <c r="IR95" i="30"/>
  <c r="IQ86" i="30"/>
  <c r="IQ35" i="30" s="1"/>
  <c r="IR18" i="30" s="1"/>
  <c r="IQ75" i="30"/>
  <c r="IQ24" i="30" s="1"/>
  <c r="IR7" i="30" s="1"/>
  <c r="IQ80" i="30"/>
  <c r="IQ29" i="30" s="1"/>
  <c r="IR12" i="30" s="1"/>
  <c r="IR89" i="30"/>
  <c r="IQ74" i="30"/>
  <c r="IQ23" i="30" s="1"/>
  <c r="IR6" i="30" s="1"/>
  <c r="IQ81" i="30"/>
  <c r="IQ30" i="30" s="1"/>
  <c r="IR13" i="30" s="1"/>
  <c r="IQ82" i="30"/>
  <c r="IQ31" i="30" s="1"/>
  <c r="IR14" i="30" s="1"/>
  <c r="IR92" i="30" l="1"/>
  <c r="IR78" i="30"/>
  <c r="IR27" i="30" s="1"/>
  <c r="IS10" i="30" s="1"/>
  <c r="IR103" i="30"/>
  <c r="IR80" i="30" s="1"/>
  <c r="IR29" i="30" s="1"/>
  <c r="IS12" i="30" s="1"/>
  <c r="IR91" i="30"/>
  <c r="IR75" i="30" s="1"/>
  <c r="IR24" i="30" s="1"/>
  <c r="IS7" i="30" s="1"/>
  <c r="IR99" i="30"/>
  <c r="IR72" i="30" s="1"/>
  <c r="IR21" i="30" s="1"/>
  <c r="IS4" i="30" s="1"/>
  <c r="IR81" i="30"/>
  <c r="IR30" i="30" s="1"/>
  <c r="IS13" i="30" s="1"/>
  <c r="IR98" i="30"/>
  <c r="IR97" i="30"/>
  <c r="IR74" i="30" l="1"/>
  <c r="IR23" i="30" s="1"/>
  <c r="IS6" i="30" s="1"/>
  <c r="IS91" i="30" s="1"/>
  <c r="IR71" i="30"/>
  <c r="IR20" i="30" s="1"/>
  <c r="IS3" i="30" s="1"/>
  <c r="IS88" i="30" s="1"/>
  <c r="IR73" i="30"/>
  <c r="IR22" i="30" s="1"/>
  <c r="IS5" i="30" s="1"/>
  <c r="IS90" i="30" s="1"/>
  <c r="IR82" i="30"/>
  <c r="IR31" i="30" s="1"/>
  <c r="IS14" i="30" s="1"/>
  <c r="IS99" i="30" s="1"/>
  <c r="IS72" i="30" s="1"/>
  <c r="IS21" i="30" s="1"/>
  <c r="IT4" i="30" s="1"/>
  <c r="IS92" i="30"/>
  <c r="IS98" i="30"/>
  <c r="IS97" i="30"/>
  <c r="IS95" i="30"/>
  <c r="IS89" i="30"/>
  <c r="IR86" i="30"/>
  <c r="IR35" i="30" s="1"/>
  <c r="IS18" i="30" s="1"/>
  <c r="IS103" i="30" l="1"/>
  <c r="IS80" i="30" s="1"/>
  <c r="IS29" i="30" s="1"/>
  <c r="IT12" i="30" s="1"/>
  <c r="IS86" i="30"/>
  <c r="IS35" i="30" s="1"/>
  <c r="IT18" i="30" s="1"/>
  <c r="IT89" i="30"/>
  <c r="IS78" i="30"/>
  <c r="IS27" i="30" s="1"/>
  <c r="IT10" i="30" s="1"/>
  <c r="IS73" i="30"/>
  <c r="IS22" i="30" s="1"/>
  <c r="IT5" i="30" s="1"/>
  <c r="IS82" i="30"/>
  <c r="IS31" i="30" s="1"/>
  <c r="IT14" i="30" s="1"/>
  <c r="IS71" i="30"/>
  <c r="IS20" i="30" s="1"/>
  <c r="IT3" i="30" s="1"/>
  <c r="IS75" i="30"/>
  <c r="IS24" i="30" s="1"/>
  <c r="IT7" i="30" s="1"/>
  <c r="IS81" i="30"/>
  <c r="IS30" i="30" s="1"/>
  <c r="IT13" i="30" s="1"/>
  <c r="IS74" i="30"/>
  <c r="IS23" i="30" s="1"/>
  <c r="IT6" i="30" s="1"/>
  <c r="IT103" i="30" l="1"/>
  <c r="IT97" i="30"/>
  <c r="IT90" i="30"/>
  <c r="IT99" i="30"/>
  <c r="IT72" i="30" s="1"/>
  <c r="IT21" i="30" s="1"/>
  <c r="IU4" i="30" s="1"/>
  <c r="IT78" i="30"/>
  <c r="IT27" i="30" s="1"/>
  <c r="IU10" i="30" s="1"/>
  <c r="IT92" i="30"/>
  <c r="IT95" i="30"/>
  <c r="IT98" i="30"/>
  <c r="IT91" i="30"/>
  <c r="IT88" i="30"/>
  <c r="IT73" i="30" l="1"/>
  <c r="IT22" i="30" s="1"/>
  <c r="IU5" i="30" s="1"/>
  <c r="IU90" i="30" s="1"/>
  <c r="IT86" i="30"/>
  <c r="IT35" i="30" s="1"/>
  <c r="IU18" i="30" s="1"/>
  <c r="IU103" i="30" s="1"/>
  <c r="IT71" i="30"/>
  <c r="IT20" i="30" s="1"/>
  <c r="IU3" i="30" s="1"/>
  <c r="IU88" i="30" s="1"/>
  <c r="IU95" i="30"/>
  <c r="IU89" i="30"/>
  <c r="IT75" i="30"/>
  <c r="IT24" i="30" s="1"/>
  <c r="IU7" i="30" s="1"/>
  <c r="IT80" i="30"/>
  <c r="IT29" i="30" s="1"/>
  <c r="IU12" i="30" s="1"/>
  <c r="IT82" i="30"/>
  <c r="IT31" i="30" s="1"/>
  <c r="IU14" i="30" s="1"/>
  <c r="IT81" i="30"/>
  <c r="IT30" i="30" s="1"/>
  <c r="IU13" i="30" s="1"/>
  <c r="IT74" i="30"/>
  <c r="IT23" i="30" s="1"/>
  <c r="IU6" i="30" s="1"/>
  <c r="IU97" i="30" l="1"/>
  <c r="IU80" i="30"/>
  <c r="IU29" i="30" s="1"/>
  <c r="IV12" i="30" s="1"/>
  <c r="IV97" i="30" s="1"/>
  <c r="IU92" i="30"/>
  <c r="IU91" i="30"/>
  <c r="IU98" i="30"/>
  <c r="IU78" i="30"/>
  <c r="IU27" i="30" s="1"/>
  <c r="IV10" i="30" s="1"/>
  <c r="IV95" i="30" s="1"/>
  <c r="IU99" i="30"/>
  <c r="IU72" i="30" s="1"/>
  <c r="IU21" i="30" s="1"/>
  <c r="IV4" i="30" s="1"/>
  <c r="IV89" i="30" s="1"/>
  <c r="IU81" i="30"/>
  <c r="IU30" i="30" s="1"/>
  <c r="IV13" i="30" s="1"/>
  <c r="IV98" i="30" s="1"/>
  <c r="IU71" i="30" l="1"/>
  <c r="IU20" i="30" s="1"/>
  <c r="IV3" i="30" s="1"/>
  <c r="IV88" i="30" s="1"/>
  <c r="IU86" i="30"/>
  <c r="IU35" i="30" s="1"/>
  <c r="IV18" i="30" s="1"/>
  <c r="IV103" i="30" s="1"/>
  <c r="IU82" i="30"/>
  <c r="IU31" i="30" s="1"/>
  <c r="IV14" i="30" s="1"/>
  <c r="IV99" i="30" s="1"/>
  <c r="IV72" i="30" s="1"/>
  <c r="IV21" i="30" s="1"/>
  <c r="IU75" i="30"/>
  <c r="IU24" i="30" s="1"/>
  <c r="IV7" i="30" s="1"/>
  <c r="IV92" i="30" s="1"/>
  <c r="IV78" i="30"/>
  <c r="IV27" i="30" s="1"/>
  <c r="IU74" i="30"/>
  <c r="IU23" i="30" s="1"/>
  <c r="IV6" i="30" s="1"/>
  <c r="IV91" i="30" s="1"/>
  <c r="IU73" i="30"/>
  <c r="IU22" i="30" s="1"/>
  <c r="IV5" i="30" s="1"/>
  <c r="IV90" i="30" s="1"/>
  <c r="IV75" i="30" l="1"/>
  <c r="IV24" i="30" s="1"/>
  <c r="IV86" i="30"/>
  <c r="IV35" i="30" s="1"/>
  <c r="IV73" i="30"/>
  <c r="IV22" i="30" s="1"/>
  <c r="IV80" i="30"/>
  <c r="IV29" i="30" s="1"/>
  <c r="IV82" i="30"/>
  <c r="IV31" i="30" s="1"/>
  <c r="IV74" i="30"/>
  <c r="IV23" i="30" s="1"/>
  <c r="IV81" i="30"/>
  <c r="IV30" i="30" s="1"/>
  <c r="IV71" i="30"/>
  <c r="IV20" i="30" s="1"/>
</calcChain>
</file>

<file path=xl/sharedStrings.xml><?xml version="1.0" encoding="utf-8"?>
<sst xmlns="http://schemas.openxmlformats.org/spreadsheetml/2006/main" count="3581" uniqueCount="948">
  <si>
    <t>Country</t>
  </si>
  <si>
    <t>Country Code ISO3</t>
  </si>
  <si>
    <t>2023 SDG Index Score</t>
  </si>
  <si>
    <t>2023 SDG Index Rank</t>
  </si>
  <si>
    <t>Goal 1 Score</t>
  </si>
  <si>
    <t>Goal 2 Score</t>
  </si>
  <si>
    <t>Goal 3 Score</t>
  </si>
  <si>
    <t>Goal 4 Score</t>
  </si>
  <si>
    <t>Goal 5 Score</t>
  </si>
  <si>
    <t>Goal 6 Score</t>
  </si>
  <si>
    <t>Goal 7 Score</t>
  </si>
  <si>
    <t>Goal 8 Score</t>
  </si>
  <si>
    <t>Goal 9 Score</t>
  </si>
  <si>
    <t>Goal 10 Score</t>
  </si>
  <si>
    <t>Goal 11 Score</t>
  </si>
  <si>
    <t>Goal 12 Score</t>
  </si>
  <si>
    <t>Goal 13 Score</t>
  </si>
  <si>
    <t>Goal 14 Score</t>
  </si>
  <si>
    <t>Goal 15 Score</t>
  </si>
  <si>
    <t>Goal 16 Score</t>
  </si>
  <si>
    <t>Goal 17 Score</t>
  </si>
  <si>
    <t>Finland</t>
  </si>
  <si>
    <t>FIN</t>
  </si>
  <si>
    <t>Sweden</t>
  </si>
  <si>
    <t>SWE</t>
  </si>
  <si>
    <t>Denmark</t>
  </si>
  <si>
    <t>DNK</t>
  </si>
  <si>
    <t>Germany</t>
  </si>
  <si>
    <t>DEU</t>
  </si>
  <si>
    <t>Austria</t>
  </si>
  <si>
    <t>AUT</t>
  </si>
  <si>
    <t>France</t>
  </si>
  <si>
    <t>FRA</t>
  </si>
  <si>
    <t>Norway</t>
  </si>
  <si>
    <t>NOR</t>
  </si>
  <si>
    <t>Czechia</t>
  </si>
  <si>
    <t>CZE</t>
  </si>
  <si>
    <t>Poland</t>
  </si>
  <si>
    <t>POL</t>
  </si>
  <si>
    <t>Estonia</t>
  </si>
  <si>
    <t>EST</t>
  </si>
  <si>
    <t>United Kingdom</t>
  </si>
  <si>
    <t>GBR</t>
  </si>
  <si>
    <t>Croatia</t>
  </si>
  <si>
    <t>HRV</t>
  </si>
  <si>
    <t>Slovenia</t>
  </si>
  <si>
    <t>SVN</t>
  </si>
  <si>
    <t>Latvia</t>
  </si>
  <si>
    <t>LVA</t>
  </si>
  <si>
    <t>Switzerland</t>
  </si>
  <si>
    <t>CHE</t>
  </si>
  <si>
    <t>Spain</t>
  </si>
  <si>
    <t>ESP</t>
  </si>
  <si>
    <t>Ireland</t>
  </si>
  <si>
    <t>IRL</t>
  </si>
  <si>
    <t>Portugal</t>
  </si>
  <si>
    <t>PRT</t>
  </si>
  <si>
    <t>Belgium</t>
  </si>
  <si>
    <t>BEL</t>
  </si>
  <si>
    <t>Netherlands</t>
  </si>
  <si>
    <t>NLD</t>
  </si>
  <si>
    <t>Japan</t>
  </si>
  <si>
    <t>JPN</t>
  </si>
  <si>
    <t>Hungary</t>
  </si>
  <si>
    <t>HUN</t>
  </si>
  <si>
    <t>Slovak Republic</t>
  </si>
  <si>
    <t>SVK</t>
  </si>
  <si>
    <t>Italy</t>
  </si>
  <si>
    <t>ITA</t>
  </si>
  <si>
    <t>Moldova</t>
  </si>
  <si>
    <t>MDA</t>
  </si>
  <si>
    <t>Canada</t>
  </si>
  <si>
    <t>CAN</t>
  </si>
  <si>
    <t>New Zealand</t>
  </si>
  <si>
    <t>NZL</t>
  </si>
  <si>
    <t>Greece</t>
  </si>
  <si>
    <t>GRC</t>
  </si>
  <si>
    <t>Iceland</t>
  </si>
  <si>
    <t>ISL</t>
  </si>
  <si>
    <t>Chile</t>
  </si>
  <si>
    <t>CHL</t>
  </si>
  <si>
    <t>Korea, Rep.</t>
  </si>
  <si>
    <t>KOR</t>
  </si>
  <si>
    <t>Uruguay</t>
  </si>
  <si>
    <t>URY</t>
  </si>
  <si>
    <t>Luxembourg</t>
  </si>
  <si>
    <t>LUX</t>
  </si>
  <si>
    <t>Belarus</t>
  </si>
  <si>
    <t>BLR</t>
  </si>
  <si>
    <t>Romania</t>
  </si>
  <si>
    <t>ROU</t>
  </si>
  <si>
    <t>Serbia</t>
  </si>
  <si>
    <t>SRB</t>
  </si>
  <si>
    <t>Lithuania</t>
  </si>
  <si>
    <t>LTU</t>
  </si>
  <si>
    <t>Ukraine</t>
  </si>
  <si>
    <t>UKR</t>
  </si>
  <si>
    <t>United States</t>
  </si>
  <si>
    <t>USA</t>
  </si>
  <si>
    <t>Australia</t>
  </si>
  <si>
    <t>AUS</t>
  </si>
  <si>
    <t>Malta</t>
  </si>
  <si>
    <t>MLT</t>
  </si>
  <si>
    <t>Georgia</t>
  </si>
  <si>
    <t>GEO</t>
  </si>
  <si>
    <t>Thailand</t>
  </si>
  <si>
    <t>THA</t>
  </si>
  <si>
    <t>Bulgaria</t>
  </si>
  <si>
    <t>BGR</t>
  </si>
  <si>
    <t>Kyrgyz Republic</t>
  </si>
  <si>
    <t>KGZ</t>
  </si>
  <si>
    <t>Cuba</t>
  </si>
  <si>
    <t>CUB</t>
  </si>
  <si>
    <t>Bosnia and Herzegovina</t>
  </si>
  <si>
    <t>BIH</t>
  </si>
  <si>
    <t>Israel</t>
  </si>
  <si>
    <t>ISR</t>
  </si>
  <si>
    <t>Russian Federation</t>
  </si>
  <si>
    <t>RUS</t>
  </si>
  <si>
    <t>Brazil</t>
  </si>
  <si>
    <t>BRA</t>
  </si>
  <si>
    <t>Argentina</t>
  </si>
  <si>
    <t>ARG</t>
  </si>
  <si>
    <t>Costa Rica</t>
  </si>
  <si>
    <t>CRI</t>
  </si>
  <si>
    <t>Azerbaijan</t>
  </si>
  <si>
    <t>AZE</t>
  </si>
  <si>
    <t>Albania</t>
  </si>
  <si>
    <t>ALB</t>
  </si>
  <si>
    <t>Vietnam</t>
  </si>
  <si>
    <t>VNM</t>
  </si>
  <si>
    <t>Armenia</t>
  </si>
  <si>
    <t>ARM</t>
  </si>
  <si>
    <t>Fiji</t>
  </si>
  <si>
    <t>FJI</t>
  </si>
  <si>
    <t>Tunisia</t>
  </si>
  <si>
    <t>TUN</t>
  </si>
  <si>
    <t>Cyprus</t>
  </si>
  <si>
    <t>CYP</t>
  </si>
  <si>
    <t>North Macedonia</t>
  </si>
  <si>
    <t>MKD</t>
  </si>
  <si>
    <t>Bhutan</t>
  </si>
  <si>
    <t>BTN</t>
  </si>
  <si>
    <t>Dominican Republic</t>
  </si>
  <si>
    <t>DOM</t>
  </si>
  <si>
    <t>China</t>
  </si>
  <si>
    <t>CHN</t>
  </si>
  <si>
    <t>Singapore</t>
  </si>
  <si>
    <t>SGP</t>
  </si>
  <si>
    <t>Peru</t>
  </si>
  <si>
    <t>PER</t>
  </si>
  <si>
    <t>Kazakhstan</t>
  </si>
  <si>
    <t>KAZ</t>
  </si>
  <si>
    <t>Montenegro</t>
  </si>
  <si>
    <t>MNE</t>
  </si>
  <si>
    <t>Maldives</t>
  </si>
  <si>
    <t>MDV</t>
  </si>
  <si>
    <t>Uzbekistan</t>
  </si>
  <si>
    <t>UZB</t>
  </si>
  <si>
    <t>Morocco</t>
  </si>
  <si>
    <t>MAR</t>
  </si>
  <si>
    <t>Algeria</t>
  </si>
  <si>
    <t>DZA</t>
  </si>
  <si>
    <t>Türkiye</t>
  </si>
  <si>
    <t>TUR</t>
  </si>
  <si>
    <t>El Salvador</t>
  </si>
  <si>
    <t>SLV</t>
  </si>
  <si>
    <t>Ecuador</t>
  </si>
  <si>
    <t>ECU</t>
  </si>
  <si>
    <t>Indonesia</t>
  </si>
  <si>
    <t>IDN</t>
  </si>
  <si>
    <t>Colombia</t>
  </si>
  <si>
    <t>COL</t>
  </si>
  <si>
    <t>Jordan</t>
  </si>
  <si>
    <t>JOR</t>
  </si>
  <si>
    <t>Malaysia</t>
  </si>
  <si>
    <t>MYS</t>
  </si>
  <si>
    <t>United Arab Emirates</t>
  </si>
  <si>
    <t>ARE</t>
  </si>
  <si>
    <t>Mexico</t>
  </si>
  <si>
    <t>MEX</t>
  </si>
  <si>
    <t>Egypt, Arab Rep.</t>
  </si>
  <si>
    <t>EGY</t>
  </si>
  <si>
    <t>Jamaica</t>
  </si>
  <si>
    <t>JAM</t>
  </si>
  <si>
    <t>Sri Lanka</t>
  </si>
  <si>
    <t>LKA</t>
  </si>
  <si>
    <t>Barbados</t>
  </si>
  <si>
    <t>BRB</t>
  </si>
  <si>
    <t>Tajikistan</t>
  </si>
  <si>
    <t>TJK</t>
  </si>
  <si>
    <t>Iran, Islamic Rep.</t>
  </si>
  <si>
    <t>IRN</t>
  </si>
  <si>
    <t>Bolivia</t>
  </si>
  <si>
    <t>BOL</t>
  </si>
  <si>
    <t>Paraguay</t>
  </si>
  <si>
    <t>PRY</t>
  </si>
  <si>
    <t>Cabo Verde</t>
  </si>
  <si>
    <t>CPV</t>
  </si>
  <si>
    <t>Oman</t>
  </si>
  <si>
    <t>OMN</t>
  </si>
  <si>
    <t>Turkmenistan</t>
  </si>
  <si>
    <t>TKM</t>
  </si>
  <si>
    <t>Suriname</t>
  </si>
  <si>
    <t>SUR</t>
  </si>
  <si>
    <t>Mauritius</t>
  </si>
  <si>
    <t>MUS</t>
  </si>
  <si>
    <t>Saudi Arabia</t>
  </si>
  <si>
    <t>SAU</t>
  </si>
  <si>
    <t>Lebanon</t>
  </si>
  <si>
    <t>LBN</t>
  </si>
  <si>
    <t>Guyana</t>
  </si>
  <si>
    <t>GUY</t>
  </si>
  <si>
    <t>Panama</t>
  </si>
  <si>
    <t>PAN</t>
  </si>
  <si>
    <t>Philippines</t>
  </si>
  <si>
    <t>PHL</t>
  </si>
  <si>
    <t>Nepal</t>
  </si>
  <si>
    <t>NPL</t>
  </si>
  <si>
    <t>Qatar</t>
  </si>
  <si>
    <t>QAT</t>
  </si>
  <si>
    <t>Bangladesh</t>
  </si>
  <si>
    <t>BGD</t>
  </si>
  <si>
    <t>Brunei Darussalam</t>
  </si>
  <si>
    <t>BRN</t>
  </si>
  <si>
    <t>Cambodia</t>
  </si>
  <si>
    <t>KHM</t>
  </si>
  <si>
    <t>Nicaragua</t>
  </si>
  <si>
    <t>NIC</t>
  </si>
  <si>
    <t>Iraq</t>
  </si>
  <si>
    <t>IRQ</t>
  </si>
  <si>
    <t>Mongolia</t>
  </si>
  <si>
    <t>MNG</t>
  </si>
  <si>
    <t>Belize</t>
  </si>
  <si>
    <t>BLZ</t>
  </si>
  <si>
    <t>Kuwait</t>
  </si>
  <si>
    <t>KWT</t>
  </si>
  <si>
    <t>Namibia</t>
  </si>
  <si>
    <t>NAM</t>
  </si>
  <si>
    <t>South Africa</t>
  </si>
  <si>
    <t>ZAF</t>
  </si>
  <si>
    <t>Bahrain</t>
  </si>
  <si>
    <t>BHR</t>
  </si>
  <si>
    <t>India</t>
  </si>
  <si>
    <t>IND</t>
  </si>
  <si>
    <t>Gabon</t>
  </si>
  <si>
    <t>GAB</t>
  </si>
  <si>
    <t>Trinidad and Tobago</t>
  </si>
  <si>
    <t>TTO</t>
  </si>
  <si>
    <t>Lao PDR</t>
  </si>
  <si>
    <t>LAO</t>
  </si>
  <si>
    <t>Honduras</t>
  </si>
  <si>
    <t>HND</t>
  </si>
  <si>
    <t>Venezuela, RB</t>
  </si>
  <si>
    <t>VEN</t>
  </si>
  <si>
    <t>Botswana</t>
  </si>
  <si>
    <t>BWA</t>
  </si>
  <si>
    <t>Sao Tome and Principe</t>
  </si>
  <si>
    <t>STP</t>
  </si>
  <si>
    <t>Cote d'Ivoire</t>
  </si>
  <si>
    <t>CIV</t>
  </si>
  <si>
    <t>Senegal</t>
  </si>
  <si>
    <t>SEN</t>
  </si>
  <si>
    <t>Ghana</t>
  </si>
  <si>
    <t>GHA</t>
  </si>
  <si>
    <t>Kenya</t>
  </si>
  <si>
    <t>KEN</t>
  </si>
  <si>
    <t>Bahamas, The</t>
  </si>
  <si>
    <t>BHS</t>
  </si>
  <si>
    <t>Myanmar</t>
  </si>
  <si>
    <t>MMR</t>
  </si>
  <si>
    <t>Rwanda</t>
  </si>
  <si>
    <t>RWA</t>
  </si>
  <si>
    <t>Guatemala</t>
  </si>
  <si>
    <t>GTM</t>
  </si>
  <si>
    <t>Pakistan</t>
  </si>
  <si>
    <t>PAK</t>
  </si>
  <si>
    <t>Gambia, The</t>
  </si>
  <si>
    <t>GMB</t>
  </si>
  <si>
    <t>Syrian Arab Republic</t>
  </si>
  <si>
    <t>SYR</t>
  </si>
  <si>
    <t>Mali</t>
  </si>
  <si>
    <t>MLI</t>
  </si>
  <si>
    <t>Eswatini</t>
  </si>
  <si>
    <t>SWZ</t>
  </si>
  <si>
    <t>Mauritania</t>
  </si>
  <si>
    <t>MRT</t>
  </si>
  <si>
    <t>Tanzania</t>
  </si>
  <si>
    <t>TZA</t>
  </si>
  <si>
    <t>Malawi</t>
  </si>
  <si>
    <t>MWI</t>
  </si>
  <si>
    <t>Togo</t>
  </si>
  <si>
    <t>TGO</t>
  </si>
  <si>
    <t>Sierra Leone</t>
  </si>
  <si>
    <t>SLE</t>
  </si>
  <si>
    <t>Zimbabwe</t>
  </si>
  <si>
    <t>ZWE</t>
  </si>
  <si>
    <t>Cameroon</t>
  </si>
  <si>
    <t>CMR</t>
  </si>
  <si>
    <t>Benin</t>
  </si>
  <si>
    <t>BEN</t>
  </si>
  <si>
    <t>Uganda</t>
  </si>
  <si>
    <t>UGA</t>
  </si>
  <si>
    <t>Guinea</t>
  </si>
  <si>
    <t>GIN</t>
  </si>
  <si>
    <t>Lesotho</t>
  </si>
  <si>
    <t>LSO</t>
  </si>
  <si>
    <t>Ethiopia</t>
  </si>
  <si>
    <t>ETH</t>
  </si>
  <si>
    <t>Zambia</t>
  </si>
  <si>
    <t>ZMB</t>
  </si>
  <si>
    <t>Nigeria</t>
  </si>
  <si>
    <t>NGA</t>
  </si>
  <si>
    <t>Burundi</t>
  </si>
  <si>
    <t>BDI</t>
  </si>
  <si>
    <t>Papua New Guinea</t>
  </si>
  <si>
    <t>PNG</t>
  </si>
  <si>
    <t>Mozambique</t>
  </si>
  <si>
    <t>MOZ</t>
  </si>
  <si>
    <t>Djibouti</t>
  </si>
  <si>
    <t>DJI</t>
  </si>
  <si>
    <t>Congo, Rep.</t>
  </si>
  <si>
    <t>COG</t>
  </si>
  <si>
    <t>Haiti</t>
  </si>
  <si>
    <t>HTI</t>
  </si>
  <si>
    <t>Burkina Faso</t>
  </si>
  <si>
    <t>BFA</t>
  </si>
  <si>
    <t>Comoros</t>
  </si>
  <si>
    <t>COM</t>
  </si>
  <si>
    <t>Angola</t>
  </si>
  <si>
    <t>AGO</t>
  </si>
  <si>
    <t>Madagascar</t>
  </si>
  <si>
    <t>MDG</t>
  </si>
  <si>
    <t>Liberia</t>
  </si>
  <si>
    <t>LBR</t>
  </si>
  <si>
    <t>Afghanistan</t>
  </si>
  <si>
    <t>AFG</t>
  </si>
  <si>
    <t>Congo, Dem. Rep.</t>
  </si>
  <si>
    <t>COD</t>
  </si>
  <si>
    <t>Sudan</t>
  </si>
  <si>
    <t>SDN</t>
  </si>
  <si>
    <t>Niger</t>
  </si>
  <si>
    <t>NER</t>
  </si>
  <si>
    <t>Somalia</t>
  </si>
  <si>
    <t>SOM</t>
  </si>
  <si>
    <t>Yemen, Rep.</t>
  </si>
  <si>
    <t>YEM</t>
  </si>
  <si>
    <t>Chad</t>
  </si>
  <si>
    <t>TCD</t>
  </si>
  <si>
    <t>Central African Republic</t>
  </si>
  <si>
    <t>CAF</t>
  </si>
  <si>
    <t>South Sudan</t>
  </si>
  <si>
    <t>SSD</t>
  </si>
  <si>
    <t>Andorra</t>
  </si>
  <si>
    <t>AND</t>
  </si>
  <si>
    <t>Antigua and Barbuda</t>
  </si>
  <si>
    <t>ATG</t>
  </si>
  <si>
    <t>Dominica</t>
  </si>
  <si>
    <t>DMA</t>
  </si>
  <si>
    <t>Eritrea</t>
  </si>
  <si>
    <t>ERI</t>
  </si>
  <si>
    <t>Micronesia, Fed. Sts.</t>
  </si>
  <si>
    <t>FSM</t>
  </si>
  <si>
    <t>Guinea-Bissau</t>
  </si>
  <si>
    <t>GNB</t>
  </si>
  <si>
    <t>Equatorial Guinea</t>
  </si>
  <si>
    <t>GNQ</t>
  </si>
  <si>
    <t>Grenada</t>
  </si>
  <si>
    <t>GRD</t>
  </si>
  <si>
    <t>Kiribati</t>
  </si>
  <si>
    <t>KIR</t>
  </si>
  <si>
    <t>St. Kitts and Nevis</t>
  </si>
  <si>
    <t>KNA</t>
  </si>
  <si>
    <t>Libya</t>
  </si>
  <si>
    <t>LBY</t>
  </si>
  <si>
    <t>St. Lucia</t>
  </si>
  <si>
    <t>LCA</t>
  </si>
  <si>
    <t>Liechtenstein</t>
  </si>
  <si>
    <t>LIE</t>
  </si>
  <si>
    <t>Monaco</t>
  </si>
  <si>
    <t>MCO</t>
  </si>
  <si>
    <t>Marshall Islands</t>
  </si>
  <si>
    <t>MHL</t>
  </si>
  <si>
    <t>Nauru</t>
  </si>
  <si>
    <t>NRU</t>
  </si>
  <si>
    <t>Palau</t>
  </si>
  <si>
    <t>PLW</t>
  </si>
  <si>
    <t>Korea, Dem. Rep.</t>
  </si>
  <si>
    <t>PRK</t>
  </si>
  <si>
    <t>Solomon Islands</t>
  </si>
  <si>
    <t>SLB</t>
  </si>
  <si>
    <t>San Marino</t>
  </si>
  <si>
    <t>SMR</t>
  </si>
  <si>
    <t>Seychelles</t>
  </si>
  <si>
    <t>SYC</t>
  </si>
  <si>
    <t>Timor-Leste</t>
  </si>
  <si>
    <t>TLS</t>
  </si>
  <si>
    <t>Tonga</t>
  </si>
  <si>
    <t>TON</t>
  </si>
  <si>
    <t>Tuvalu</t>
  </si>
  <si>
    <t>TUV</t>
  </si>
  <si>
    <t>St. Vincent and the Grenadines</t>
  </si>
  <si>
    <t>VCT</t>
  </si>
  <si>
    <t>Vanuatu</t>
  </si>
  <si>
    <t>VUT</t>
  </si>
  <si>
    <t>Samoa</t>
  </si>
  <si>
    <t>WSM</t>
  </si>
  <si>
    <t>Eastern Europe and Central Asia</t>
  </si>
  <si>
    <t>_E_Euro_Asia</t>
  </si>
  <si>
    <t>East and South Asia</t>
  </si>
  <si>
    <t>_E_S_Asia</t>
  </si>
  <si>
    <t>Latin America and the Caribbean</t>
  </si>
  <si>
    <t>_LAC</t>
  </si>
  <si>
    <t>Middle East and North Africa</t>
  </si>
  <si>
    <t>_MENA</t>
  </si>
  <si>
    <t>Oceania</t>
  </si>
  <si>
    <t>_Oceania</t>
  </si>
  <si>
    <t>OECD members</t>
  </si>
  <si>
    <t>_OECD</t>
  </si>
  <si>
    <t>Small Island Developing States</t>
  </si>
  <si>
    <t>_SIDS</t>
  </si>
  <si>
    <t>Sub-Saharan Africa</t>
  </si>
  <si>
    <t>_Africa</t>
  </si>
  <si>
    <t>Low-income Countries</t>
  </si>
  <si>
    <t>_LIC</t>
  </si>
  <si>
    <t>Lower-middle-income Countries</t>
  </si>
  <si>
    <t>_LMIC</t>
  </si>
  <si>
    <t>Upper-middle-income Countries</t>
  </si>
  <si>
    <t>_UMIC</t>
  </si>
  <si>
    <t>High-income Countries</t>
  </si>
  <si>
    <t>_HIC</t>
  </si>
  <si>
    <t>World</t>
  </si>
  <si>
    <t>_World</t>
  </si>
  <si>
    <t>2022 SDG Index Score</t>
  </si>
  <si>
    <t>2022 SDG Index Rank</t>
  </si>
  <si>
    <t>Czech Republic</t>
  </si>
  <si>
    <t>Turkey</t>
  </si>
  <si>
    <t>id</t>
  </si>
  <si>
    <t>2020 SDG Index Score</t>
  </si>
  <si>
    <t>2020 SDG Index Rank</t>
  </si>
  <si>
    <t>2019 Global Index Score (0-100)</t>
  </si>
  <si>
    <t>2019 Global Index Rank</t>
  </si>
  <si>
    <t>Abbrev</t>
  </si>
  <si>
    <t>Average Score</t>
  </si>
  <si>
    <t>Rank</t>
  </si>
  <si>
    <t>Goal 1</t>
  </si>
  <si>
    <t>Goal 2</t>
  </si>
  <si>
    <t>Goal 3</t>
  </si>
  <si>
    <t>Goal 4</t>
  </si>
  <si>
    <t>Goal 5</t>
  </si>
  <si>
    <t>Goal 6</t>
  </si>
  <si>
    <t>Goal 7</t>
  </si>
  <si>
    <t>Goal 8</t>
  </si>
  <si>
    <t>Goal 9</t>
  </si>
  <si>
    <t>Goal 10</t>
  </si>
  <si>
    <t>Goal 11</t>
  </si>
  <si>
    <t>Goal 12</t>
  </si>
  <si>
    <t>Goal 13</t>
  </si>
  <si>
    <t>Goal 14</t>
  </si>
  <si>
    <t>Goal 15</t>
  </si>
  <si>
    <t>Goal 16</t>
  </si>
  <si>
    <t>Goal 17</t>
  </si>
  <si>
    <t>Former Yugoslav Republic of Macedonia (FYROM)</t>
  </si>
  <si>
    <t>Swaziland</t>
  </si>
  <si>
    <t>n.d.</t>
  </si>
  <si>
    <t>Macedonia, FYR</t>
  </si>
  <si>
    <t>Model Structure</t>
  </si>
  <si>
    <t>SDG</t>
  </si>
  <si>
    <t>+</t>
  </si>
  <si>
    <t>-</t>
  </si>
  <si>
    <t>Year</t>
  </si>
  <si>
    <t>With Effort</t>
  </si>
  <si>
    <t>No Change</t>
  </si>
  <si>
    <t>SDG1</t>
  </si>
  <si>
    <t>SDG2</t>
  </si>
  <si>
    <t>SDG3</t>
  </si>
  <si>
    <t>SDG4</t>
  </si>
  <si>
    <t>SDG5</t>
  </si>
  <si>
    <t>SDG6</t>
  </si>
  <si>
    <t>SDG7</t>
  </si>
  <si>
    <t>SDG8</t>
  </si>
  <si>
    <t>SDG9</t>
  </si>
  <si>
    <t>SDG10</t>
  </si>
  <si>
    <t>SDG11</t>
  </si>
  <si>
    <t>SDG12</t>
  </si>
  <si>
    <t>SDG13</t>
  </si>
  <si>
    <t>SDG14</t>
  </si>
  <si>
    <t>SDG15</t>
  </si>
  <si>
    <t>SDG16</t>
  </si>
  <si>
    <t>SDG17</t>
  </si>
  <si>
    <t>Status Quo</t>
  </si>
  <si>
    <t>changing --- SDG1</t>
  </si>
  <si>
    <t>changing --- SDG2</t>
  </si>
  <si>
    <t>changing --- SDG3</t>
  </si>
  <si>
    <t>changing --- SDG4</t>
  </si>
  <si>
    <t>changing --- SDG5</t>
  </si>
  <si>
    <t>changing --- SDG6</t>
  </si>
  <si>
    <t>changing --- SDG7</t>
  </si>
  <si>
    <t>changing --- SDG8</t>
  </si>
  <si>
    <t>changing --- SDG9</t>
  </si>
  <si>
    <t>changing --- SDG10</t>
  </si>
  <si>
    <t>changing --- SDG11</t>
  </si>
  <si>
    <t>changing --- SDG12</t>
  </si>
  <si>
    <t>changing --- SDG13</t>
  </si>
  <si>
    <t>changing --- SDG14</t>
  </si>
  <si>
    <t>changing --- SDG15</t>
  </si>
  <si>
    <t>changing --- SDG16</t>
  </si>
  <si>
    <t>changing --- SDG17</t>
  </si>
  <si>
    <t>target --- SDG1</t>
  </si>
  <si>
    <t>target --- SDG2</t>
  </si>
  <si>
    <t>target --- SDG3</t>
  </si>
  <si>
    <t>target --- SDG4</t>
  </si>
  <si>
    <t>target --- SDG5</t>
  </si>
  <si>
    <t>target --- SDG6</t>
  </si>
  <si>
    <t>target --- SDG7</t>
  </si>
  <si>
    <t>target --- SDG8</t>
  </si>
  <si>
    <t>target --- SDG9</t>
  </si>
  <si>
    <t>target --- SDG10</t>
  </si>
  <si>
    <t>target --- SDG11</t>
  </si>
  <si>
    <t>target --- SDG12</t>
  </si>
  <si>
    <t>target --- SDG13</t>
  </si>
  <si>
    <t>target --- SDG14</t>
  </si>
  <si>
    <t>target --- SDG15</t>
  </si>
  <si>
    <t>target --- SDG16</t>
  </si>
  <si>
    <t>target --- SDG17</t>
  </si>
  <si>
    <t>TIME TO CHANGE --- SDG1</t>
  </si>
  <si>
    <t>TIME TO CHANGE --- SDG2</t>
  </si>
  <si>
    <t>TIME TO CHANGE --- SDG3</t>
  </si>
  <si>
    <t>TIME TO CHANGE --- SDG4</t>
  </si>
  <si>
    <t>TIME TO CHANGE --- SDG5</t>
  </si>
  <si>
    <t>TIME TO CHANGE --- SDG6</t>
  </si>
  <si>
    <t>TIME TO CHANGE --- SDG7</t>
  </si>
  <si>
    <t>TIME TO CHANGE --- SDG8</t>
  </si>
  <si>
    <t>TIME TO CHANGE --- SDG9</t>
  </si>
  <si>
    <t>TIME TO CHANGE --- SDG10</t>
  </si>
  <si>
    <t>TIME TO CHANGE --- SDG11</t>
  </si>
  <si>
    <t>TIME TO CHANGE --- SDG12</t>
  </si>
  <si>
    <t>TIME TO CHANGE --- SDG13</t>
  </si>
  <si>
    <t>TIME TO CHANGE --- SDG14</t>
  </si>
  <si>
    <t>TIME TO CHANGE --- SDG15</t>
  </si>
  <si>
    <t>TIME TO CHANGE --- SDG16</t>
  </si>
  <si>
    <t>TIME TO CHANGE --- SDG17</t>
  </si>
  <si>
    <t>modified target --- SDG1</t>
  </si>
  <si>
    <t>modified target --- SDG2</t>
  </si>
  <si>
    <t>modified target --- SDG3</t>
  </si>
  <si>
    <t>modified target --- SDG4</t>
  </si>
  <si>
    <t>modified target --- SDG5</t>
  </si>
  <si>
    <t>modified target --- SDG6</t>
  </si>
  <si>
    <t>modified target --- SDG7</t>
  </si>
  <si>
    <t>modified target --- SDG8</t>
  </si>
  <si>
    <t>modified target --- SDG9</t>
  </si>
  <si>
    <t>modified target --- SDG10</t>
  </si>
  <si>
    <t>modified target --- SDG11</t>
  </si>
  <si>
    <t>modified target --- SDG12</t>
  </si>
  <si>
    <t>modified target --- SDG13</t>
  </si>
  <si>
    <t>modified target --- SDG14</t>
  </si>
  <si>
    <t>modified target --- SDG15</t>
  </si>
  <si>
    <t>modified target --- SDG16</t>
  </si>
  <si>
    <t>modified target --- SDG17</t>
  </si>
  <si>
    <t>progress --- SDG1</t>
  </si>
  <si>
    <t>progress --- SDG2</t>
  </si>
  <si>
    <t>progress --- SDG3</t>
  </si>
  <si>
    <t>progress --- SDG4</t>
  </si>
  <si>
    <t>progress --- SDG5</t>
  </si>
  <si>
    <t>progress --- SDG6</t>
  </si>
  <si>
    <t>progress --- SDG7</t>
  </si>
  <si>
    <t>progress --- SDG8</t>
  </si>
  <si>
    <t>progress --- SDG9</t>
  </si>
  <si>
    <t>progress --- SDG10</t>
  </si>
  <si>
    <t>progress --- SDG11</t>
  </si>
  <si>
    <t>progress --- SDG12</t>
  </si>
  <si>
    <t>progress --- SDG13</t>
  </si>
  <si>
    <t>progress --- SDG14</t>
  </si>
  <si>
    <t>progress --- SDG15</t>
  </si>
  <si>
    <t>progress --- SDG16</t>
  </si>
  <si>
    <t>progress --- SDG17</t>
  </si>
  <si>
    <t>2017 --- SDG1</t>
  </si>
  <si>
    <t>2017 --- SDG2</t>
  </si>
  <si>
    <t>2017 --- SDG3</t>
  </si>
  <si>
    <t>2017 --- SDG4</t>
  </si>
  <si>
    <t>2017 --- SDG5</t>
  </si>
  <si>
    <t>2017 --- SDG6</t>
  </si>
  <si>
    <t>2017 --- SDG7</t>
  </si>
  <si>
    <t>2017 --- SDG8</t>
  </si>
  <si>
    <t>2017 --- SDG9</t>
  </si>
  <si>
    <t>2017 --- SDG10</t>
  </si>
  <si>
    <t>2017 --- SDG11</t>
  </si>
  <si>
    <t>2017 --- SDG12</t>
  </si>
  <si>
    <t>2017 --- SDG13</t>
  </si>
  <si>
    <t>2017 --- SDG14</t>
  </si>
  <si>
    <t>2017 --- SDG15</t>
  </si>
  <si>
    <t>2017 --- SDG16</t>
  </si>
  <si>
    <t>2017 --- SDG17</t>
  </si>
  <si>
    <t>Extra Effort</t>
  </si>
  <si>
    <t>Minimum Score</t>
  </si>
  <si>
    <t>Targets</t>
  </si>
  <si>
    <t>Multipliers</t>
  </si>
  <si>
    <t>Minimum</t>
  </si>
  <si>
    <t>Effort</t>
  </si>
  <si>
    <t>Budget</t>
  </si>
  <si>
    <t>Goal Average Canada</t>
  </si>
  <si>
    <t>TARGET --- SDG1</t>
  </si>
  <si>
    <t>TARGET --- SDG2</t>
  </si>
  <si>
    <t>TARGET --- SDG3</t>
  </si>
  <si>
    <t>TARGET --- SDG4</t>
  </si>
  <si>
    <t>TARGET --- SDG5</t>
  </si>
  <si>
    <t>TARGET --- SDG6</t>
  </si>
  <si>
    <t>TARGET --- SDG7</t>
  </si>
  <si>
    <t>TARGET --- SDG8</t>
  </si>
  <si>
    <t>TARGET --- SDG9</t>
  </si>
  <si>
    <t>TARGET --- SDG10</t>
  </si>
  <si>
    <t>TARGET --- SDG11</t>
  </si>
  <si>
    <t>TARGET --- SDG12</t>
  </si>
  <si>
    <t>TARGET --- SDG13</t>
  </si>
  <si>
    <t>TARGET --- SDG14</t>
  </si>
  <si>
    <t>TARGET --- SDG15</t>
  </si>
  <si>
    <t>TARGET --- SDG16</t>
  </si>
  <si>
    <t>TARGET --- SDG17</t>
  </si>
  <si>
    <t>SDG1 SE</t>
  </si>
  <si>
    <t>SDG1 SSE</t>
  </si>
  <si>
    <t>SDG2 SE</t>
  </si>
  <si>
    <t>SDG2 SSE</t>
  </si>
  <si>
    <t>SDG3 SE</t>
  </si>
  <si>
    <t>SDG3 SSE</t>
  </si>
  <si>
    <t>SDG4 SE</t>
  </si>
  <si>
    <t>SDG4 SSE</t>
  </si>
  <si>
    <t>SDG5 SE</t>
  </si>
  <si>
    <t>SDG5 SSE</t>
  </si>
  <si>
    <t>SDG6 SE</t>
  </si>
  <si>
    <t>SDG6 SSE</t>
  </si>
  <si>
    <t>SDG7 SE</t>
  </si>
  <si>
    <t>SDG7 SSE</t>
  </si>
  <si>
    <t>SDG8 SE</t>
  </si>
  <si>
    <t>SDG8 SSE</t>
  </si>
  <si>
    <t>SDG9 SE</t>
  </si>
  <si>
    <t>SDG9 SSE</t>
  </si>
  <si>
    <t>SDG10 SE</t>
  </si>
  <si>
    <t>SDG10 SSE</t>
  </si>
  <si>
    <t>SDG11 SE</t>
  </si>
  <si>
    <t>SDG11 SSE</t>
  </si>
  <si>
    <t>SDG12 SE</t>
  </si>
  <si>
    <t>SDG12 SSE</t>
  </si>
  <si>
    <t>SDG13 SE</t>
  </si>
  <si>
    <t>SDG13 SSE</t>
  </si>
  <si>
    <t>SDG14 SE</t>
  </si>
  <si>
    <t>SDG14 SSE</t>
  </si>
  <si>
    <t>SDG15 SE</t>
  </si>
  <si>
    <t>SDG15 SSE</t>
  </si>
  <si>
    <t>SDG16 SE</t>
  </si>
  <si>
    <t>SDG16 SSE</t>
  </si>
  <si>
    <t>SDG17 SE</t>
  </si>
  <si>
    <t>SDG17 SSE</t>
  </si>
  <si>
    <t>SSE SDG1</t>
  </si>
  <si>
    <t>SSE SDG2</t>
  </si>
  <si>
    <t>SSE SDG3</t>
  </si>
  <si>
    <t>SSE SDG4</t>
  </si>
  <si>
    <t>SSE SDG5</t>
  </si>
  <si>
    <t>SSE SDG6</t>
  </si>
  <si>
    <t>SSE SDG7</t>
  </si>
  <si>
    <t>SSE SDG8</t>
  </si>
  <si>
    <t>SSE SDG9</t>
  </si>
  <si>
    <t>SSE SDG10</t>
  </si>
  <si>
    <t>SSE SDG11</t>
  </si>
  <si>
    <t>SSE SDG12</t>
  </si>
  <si>
    <t>SSE SDG13</t>
  </si>
  <si>
    <t>SSE SDG14</t>
  </si>
  <si>
    <t>SSE SDG15</t>
  </si>
  <si>
    <t>SSE SDG16</t>
  </si>
  <si>
    <t>SSE SDG17</t>
  </si>
  <si>
    <t>TSSE</t>
  </si>
  <si>
    <t>Baseline</t>
  </si>
  <si>
    <t>Current</t>
  </si>
  <si>
    <t>SDG 1 (No Poverty)</t>
  </si>
  <si>
    <t>Explanation</t>
  </si>
  <si>
    <t>Effectiveness</t>
  </si>
  <si>
    <t>Implement social protection programs targeting vulnerable populations:</t>
  </si>
  <si>
    <t>Explanation: Social protection programs targeting vulnerable populations were limited in the past, with insufficient coverage and effectiveness in providing support to those in need.</t>
  </si>
  <si>
    <t>Explanation: Significant efforts have been made to implement social protection programs targeting vulnerable populations in the present, leading to expanded coverage and effectiveness in providing support to those in need.</t>
  </si>
  <si>
    <t>Increase access to education and vocational training for marginalized communities:</t>
  </si>
  <si>
    <t>Explanation: Access to education and vocational training for marginalized communities was restricted in the past, with limited opportunities for skill development and economic empowerment.</t>
  </si>
  <si>
    <t>Explanation: Access to education and vocational training for marginalized communities has increased in the present, with initiatives aimed at enhancing skill development and economic empowerment.</t>
  </si>
  <si>
    <t>Establish minimum wage regulations and ensure fair labor practices:</t>
  </si>
  <si>
    <t>Explanation: Minimum wage regulations and fair labor practices were inadequately enforced in the past, leading to exploitation and inequality in the labor market.</t>
  </si>
  <si>
    <t>Explanation: Minimum wage regulations and fair labor practices have been strengthened in the present, leading to improved working conditions and reduced exploitation in the labor market.</t>
  </si>
  <si>
    <t>Promote inclusive economic growth through job creation initiatives:</t>
  </si>
  <si>
    <t>Explanation: Job creation initiatives to promote inclusive economic growth were limited in the past, with insufficient focus on addressing unemployment and poverty among marginalized populations.</t>
  </si>
  <si>
    <t>Explanation: Efforts to promote inclusive economic growth through job creation initiatives have intensified in the present, with measures aimed at addressing unemployment and poverty among marginalized populations, although challenges remain in achieving inclusive growth for all.</t>
  </si>
  <si>
    <t>SDG 2 (Zero Hunger)</t>
  </si>
  <si>
    <t>Invest in agricultural infrastructure and technology to enhance productivity:</t>
  </si>
  <si>
    <t>Explanation: Past investments in agricultural infrastructure and technology were limited, with insufficient focus on enhancing productivity and addressing challenges such as inadequate irrigation systems and outdated farming practices.</t>
  </si>
  <si>
    <t>Explanation: Significant investments have been made in agricultural infrastructure and technology in the present, leading to improvements in productivity, efficiency, and resilience in the agriculture sector.</t>
  </si>
  <si>
    <t>Subsidize inputs for small-scale farmers and promote sustainable farming practices:</t>
  </si>
  <si>
    <t>Explanation: Subsidies for inputs and promotion of sustainable farming practices were minimal in the past, with limited support for small-scale farmers and insufficient emphasis on environmentally-friendly agricultural practices.</t>
  </si>
  <si>
    <t>Explanation: Subsidies for inputs and promotion of sustainable farming practices have increased in the present, with targeted support for small-scale farmers and initiatives to promote environmentally-friendly agricultural techniques.</t>
  </si>
  <si>
    <t>Implement food distribution programs to address food insecurity in remote areas:</t>
  </si>
  <si>
    <t>Explanation: Food distribution programs to address food insecurity in remote areas were limited in the past, with challenges such as poor infrastructure and logistical constraints hindering effective distribution of food resources to vulnerable populations.</t>
  </si>
  <si>
    <t>Explanation: Food distribution programs have been expanded and improved in the present, with enhanced infrastructure and logistical support enabling more effective distribution of food resources to remote and vulnerable areas.</t>
  </si>
  <si>
    <t>Encourage community gardens and urban farming initiatives:</t>
  </si>
  <si>
    <t>Explanation: Efforts to encourage community gardens and urban farming initiatives were scarce in the past, with little emphasis on promoting local food production and community self-sufficiency in urban areas.</t>
  </si>
  <si>
    <t>Explanation: Efforts to encourage community gardens and urban farming initiatives have gained momentum in the present, with initiatives aimed at promoting local food production, improving nutrition, and fostering community engagement in urban areas.</t>
  </si>
  <si>
    <t>SDG 3 (Good Health and Well-being)</t>
  </si>
  <si>
    <t>Strengthen healthcare systems and improve access to quality healthcare services</t>
  </si>
  <si>
    <t>Explanation: Efforts to strengthen healthcare systems and improve access to quality services were limited in the past, with challenges such as inadequate infrastructure and workforce shortages hindering progress.</t>
  </si>
  <si>
    <t>Explanation: Significant efforts have been made to strengthen healthcare systems and improve access to quality services in the present, with investments in infrastructure, technology, and human resources leading to improvements in healthcare delivery.</t>
  </si>
  <si>
    <t>Invest in preventative healthcare measures and promote healthy lifestyles:</t>
  </si>
  <si>
    <t>Explanation: Investments in preventative healthcare measures and health promotion initiatives were minimal in the past, with limited focus on immunization, maternal and child health, and lifestyle diseases prevention.</t>
  </si>
  <si>
    <t>Explanation: Ongoing investments in preventative healthcare measures and health promotion initiatives, coupled with campaigns for immunization, maternal and child health, and lifestyle diseases prevention, have led to improvements in health outcomes.</t>
  </si>
  <si>
    <t>Provide universal health coverage and ensure access to essential medicines:</t>
  </si>
  <si>
    <t>Explanation: Efforts to provide universal health coverage and ensure access to essential medicines were limited in the past, with significant gaps in healthcare coverage and availability of essential medicines.</t>
  </si>
  <si>
    <t>Explanation: Initiatives such as Ayushman Bharat and Jan Aushadhi Yojana have expanded access to healthcare and essential medicines in the present, addressing coverage gaps and improving medicine availability.</t>
  </si>
  <si>
    <t>Implement mental health awareness and support programs:</t>
  </si>
  <si>
    <t>Explanation: Mental health awareness and support programs were virtually nonexistent in the past, with little attention given to addressing mental health issues, stigma, and access to mental healthcare services.</t>
  </si>
  <si>
    <t>Explanation: Increased attention to mental health awareness and support programs in the present, with initiatives aimed at reducing stigma, enhancing access to mental healthcare services, and integrating mental health into primary care, although challenges such as resource constraints persist.</t>
  </si>
  <si>
    <t>SDG 4 (Quality Education)</t>
  </si>
  <si>
    <t>Increase investment in education infrastructure and resources:</t>
  </si>
  <si>
    <t>Explanation: Investment in education infrastructure and resources was limited in the past, resulting in inadequate facilities, lack of educational materials, and overcrowded classrooms.</t>
  </si>
  <si>
    <t>Explanation: Significant efforts have been made to increase investment in education infrastructure and resources in the present, resulting in improved facilities, availability of educational materials, and reduced classroom overcrowding.</t>
  </si>
  <si>
    <t>Provide teacher training and professional development opportunities:</t>
  </si>
  <si>
    <t>Explanation: Teacher training and professional development opportunities were insufficient in the past, leading to a lack of qualified and motivated educators and impacting the quality of education.</t>
  </si>
  <si>
    <t>Explanation: Teacher training and professional development opportunities have been expanded in the present, leading to a more skilled and motivated teaching workforce and enhancing the quality of education delivery.</t>
  </si>
  <si>
    <t>Ensure access to education for marginalized groups, including girls and children with disabilities:</t>
  </si>
  <si>
    <t>Explanation: Access to education for marginalized groups, including girls and children with disabilities, was restricted in the past due to barriers such as socio-cultural norms, lack of inclusive policies, and inadequate facilities.</t>
  </si>
  <si>
    <t>Explanation: Efforts to ensure access to education for marginalized groups, including girls and children with disabilities, have intensified in the present, with targeted interventions, inclusive policies, and improved facilities to address barriers to education.</t>
  </si>
  <si>
    <t>Promote inclusive and equitable education systems:</t>
  </si>
  <si>
    <t>Explanation: Inclusive and equitable education systems were lacking in the past, with disparities in access, retention, and quality of education among different socio-economic groups and marginalized communities.</t>
  </si>
  <si>
    <t>Explanation: Inclusive and equitable education systems have been promoted effectively in the present, with initiatives aimed at reducing disparities in access, retention, and quality of education among different socio-economic groups and marginalized communities.</t>
  </si>
  <si>
    <t>SDG 5 (Gender Equality)</t>
  </si>
  <si>
    <t>Enforce laws against gender-based discrimination and violence:</t>
  </si>
  <si>
    <t>Explanation: Enforcement of laws against gender-based discrimination and violence was limited in the past, with challenges such as low reporting rates, societal attitudes, and gaps in legal implementation hampering progress.</t>
  </si>
  <si>
    <t>Explanation: Enforcement of laws against gender-based discrimination and violence has improved significantly in the present, with increased awareness, legal reforms, and measures to strengthen law enforcement agencies leading to better protection of women's rights and increased reporting of gender-based violence incidents.</t>
  </si>
  <si>
    <t>Implement policies to promote women's economic empowerment and leadership:</t>
  </si>
  <si>
    <t>Explanation: Policies to promote women's economic empowerment and leadership were insufficient in the past, with limited opportunities for women in the workforce and leadership positions due to societal norms and structural barriers.</t>
  </si>
  <si>
    <t>Explanation: Policies to promote women's economic empowerment and leadership have been expanded in the present, with initiatives to improve access to education, training, employment opportunities, and support for women entrepreneurs leading to greater economic participation and leadership roles for women.</t>
  </si>
  <si>
    <t>Ensure equal access to education and healthcare for all genders:</t>
  </si>
  <si>
    <t>Explanation: Equal access to education and healthcare for all genders was not fully realized in the past, with disparities in access, retention, and quality of education and healthcare services between genders persisting due to socio-cultural norms and biases.</t>
  </si>
  <si>
    <t>Explanation: Efforts to ensure equal access to education and healthcare for all genders have intensified in the present, with targeted interventions, inclusive policies, and awareness campaigns leading to improved access, retention, and quality of education and healthcare services for women and other genders.</t>
  </si>
  <si>
    <t>Establish quotas for women's representation in political and corporate leadership:</t>
  </si>
  <si>
    <t>Explanation: Quotas for women's representation in political and corporate leadership were not widely implemented in the past, with limited progress in achieving gender balance in decision-making positions in politics and the corporate sector.</t>
  </si>
  <si>
    <t>Explanation: Quotas for women's representation in political and corporate leadership have been implemented more widely in the present, with affirmative action policies, electoral reforms, and corporate governance guidelines leading to increased representation of women in decision-making positions in politics and the corporate sector.</t>
  </si>
  <si>
    <t>SDG 6 (Clean Water and Sanitation)</t>
  </si>
  <si>
    <t>Invest in water infrastructure projects to improve access to clean water:</t>
  </si>
  <si>
    <t>Explanation: Moderate investment in water infrastructure projects was observed in the past, resulting in some improvement in access to clean water, but significant challenges remained in terms of coverage and infrastructure quality.</t>
  </si>
  <si>
    <t>Explanation: Significant investments have been made in water infrastructure projects in the present, resulting in improved access to clean water, expanded coverage, and upgraded infrastructure.</t>
  </si>
  <si>
    <t>Implement water conservation measures and promote sustainable water management practices:</t>
  </si>
  <si>
    <t>Explanation: Limited implementation of water conservation measures and sustainable water management practices was evident in the past, with efforts falling short in addressing water scarcity and promoting efficient water use.</t>
  </si>
  <si>
    <t>Explanation: Efforts to implement water conservation measures and promote sustainable water management practices have been moderate in the present, with some progress made in reducing water wastage and promoting efficient water use.</t>
  </si>
  <si>
    <t>Provide sanitation facilities in schools, communities, and public spaces:</t>
  </si>
  <si>
    <t>Explanation: Moderate provision of sanitation facilities occurred in the past, with some initiatives to build toilets and improve sanitation infrastructure, but challenges such as inadequate coverage persisted.</t>
  </si>
  <si>
    <t>Explanation: Provision of sanitation facilities has improved significantly in the present, with widespread efforts to build toilets, improve sanitation infrastructure, and promote hygiene practices.</t>
  </si>
  <si>
    <t>Address pollution and contamination of water sources:</t>
  </si>
  <si>
    <t>Explanation: Limited efforts were made to address pollution and contamination of water sources in the past, with insufficient regulations and enforcement leading to widespread pollution and degradation of water quality.</t>
  </si>
  <si>
    <t>Explanation: Efforts to address pollution and contamination of water sources have been moderate in the present, with some progress made in regulating industrial discharge and improving waste management practices, but challenges persist in controlling pollution effectively.</t>
  </si>
  <si>
    <t>SDG 7 (Affordable and Clean Energy)</t>
  </si>
  <si>
    <t>Invest in renewable energy sources such as solar, wind, and hydropower:</t>
  </si>
  <si>
    <t>Explanation: Limited investments were made in renewable energy sources in the past, resulting in a slow transition from fossil fuels to cleaner alternatives.</t>
  </si>
  <si>
    <t>Explanation: There has been moderate improvement in investments in renewable energy sources in the present, showing progress in transitioning to cleaner alternatives.</t>
  </si>
  <si>
    <t>Provide subsidies for clean energy technologies and energy-efficient appliances:</t>
  </si>
  <si>
    <t>Explanation: Subsidies for clean energy technologies and energy-efficient appliances were insufficient in the past, hindering widespread adoption and affordability.</t>
  </si>
  <si>
    <t>Explanation: Efforts to provide subsidies for clean energy technologies and energy-efficient appliances have seen some improvement in the present, making cleaner energy solutions more accessible and affordable.</t>
  </si>
  <si>
    <t>Develop infrastructure for clean energy production and distribution:</t>
  </si>
  <si>
    <t>Explanation: Infrastructure development for clean energy production and distribution was lacking in the past, leading to challenges in accessibility and reliability.</t>
  </si>
  <si>
    <t>Explanation: Infrastructure development for clean energy production and distribution has improved in the present, leading to better accessibility and reliability of clean energy sources.</t>
  </si>
  <si>
    <t>Implement energy efficiency measures in industries, buildings, and transportation:</t>
  </si>
  <si>
    <t>Explanation: Efforts to implement energy efficiency measures were inadequate in the past, resulting in high energy consumption and inefficiency.</t>
  </si>
  <si>
    <t>Explanation: Efforts to implement energy efficiency measures have seen some progress in the present, resulting in reduced energy consumption and improved efficiency across sectors.</t>
  </si>
  <si>
    <t>SDG 8 (Decent Work and Economic Growth)</t>
  </si>
  <si>
    <t>Promote job creation through investment in infrastructure and small businesses:</t>
  </si>
  <si>
    <t>Explanation: Moderate efforts were made to promote job creation through investment in infrastructure and small businesses, resulting in some employment opportunities but with room for improvement.</t>
  </si>
  <si>
    <t>Explanation: Significant efforts have been made to promote job creation through investment in infrastructure and small businesses in the present, resulting in increased employment opportunities and economic growth.</t>
  </si>
  <si>
    <t>Enforce labor rights and ensure fair wages and working conditions:</t>
  </si>
  <si>
    <t>Explanation: Labor rights enforcement and ensuring fair wages and working conditions were lacking in the past, leading to exploitation and inadequate working conditions for many workers.</t>
  </si>
  <si>
    <t>Explanation: Efforts to enforce labor rights and ensure fair wages and working conditions have improved in the present, with better regulations and enforcement mechanisms leading to enhanced worker protection.</t>
  </si>
  <si>
    <t>Support entrepreneurship and access to finance for micro, small, and medium-sized enterprises (MSMEs):</t>
  </si>
  <si>
    <t>Explanation: Some support was provided for entrepreneurship and access to finance for MSMEs in the past, leading to growth in some small businesses but with limited impact on overall economic growth.</t>
  </si>
  <si>
    <t>Explanation: Substantial support has been provided for entrepreneurship and access to finance for MSMEs in the present, leading to significant growth in small businesses and contributing to economic development.</t>
  </si>
  <si>
    <t>Foster innovation and skills development to enhance productivity and competitiveness:</t>
  </si>
  <si>
    <t>Explanation: Innovation and skills development initiatives were insufficient in the past, resulting in skills gaps and reduced competitiveness in the workforce.</t>
  </si>
  <si>
    <t>Explanation: Efforts to foster innovation and skills development have improved in the present, with increased investment in education, training, and research and development leading to enhanced productivity and competitiveness.</t>
  </si>
  <si>
    <t>SDG 9 (Industry, Innovation, and Infrastructure):</t>
  </si>
  <si>
    <t>Invest in infrastructure development, including transportation, energy, and communication networks:</t>
  </si>
  <si>
    <t>Explanation: Limited investment in infrastructure development occurred in the past, leading to inadequate transportation, energy, and communication networks, hindering economic growth and connectivity.</t>
  </si>
  <si>
    <t>Explanation: There has been moderate improvement in infrastructure development in the present, with increased investment leading to better transportation, energy, and communication networks, enhancing connectivity and economic development.</t>
  </si>
  <si>
    <t>Support research and development initiatives to foster innovation and technological advancement:</t>
  </si>
  <si>
    <t>Explanation: Research and development initiatives to foster innovation and technological advancement were insufficient in the past, resulting in limited progress in developing indigenous technologies and fostering innovation.</t>
  </si>
  <si>
    <t>Explanation: Support for research and development initiatives has increased in the present, fostering innovation and technological advancement, leading to the development of new technologies and solutions to address societal challenges.</t>
  </si>
  <si>
    <t>Promote public-private partnerships for infrastructure projects:</t>
  </si>
  <si>
    <t>Explanation: Promotion of public-private partnerships for infrastructure projects was limited in the past, resulting in slow progress in infrastructure development and delivery of services.</t>
  </si>
  <si>
    <t>Explanation: Promotion of public-private partnerships for infrastructure projects has improved in the present, facilitating collaboration between government and private sector entities, resulting in more efficient project delivery and resource utilization.</t>
  </si>
  <si>
    <t>Enhance connectivity and access to information and communication technologies (ICT):</t>
  </si>
  <si>
    <t>Explanation: Connectivity and access to ICT saw some improvement in the past, but challenges remained in ensuring universal access and affordability, particularly in rural and remote areas.</t>
  </si>
  <si>
    <t>Explanation: Connectivity and access to ICT have significantly improved in the present, with expanded coverage and affordability of ICT services, enabling greater access to information, education, and opportunities for individuals and businesses.</t>
  </si>
  <si>
    <t>SDG 10 (Reduced Inequality):</t>
  </si>
  <si>
    <t>Implement progressive taxation policies to redistribute wealth:</t>
  </si>
  <si>
    <t>Explanation: Progressive taxation policies to redistribute wealth were insufficient in the past, resulting in widening income disparities and limited redistribution of resources.</t>
  </si>
  <si>
    <t>Explanation: There has been moderate improvement in implementing progressive taxation policies in the present, leading to some redistribution of wealth and reduction in income inequalities.</t>
  </si>
  <si>
    <t>Provide social safety nets and targeted assistance programs for marginalized groups:</t>
  </si>
  <si>
    <t>Explanation: Social safety nets and targeted assistance programs for marginalized groups were limited in the past, with inadequate coverage and support leading to persistent inequalities.</t>
  </si>
  <si>
    <t>Explanation: Significant progress has been made in providing social safety nets and targeted assistance programs for marginalized groups in the present, improving their access to essential services and support.</t>
  </si>
  <si>
    <t>Promote inclusive economic growth and access to opportunities for all:</t>
  </si>
  <si>
    <t>Explanation: Efforts to promote inclusive economic growth and access to opportunities for all showed some progress in the past, but disparities persisted, particularly for marginalized communities.</t>
  </si>
  <si>
    <t>Explanation: Efforts to promote inclusive economic growth and access to opportunities for all have intensified in the present, resulting in reduced disparities and increased participation in economic activities by marginalized communities.</t>
  </si>
  <si>
    <t>Address discrimination based on race, ethnicity, religion, gender, or disability:</t>
  </si>
  <si>
    <t>Explanation: Addressing discrimination based on various factors was insufficient in the past, with deep-rooted social biases and inadequate measures to address systemic discrimination.</t>
  </si>
  <si>
    <t>Explanation: There has been significant improvement in addressing discrimination based on various factors in the present, with strengthened legal frameworks and awareness campaigns leading to greater societal acceptance and equality.</t>
  </si>
  <si>
    <t>SDG 11 (Sustainable Cities and Communities):</t>
  </si>
  <si>
    <t>Invest in public transportation infrastructure to reduce congestion and emissions:</t>
  </si>
  <si>
    <t>Explanation: Investment in public transportation infrastructure was limited in the past, resulting in increased congestion and emissions due to heavy reliance on private vehicles.</t>
  </si>
  <si>
    <t>Explanation: There has been moderate improvement in investing in public transportation infrastructure in the present, resulting in reduced congestion and emissions as more people opt for public transport.</t>
  </si>
  <si>
    <t>Implement urban planning strategies that prioritize mixed land use and green spaces:</t>
  </si>
  <si>
    <t>Explanation: Urban planning strategies prioritizing mixed land use and green spaces were insufficient in the past, leading to urban sprawl and inadequate access to green areas.</t>
  </si>
  <si>
    <t>Explanation: Urban planning strategies prioritizing mixed land use and green spaces have improved in the present, leading to more sustainable development and improved quality of life in cities.</t>
  </si>
  <si>
    <t>Upgrade slum areas with access to basic services such as water, sanitation, and electricity:</t>
  </si>
  <si>
    <t>Explanation: Upgrading slum areas with access to basic services was limited in the past, resulting in poor living conditions and inadequate infrastructure in these areas.</t>
  </si>
  <si>
    <t>Explanation: Efforts to upgrade slum areas with access to basic services have intensified in the present, leading to improved living conditions and infrastructure in these areas.</t>
  </si>
  <si>
    <t>Promote affordable housing developments and implement policies to prevent urban sprawl:</t>
  </si>
  <si>
    <t>Explanation: Promotion of affordable housing developments and policies to prevent urban sprawl was inadequate in the past, leading to housing shortages and unplanned urban expansion.</t>
  </si>
  <si>
    <t>Explanation: Promotion of affordable housing developments and policies to prevent urban sprawl have seen some improvement in the present, resulting in better housing options and more controlled urban expansion.</t>
  </si>
  <si>
    <t>SDG 12 (Responsible Consumption and Production):</t>
  </si>
  <si>
    <t>Implement regulations to reduce waste generation and promote recycling and reuse:</t>
  </si>
  <si>
    <t>Explanation: Regulations to reduce waste generation and promote recycling and reuse were limited in the past, resulting in high levels of waste and inadequate recycling practices.</t>
  </si>
  <si>
    <t>Explanation: There has been moderate improvement in implementing regulations to reduce waste generation and promote recycling and reuse in the present, resulting in better waste management practices and increased recycling rates.</t>
  </si>
  <si>
    <t>Encourage sustainable production practices in industries through incentives and standards:</t>
  </si>
  <si>
    <t>Explanation: Encouragement of sustainable production practices in industries was insufficient in the past, with few incentives and standards in place to promote sustainability.</t>
  </si>
  <si>
    <t>Explanation: Efforts to encourage sustainable production practices in industries have improved in the present, with more incentives and standards in place to promote sustainability and reduce environmental impact.</t>
  </si>
  <si>
    <t>Raise consumer awareness about the environmental impact of consumption choices:</t>
  </si>
  <si>
    <t>Explanation: Consumer awareness about the environmental impact of consumption choices was low in the past, leading to unsustainable consumption patterns and resource depletion.</t>
  </si>
  <si>
    <t>Explanation: Consumer awareness about the environmental impact of consumption choices has increased in the present, leading to more sustainable consumption patterns and reduced resource consumption.</t>
  </si>
  <si>
    <t>Support sustainable procurement practices in government and private sectors:</t>
  </si>
  <si>
    <t>Explanation: Support for sustainable procurement practices in the government and private sectors was limited in the past, resulting in a lack of emphasis on sustainability in procurement decisions.</t>
  </si>
  <si>
    <t>Explanation: Support for sustainable procurement practices in the government and private sectors has seen improvement in the present, with greater emphasis on sustainability in procurement decisions and supply chain management.</t>
  </si>
  <si>
    <t>SDG 13 (Climate Action):</t>
  </si>
  <si>
    <t>Set targets for reducing greenhouse gas emissions and transition to renewable energy sources:</t>
  </si>
  <si>
    <t>Explanation: India had limited success in setting targets for reducing greenhouse gas emissions and transitioning to renewable energy sources in the past, with slow progress due to challenges in balancing economic growth with environmental concerns.</t>
  </si>
  <si>
    <t>Explanation: There has been some improvement in setting targets for reducing greenhouse gas emissions and transitioning to renewable energy sources in the present, but challenges remain in achieving ambitious targets due to competing developmental needs.</t>
  </si>
  <si>
    <t>Implement policies to adapt to climate change impacts, such as building resilient infrastructure:</t>
  </si>
  <si>
    <t>Explanation: Implementation of policies to adapt to climate change impacts, such as building resilient infrastructure, was insufficient in the past, resulting in vulnerabilities to climate-related disasters and inadequate adaptation measures.</t>
  </si>
  <si>
    <t>Explanation: Implementation of policies to adapt to climate change impacts has improved in the present, with greater emphasis on building resilient infrastructure, but gaps persist in effectively addressing all climate-related risks.</t>
  </si>
  <si>
    <t>Promote afforestation and reforestation efforts to sequester carbon and preserve biodiversity:</t>
  </si>
  <si>
    <t>Explanation: Promotion of afforestation and reforestation efforts to sequester carbon and preserve biodiversity was limited in the past, leading to deforestation and loss of biodiversity due to competing interests in land use.</t>
  </si>
  <si>
    <t>Explanation: Promotion of afforestation and reforestation efforts has seen some improvement in the present, but challenges remain in scaling up efforts to effectively sequester carbon and preserve biodiversity amidst competing land use demands.</t>
  </si>
  <si>
    <t>Support international cooperation and partnerships to address climate change:</t>
  </si>
  <si>
    <t>Explanation: India showed some commitment to supporting international cooperation and partnerships to address climate change in the past, but progress was hindered by geopolitical challenges and domestic priorities.</t>
  </si>
  <si>
    <t>Explanation: India continues to support international cooperation and partnerships to address climate change in the present, but progress is hindered by geopolitical complexities and limited resources for global climate initiatives.</t>
  </si>
  <si>
    <t>SDG 14 (Life Below Water):</t>
  </si>
  <si>
    <t>Establish marine protected areas and regulate fishing practices to promote sustainable fisheries:</t>
  </si>
  <si>
    <t>Explanation: Efforts to establish marine protected areas and regulate fishing practices were insufficient in the past, leading to overfishing and depletion of marine resources.</t>
  </si>
  <si>
    <t>Explanation: There has been significant progress in establishing marine protected areas and regulating fishing practices in the present, leading to improved sustainability of fisheries and conservation of marine resources.</t>
  </si>
  <si>
    <t>Reduce pollution and plastic waste entering oceans through regulatory measures:</t>
  </si>
  <si>
    <t>Explanation: Measures to reduce pollution and plastic waste entering oceans were minimal in the past, resulting in significant pollution and degradation of marine ecosystems.</t>
  </si>
  <si>
    <t>Explanation: Efforts to reduce pollution and plastic waste entering oceans have intensified in the present, resulting in reduced pollution levels and improved marine ecosystem health.</t>
  </si>
  <si>
    <t>Implement measures to conserve coastal and marine ecosystems, such as mangroves and coral reefs:</t>
  </si>
  <si>
    <t>Explanation: Some measures to conserve coastal and marine ecosystems were implemented in the past, leading to partial preservation of mangroves and coral reefs, but further efforts were needed.</t>
  </si>
  <si>
    <t>Explanation: Implementation of measures to conserve coastal and marine ecosystems has significantly improved in the present, leading to enhanced preservation of mangroves and coral reefs.</t>
  </si>
  <si>
    <t>Support research and monitoring initiatives to assess and protect marine biodiversity:</t>
  </si>
  <si>
    <t>Explanation: Support for research and monitoring initiatives was limited in the past, hindering effective assessment and protection of marine biodiversity.</t>
  </si>
  <si>
    <t>Explanation: Support for research and monitoring initiatives has increased in the present, resulting in better understanding and protection of marine biodiversity, but further investment is needed for comprehensive assessment and conservation efforts.</t>
  </si>
  <si>
    <t>SDG 15 (Life on Land):</t>
  </si>
  <si>
    <t>Expand protected areas and restore degraded ecosystems, such as forests and wetlands:</t>
  </si>
  <si>
    <t>Explanation: Efforts to expand protected areas and restore degraded ecosystems were somewhat limited in the past, resulting in continued loss of biodiversity and degradation of vital ecosystems like forests and wetlands.</t>
  </si>
  <si>
    <t>Explanation: There has been some progress in expanding protected areas and restoring degraded ecosystems in the present, resulting in increased conservation efforts and restoration projects aimed at preserving biodiversity and ecosystem services.</t>
  </si>
  <si>
    <t>Combat illegal poaching, and wildlife trafficking through law enforcement measures:</t>
  </si>
  <si>
    <t>Explanation: Combatting illegal poaching, and wildlife trafficking through law enforcement measures was largely ineffective in the past, leading to significant declines in wildlife populations and loss of biodiversity.</t>
  </si>
  <si>
    <t>Explanation: Efforts to combat illegal logging, poaching, and wildlife trafficking through law enforcement measures have seen limited improvement in the present, with ongoing challenges in enforcing regulations and addressing illegal activities.</t>
  </si>
  <si>
    <t>Promote sustainable land management practices to prevent desertification and soil erosion:</t>
  </si>
  <si>
    <t>Explanation: Some efforts were made to promote sustainable land management practices in the past, leading to partial success in preventing desertification and soil erosion, but more comprehensive measures were needed.</t>
  </si>
  <si>
    <t>Explanation: Promotion of sustainable land management practices has significantly improved in the present, leading to better soil conservation and reduced desertification, with increased adoption of sustainable agriculture and land-use practices.</t>
  </si>
  <si>
    <t>Support community-based conservation initiatives:</t>
  </si>
  <si>
    <t>Explanation: Support for community-based conservation initiatives was insufficient in the past, resulting in limited empowerment of local communities and indigenous groups in managing natural resources.</t>
  </si>
  <si>
    <t>Explanation: Support for community-based conservation initiatives and indigenous land rights has increased in the present, leading to greater involvement of local communities and indigenous groups in conservation efforts and natural resource management.</t>
  </si>
  <si>
    <t>SDG 16 (Peace, Justice, and Strong Institutions):</t>
  </si>
  <si>
    <t>Strengthen the rule of law and ensure access to justice for all citizens:</t>
  </si>
  <si>
    <t>Explanation: Efforts to strengthen the rule of law and ensure access to justice were relatively successful in the past, with established legal frameworks and judicial systems, though accessibility and efficiency remained challenges.</t>
  </si>
  <si>
    <t>Explanation: There has been significant improvement in strengthening the rule of law and ensuring access to justice for all citizens in the present, with reforms aimed at improving legal systems, enhancing judicial efficiency, and increasing legal aid services.</t>
  </si>
  <si>
    <t>Combat corruption and promote transparency and accountability in governance:</t>
  </si>
  <si>
    <t>Explanation: India made some progress in combatting corruption and promoting transparency and accountability in governance in the past, but corruption remained a significant issue, with limited success in addressing it effectively.</t>
  </si>
  <si>
    <t>Explanation: Efforts to combat corruption and promote transparency and accountability in governance have intensified in the present, with stronger anti-corruption measures, increased transparency in government processes, and enhanced accountability mechanisms.</t>
  </si>
  <si>
    <t>Invest in conflict prevention and peacebuilding efforts, including disarmament programs:</t>
  </si>
  <si>
    <t>Explanation: Investment in conflict prevention and peacebuilding efforts, including disarmament programs, was moderate in the past, with some initiatives in place but limited impact on reducing conflicts and violence.</t>
  </si>
  <si>
    <t>Explanation: Investment in conflict prevention and peacebuilding efforts, including disarmament programs, has increased in the present, with greater emphasis on resolving conflicts through dialogue, mediation, and peacebuilding initiatives.</t>
  </si>
  <si>
    <t>Protect human rights and promote inclusive and participatory decision-making processes:</t>
  </si>
  <si>
    <t>Explanation: India demonstrated commitment to protecting human rights and promoting inclusive decision-making processes in the past, with established mechanisms for human rights protection and participation, though challenges persisted.</t>
  </si>
  <si>
    <t>Explanation: India continues to prioritize human rights protection and inclusive decision-making processes in the present, with efforts to address social inequalities, empower marginalized groups, and enhance participation in governance and decision-making.</t>
  </si>
  <si>
    <t>SDG 17 (Partnerships for the Goals):</t>
  </si>
  <si>
    <t>Foster international cooperation and collaboration to achieve the SDGs:</t>
  </si>
  <si>
    <t>Explanation: India has actively fostered international cooperation and collaboration to achieve the SDGs in the past, participating in various global initiatives and partnerships aimed at addressing common challenges.</t>
  </si>
  <si>
    <t>Explanation: There has been significant progress in fostering international cooperation and collaboration to achieve the SDGs in the present, with India playing an increasingly proactive role in global partnerships and initiatives.</t>
  </si>
  <si>
    <t>Strengthen partnerships between governments, civil society, and the private sector:</t>
  </si>
  <si>
    <t>Explanation: India has made significant efforts to strengthen partnerships between governments, civil society, and the private sector in the past, recognizing the importance of multi-stakeholder collaboration in achieving sustainable development goals.</t>
  </si>
  <si>
    <t>Explanation: Efforts to strengthen partnerships between governments, civil society, and the private sector have intensified in the present, leading to more effective collaboration and coordinated action towards common goals.</t>
  </si>
  <si>
    <t>Support developing countries in accessing technology, finance, and capacity-building resources:</t>
  </si>
  <si>
    <t>Explanation: India has been supportive of efforts to support developing countries in accessing technology, finance, and capacity-building resources in the past, contributing to initiatives aimed at bridging the development gap and promoting global equity.</t>
  </si>
  <si>
    <t>Explanation: India continues to support developing countries in accessing technology, finance, and capacity-building resources in the present, contributing to initiatives that promote sustainable development and poverty alleviation globally.</t>
  </si>
  <si>
    <t>Promote multi-stakeholder partnerships for sustainable development initiatives at the local, national, and global levels:</t>
  </si>
  <si>
    <t>Explanation: India has actively promoted multi-stakeholder partnerships for sustainable development initiatives at various levels - local, national, and global - in the past, engaging diverse stakeholders in decision-making and implementation processes.</t>
  </si>
  <si>
    <t>Explanation: India remains committed to promoting multi-stakeholder partnerships for sustainable development initiatives at various levels in the present, fostering inclusive decision-making and collective action for positive change.</t>
  </si>
  <si>
    <t>Average</t>
  </si>
  <si>
    <t>Projected 2030 VALUE --- SDG1</t>
  </si>
  <si>
    <t>Projected 2030 VALUE --- SDG2</t>
  </si>
  <si>
    <t>Projected 2030 VALUE --- SDG3</t>
  </si>
  <si>
    <t>Projected 2030 VALUE --- SDG4</t>
  </si>
  <si>
    <t>Projected 2030 VALUE --- SDG5</t>
  </si>
  <si>
    <t>Projected 2030 VALUE --- SDG6</t>
  </si>
  <si>
    <t>Projected 2030 VALUE --- SDG7</t>
  </si>
  <si>
    <t>Projected 2030 VALUE --- SDG8</t>
  </si>
  <si>
    <t>Projected 2030 VALUE --- SDG9</t>
  </si>
  <si>
    <t>Projected 2030 VALUE --- SDG10</t>
  </si>
  <si>
    <t>Projected 2030 VALUE --- SDG11</t>
  </si>
  <si>
    <t>Projected 2030 VALUE --- SDG12</t>
  </si>
  <si>
    <t>Projected 2030 VALUE --- SDG13</t>
  </si>
  <si>
    <t>Projected 2030 VALUE --- SDG14</t>
  </si>
  <si>
    <t>Projected 2030 VALUE --- SDG15</t>
  </si>
  <si>
    <t>Projected 2030 VALUE --- SDG16</t>
  </si>
  <si>
    <t>Projected 2030 VALUE --- SDG17</t>
  </si>
  <si>
    <t>Reallocation</t>
  </si>
  <si>
    <t>Projected SDG1 Nigeria</t>
  </si>
  <si>
    <t>Projected SDG2 Nigeria</t>
  </si>
  <si>
    <t>Projected SDG3 Nigeria</t>
  </si>
  <si>
    <t>Projected SDG4 Nigeria</t>
  </si>
  <si>
    <t>Projected SDG5 Nigeria</t>
  </si>
  <si>
    <t>Projected SDG6 Nigeria</t>
  </si>
  <si>
    <t>Projected SDG7 Nigeria</t>
  </si>
  <si>
    <t>Projected SDG8 Nigeria</t>
  </si>
  <si>
    <t>Projected SDG9 Nigeria</t>
  </si>
  <si>
    <t>Projected SDG10 Nigeria</t>
  </si>
  <si>
    <t>Projected SDG11 Nigeria</t>
  </si>
  <si>
    <t>Projected SDG12 Nigeria</t>
  </si>
  <si>
    <t>Projected SDG13 Nigeria</t>
  </si>
  <si>
    <t>Projected SDG14 Nigeria</t>
  </si>
  <si>
    <t>Projected SDG15 Nigeria</t>
  </si>
  <si>
    <t>Projected SDG16 Nigeria</t>
  </si>
  <si>
    <t>Projected SDG17 Nigeria</t>
  </si>
  <si>
    <t>Actual SDG1 Nigeria</t>
  </si>
  <si>
    <t>Actual SDG2 Nigeria</t>
  </si>
  <si>
    <t>Actual SDG3 Nigeria</t>
  </si>
  <si>
    <t>Actual SDG4 Nigeria</t>
  </si>
  <si>
    <t>Actual SDG5 Nigeria</t>
  </si>
  <si>
    <t>Actual SDG6 Nigeria</t>
  </si>
  <si>
    <t>Actual SDG7 Nigeria</t>
  </si>
  <si>
    <t>Actual SDG8 Nigeria</t>
  </si>
  <si>
    <t>Actual SDG9 Nigeria</t>
  </si>
  <si>
    <t>Actual SDG10 Nigeria</t>
  </si>
  <si>
    <t>Actual SDG11 Nigeria</t>
  </si>
  <si>
    <t>Actual SDG12 Nigeria</t>
  </si>
  <si>
    <t>Actual SDG13 Nigeria</t>
  </si>
  <si>
    <t>Actual SDG14 Nigeria</t>
  </si>
  <si>
    <t>Actual SDG15 Nigeria</t>
  </si>
  <si>
    <t>Actual SDG16 Nigeria</t>
  </si>
  <si>
    <t>Actual SDG17 Nigeria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</si>
</sst>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_);[Red]\(0.00\)"/>
  </numFmts>
  <fonts count="11" x14ac:knownFonts="1">
    <font>
      <sz val="10"/>
      <name val="Arial"/>
    </font>
    <font>
      <sz val="11"/>
      <name val="Calibri"/>
      <family val="2"/>
      <charset val="1"/>
    </font>
    <font>
      <b/>
      <sz val="10"/>
      <name val="Arial"/>
      <family val="2"/>
    </font>
    <font>
      <b/>
      <sz val="11"/>
      <name val="Calibri"/>
      <family val="2"/>
      <charset val="1"/>
    </font>
    <font>
      <b/>
      <sz val="14"/>
      <name val="Arial"/>
      <family val="2"/>
    </font>
    <font>
      <b/>
      <sz val="10"/>
      <name val="Arial"/>
      <family val="2"/>
    </font>
    <font>
      <sz val="8"/>
      <name val="Arial"/>
      <family val="2"/>
    </font>
    <font>
      <sz val="10"/>
      <name val="Arial"/>
      <family val="2"/>
    </font>
    <font>
      <b/>
      <sz val="12"/>
      <name val="Calibri Light"/>
      <family val="2"/>
    </font>
    <font>
      <sz val="12"/>
      <name val="Calibri Light"/>
      <family val="2"/>
    </font>
    <font>
      <b/>
      <sz val="12"/>
      <color indexed="8"/>
      <name val="Calibri Light"/>
      <family val="2"/>
    </font>
  </fonts>
  <fills count="6">
    <fill>
      <patternFill patternType="none"/>
    </fill>
    <fill>
      <patternFill patternType="gray125"/>
    </fill>
    <fill>
      <patternFill patternType="solid">
        <fgColor indexed="9"/>
        <bgColor indexed="26"/>
      </patternFill>
    </fill>
    <fill>
      <patternFill patternType="solid">
        <fgColor indexed="13"/>
        <bgColor indexed="51"/>
      </patternFill>
    </fill>
    <fill>
      <patternFill patternType="solid">
        <fgColor indexed="42"/>
        <bgColor indexed="27"/>
      </patternFill>
    </fill>
    <fill>
      <patternFill patternType="solid">
        <fgColor indexed="47"/>
        <bgColor indexed="22"/>
      </patternFill>
    </fill>
  </fills>
  <borders count="3">
    <border>
      <left/>
      <right/>
      <top/>
      <bottom/>
      <diagonal/>
    </border>
    <border>
      <left style="thin">
        <color indexed="8"/>
      </left>
      <right style="thin">
        <color indexed="8"/>
      </right>
      <top style="thin">
        <color indexed="8"/>
      </top>
      <bottom style="thin">
        <color indexed="8"/>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0" fontId="1" fillId="0" borderId="0"/>
  </cellStyleXfs>
  <cellXfs count="34">
    <xf numFmtId="0" fontId="0" fillId="0" borderId="0" xfId="0"/>
    <xf numFmtId="0" fontId="2" fillId="0" borderId="0" xfId="0" applyFont="1" applyAlignment="1">
      <alignment horizontal="center" vertical="center" wrapText="1"/>
    </xf>
    <xf numFmtId="2" fontId="0" fillId="0" borderId="0" xfId="0" applyNumberFormat="1" applyAlignment="1">
      <alignment horizontal="center"/>
    </xf>
    <xf numFmtId="0" fontId="0" fillId="0" borderId="0" xfId="0" applyAlignment="1">
      <alignment horizontal="center"/>
    </xf>
    <xf numFmtId="2" fontId="1" fillId="0" borderId="0" xfId="1" applyNumberFormat="1" applyAlignment="1">
      <alignment horizontal="center"/>
    </xf>
    <xf numFmtId="0" fontId="3" fillId="0" borderId="0" xfId="1" applyFont="1" applyAlignment="1">
      <alignment wrapText="1"/>
    </xf>
    <xf numFmtId="2" fontId="3" fillId="0" borderId="0" xfId="1" applyNumberFormat="1" applyFont="1" applyAlignment="1">
      <alignment horizontal="left" wrapText="1"/>
    </xf>
    <xf numFmtId="0" fontId="3" fillId="0" borderId="0" xfId="1" applyFont="1" applyAlignment="1">
      <alignment horizontal="left" wrapText="1"/>
    </xf>
    <xf numFmtId="2" fontId="3" fillId="0" borderId="0" xfId="1" applyNumberFormat="1" applyFont="1" applyAlignment="1">
      <alignment horizontal="center" wrapText="1"/>
    </xf>
    <xf numFmtId="0" fontId="3" fillId="0" borderId="0" xfId="0" applyFont="1" applyAlignment="1">
      <alignment wrapText="1"/>
    </xf>
    <xf numFmtId="164" fontId="3" fillId="0" borderId="0" xfId="0" applyNumberFormat="1" applyFont="1" applyAlignment="1">
      <alignment horizontal="center" wrapText="1"/>
    </xf>
    <xf numFmtId="164" fontId="0" fillId="0" borderId="0" xfId="0" applyNumberFormat="1" applyAlignment="1">
      <alignment horizontal="center"/>
    </xf>
    <xf numFmtId="164" fontId="0" fillId="0" borderId="0" xfId="0" applyNumberFormat="1"/>
    <xf numFmtId="0" fontId="0" fillId="2" borderId="0" xfId="0" applyFill="1"/>
    <xf numFmtId="0" fontId="2" fillId="0" borderId="0" xfId="0" applyFont="1"/>
    <xf numFmtId="0" fontId="2" fillId="0" borderId="0" xfId="0" applyFont="1" applyAlignment="1">
      <alignment horizontal="center"/>
    </xf>
    <xf numFmtId="0" fontId="2" fillId="3" borderId="1" xfId="0" applyFont="1" applyFill="1" applyBorder="1" applyAlignment="1">
      <alignment horizontal="center" vertical="center"/>
    </xf>
    <xf numFmtId="0" fontId="4" fillId="2" borderId="1" xfId="0" applyFont="1" applyFill="1" applyBorder="1" applyAlignment="1">
      <alignment horizontal="center" vertical="center"/>
    </xf>
    <xf numFmtId="0" fontId="4" fillId="4"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0" xfId="0" applyFont="1"/>
    <xf numFmtId="9" fontId="0" fillId="0" borderId="0" xfId="0" applyNumberFormat="1"/>
    <xf numFmtId="2" fontId="0" fillId="0" borderId="0" xfId="0" applyNumberFormat="1"/>
    <xf numFmtId="165" fontId="0" fillId="0" borderId="0" xfId="0" applyNumberFormat="1"/>
    <xf numFmtId="0" fontId="8" fillId="0" borderId="2" xfId="0" applyFont="1" applyBorder="1" applyAlignment="1">
      <alignment vertical="top" wrapText="1"/>
    </xf>
    <xf numFmtId="0" fontId="8" fillId="0" borderId="2" xfId="0" applyFont="1" applyBorder="1" applyAlignment="1">
      <alignment horizontal="center" vertical="top" wrapText="1"/>
    </xf>
    <xf numFmtId="0" fontId="9" fillId="0" borderId="2" xfId="0" applyFont="1" applyBorder="1" applyAlignment="1">
      <alignment vertical="top" wrapText="1"/>
    </xf>
    <xf numFmtId="2" fontId="9" fillId="0" borderId="0" xfId="0" applyNumberFormat="1" applyFont="1"/>
    <xf numFmtId="0" fontId="9" fillId="0" borderId="0" xfId="0" applyFont="1"/>
    <xf numFmtId="0" fontId="9" fillId="0" borderId="0" xfId="0" applyFont="1" applyAlignment="1">
      <alignment horizontal="left" vertical="center" wrapText="1"/>
    </xf>
    <xf numFmtId="0" fontId="10" fillId="0" borderId="0" xfId="0" applyFont="1" applyAlignment="1">
      <alignment horizontal="left" vertical="center" wrapText="1"/>
    </xf>
    <xf numFmtId="0" fontId="9" fillId="0" borderId="0" xfId="0" applyFont="1" applyAlignment="1">
      <alignment wrapText="1"/>
    </xf>
    <xf numFmtId="2" fontId="8" fillId="0" borderId="0" xfId="0" applyNumberFormat="1" applyFont="1"/>
    <xf numFmtId="0" fontId="7" fillId="0" borderId="0" xfId="0" applyFont="1"/>
  </cellXfs>
  <cellStyles count="2">
    <cellStyle name="Normal" xfId="0" builtinId="0"/>
    <cellStyle name="Normal 2" xfId="1" xr:uid="{00000000-0005-0000-0000-000001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C000"/>
      <rgbColor rgb="00FF00FF"/>
      <rgbColor rgb="0000FFFF"/>
      <rgbColor rgb="00E5243B"/>
      <rgbColor rgb="00008000"/>
      <rgbColor rgb="00000080"/>
      <rgbColor rgb="00BF8B2E"/>
      <rgbColor rgb="00800080"/>
      <rgbColor rgb="000A97D9"/>
      <rgbColor rgb="00C0C0C0"/>
      <rgbColor rgb="00808080"/>
      <rgbColor rgb="009999FF"/>
      <rgbColor rgb="00A21942"/>
      <rgbColor rgb="00FFFFCC"/>
      <rgbColor rgb="00CCFFFF"/>
      <rgbColor rgb="00660066"/>
      <rgbColor rgb="00DDA63A"/>
      <rgbColor rgb="0000689D"/>
      <rgbColor rgb="00CCCCFF"/>
      <rgbColor rgb="00000080"/>
      <rgbColor rgb="00FF00FF"/>
      <rgbColor rgb="00FFFF00"/>
      <rgbColor rgb="0000FFFF"/>
      <rgbColor rgb="00800080"/>
      <rgbColor rgb="00E13A21"/>
      <rgbColor rgb="00008080"/>
      <rgbColor rgb="000000FF"/>
      <rgbColor rgb="0000CCFF"/>
      <rgbColor rgb="00CCFFFF"/>
      <rgbColor rgb="00CCFFCC"/>
      <rgbColor rgb="00FFFF99"/>
      <rgbColor rgb="0099CCFF"/>
      <rgbColor rgb="00FF99CC"/>
      <rgbColor rgb="00CC99FF"/>
      <rgbColor rgb="00FFCC99"/>
      <rgbColor rgb="003366FF"/>
      <rgbColor rgb="0026BDE2"/>
      <rgbColor rgb="0056C02B"/>
      <rgbColor rgb="00FCC30B"/>
      <rgbColor rgb="00FD9D24"/>
      <rgbColor rgb="00FD6925"/>
      <rgbColor rgb="003F7E44"/>
      <rgbColor rgb="00969696"/>
      <rgbColor rgb="0019486A"/>
      <rgbColor rgb="004C9F38"/>
      <rgbColor rgb="00003300"/>
      <rgbColor rgb="00333300"/>
      <rgbColor rgb="00C5192D"/>
      <rgbColor rgb="00DD1367"/>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2.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hartsheet" Target="chartsheets/sheet1.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2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Model!$A$174</c:f>
              <c:strCache>
                <c:ptCount val="1"/>
                <c:pt idx="0">
                  <c:v>Actual SDG1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Model!$B$173:$M$173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Model!$B$174:$M$174</c:f>
              <c:numCache>
                <c:formatCode>General</c:formatCode>
                <c:ptCount val="12"/>
                <c:pt idx="0">
                  <c:v>49.325614929199219</c:v>
                </c:pt>
                <c:pt idx="1">
                  <c:v>37.806310985678827</c:v>
                </c:pt>
                <c:pt idx="2">
                  <c:v>17.148760330578508</c:v>
                </c:pt>
                <c:pt idx="3">
                  <c:v>17.238500000000002</c:v>
                </c:pt>
                <c:pt idx="4">
                  <c:v>20.503</c:v>
                </c:pt>
                <c:pt idx="5">
                  <c:v>34.319000000000003</c:v>
                </c:pt>
                <c:pt idx="6">
                  <c:v>49.923499999999997</c:v>
                </c:pt>
              </c:numCache>
            </c:numRef>
          </c:yVal>
          <c:smooth val="0"/>
          <c:extLst>
            <c:ext xmlns:c16="http://schemas.microsoft.com/office/drawing/2014/chart" uri="{C3380CC4-5D6E-409C-BE32-E72D297353CC}">
              <c16:uniqueId val="{00000000-B527-462E-81C7-3F801B629333}"/>
            </c:ext>
          </c:extLst>
        </c:ser>
        <c:ser>
          <c:idx val="1"/>
          <c:order val="1"/>
          <c:tx>
            <c:strRef>
              <c:f>Model!$A$175</c:f>
              <c:strCache>
                <c:ptCount val="1"/>
                <c:pt idx="0">
                  <c:v>Projected SDG1 Nigeria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Model!$B$173:$M$173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Model!$B$175:$M$175</c:f>
              <c:numCache>
                <c:formatCode>General</c:formatCode>
                <c:ptCount val="12"/>
                <c:pt idx="0">
                  <c:v>49.325614929199219</c:v>
                </c:pt>
                <c:pt idx="1">
                  <c:v>45.576107426254943</c:v>
                </c:pt>
                <c:pt idx="2">
                  <c:v>42.346411128237158</c:v>
                </c:pt>
                <c:pt idx="3">
                  <c:v>39.152760371225419</c:v>
                </c:pt>
                <c:pt idx="4">
                  <c:v>36.110231595877785</c:v>
                </c:pt>
                <c:pt idx="5">
                  <c:v>39.474550824788309</c:v>
                </c:pt>
                <c:pt idx="6">
                  <c:v>45.268814464053243</c:v>
                </c:pt>
                <c:pt idx="7">
                  <c:v>48.976663122856088</c:v>
                </c:pt>
                <c:pt idx="8">
                  <c:v>53.769573585992269</c:v>
                </c:pt>
                <c:pt idx="9">
                  <c:v>58.195336342794825</c:v>
                </c:pt>
                <c:pt idx="10">
                  <c:v>62.197408956571444</c:v>
                </c:pt>
                <c:pt idx="11">
                  <c:v>65.816352421474249</c:v>
                </c:pt>
              </c:numCache>
            </c:numRef>
          </c:yVal>
          <c:smooth val="0"/>
          <c:extLst>
            <c:ext xmlns:c16="http://schemas.microsoft.com/office/drawing/2014/chart" uri="{C3380CC4-5D6E-409C-BE32-E72D297353CC}">
              <c16:uniqueId val="{00000001-B527-462E-81C7-3F801B629333}"/>
            </c:ext>
          </c:extLst>
        </c:ser>
        <c:dLbls>
          <c:showLegendKey val="0"/>
          <c:showVal val="0"/>
          <c:showCatName val="0"/>
          <c:showSerName val="0"/>
          <c:showPercent val="0"/>
          <c:showBubbleSize val="0"/>
        </c:dLbls>
        <c:axId val="365695359"/>
        <c:axId val="1"/>
      </c:scatterChart>
      <c:valAx>
        <c:axId val="365695359"/>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365695359"/>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Model!$A$179</c:f>
              <c:strCache>
                <c:ptCount val="1"/>
                <c:pt idx="0">
                  <c:v>Actual SDG2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Model!$B$178:$M$178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Model!$B$179:$M$179</c:f>
              <c:numCache>
                <c:formatCode>General</c:formatCode>
                <c:ptCount val="12"/>
                <c:pt idx="0">
                  <c:v>46.487155914306641</c:v>
                </c:pt>
                <c:pt idx="1">
                  <c:v>47.680642069749318</c:v>
                </c:pt>
                <c:pt idx="2">
                  <c:v>48.014625277601851</c:v>
                </c:pt>
                <c:pt idx="3">
                  <c:v>49.036714285714297</c:v>
                </c:pt>
                <c:pt idx="4">
                  <c:v>60.130625000000002</c:v>
                </c:pt>
                <c:pt idx="5">
                  <c:v>61.098999999999997</c:v>
                </c:pt>
                <c:pt idx="6">
                  <c:v>61.065874999999998</c:v>
                </c:pt>
              </c:numCache>
            </c:numRef>
          </c:yVal>
          <c:smooth val="0"/>
          <c:extLst>
            <c:ext xmlns:c16="http://schemas.microsoft.com/office/drawing/2014/chart" uri="{C3380CC4-5D6E-409C-BE32-E72D297353CC}">
              <c16:uniqueId val="{00000000-D8E5-428D-BF75-10AEBC683423}"/>
            </c:ext>
          </c:extLst>
        </c:ser>
        <c:ser>
          <c:idx val="1"/>
          <c:order val="1"/>
          <c:tx>
            <c:strRef>
              <c:f>Model!$A$180</c:f>
              <c:strCache>
                <c:ptCount val="1"/>
                <c:pt idx="0">
                  <c:v>Projected SDG2 Nigeria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Model!$B$178:$M$178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Model!$B$180:$M$180</c:f>
              <c:numCache>
                <c:formatCode>General</c:formatCode>
                <c:ptCount val="12"/>
                <c:pt idx="0">
                  <c:v>46.487155914306641</c:v>
                </c:pt>
                <c:pt idx="1">
                  <c:v>47.253286648736506</c:v>
                </c:pt>
                <c:pt idx="2">
                  <c:v>47.358293130566047</c:v>
                </c:pt>
                <c:pt idx="3">
                  <c:v>48.765620951923921</c:v>
                </c:pt>
                <c:pt idx="4">
                  <c:v>53.670425519985955</c:v>
                </c:pt>
                <c:pt idx="5">
                  <c:v>51.426832807954156</c:v>
                </c:pt>
                <c:pt idx="6">
                  <c:v>52.612842641751342</c:v>
                </c:pt>
                <c:pt idx="7">
                  <c:v>55.362740424457023</c:v>
                </c:pt>
                <c:pt idx="8">
                  <c:v>58.475734906803076</c:v>
                </c:pt>
                <c:pt idx="9">
                  <c:v>62.037883003267801</c:v>
                </c:pt>
                <c:pt idx="10">
                  <c:v>65.672098315688373</c:v>
                </c:pt>
                <c:pt idx="11">
                  <c:v>68.958400445654718</c:v>
                </c:pt>
              </c:numCache>
            </c:numRef>
          </c:yVal>
          <c:smooth val="0"/>
          <c:extLst>
            <c:ext xmlns:c16="http://schemas.microsoft.com/office/drawing/2014/chart" uri="{C3380CC4-5D6E-409C-BE32-E72D297353CC}">
              <c16:uniqueId val="{00000001-D8E5-428D-BF75-10AEBC683423}"/>
            </c:ext>
          </c:extLst>
        </c:ser>
        <c:dLbls>
          <c:showLegendKey val="0"/>
          <c:showVal val="0"/>
          <c:showCatName val="0"/>
          <c:showSerName val="0"/>
          <c:showPercent val="0"/>
          <c:showBubbleSize val="0"/>
        </c:dLbls>
        <c:axId val="502156911"/>
        <c:axId val="1"/>
      </c:scatterChart>
      <c:valAx>
        <c:axId val="50215691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215691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Model!$A$184</c:f>
              <c:strCache>
                <c:ptCount val="1"/>
                <c:pt idx="0">
                  <c:v>Actual SDG3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Model!$B$183:$M$183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Model!$B$184:$M$184</c:f>
              <c:numCache>
                <c:formatCode>General</c:formatCode>
                <c:ptCount val="12"/>
                <c:pt idx="0">
                  <c:v>27.561077117919922</c:v>
                </c:pt>
                <c:pt idx="1">
                  <c:v>34.644898561567977</c:v>
                </c:pt>
                <c:pt idx="2">
                  <c:v>28.040012521695811</c:v>
                </c:pt>
                <c:pt idx="3">
                  <c:v>27.978000000000002</c:v>
                </c:pt>
                <c:pt idx="4">
                  <c:v>28.903714285714301</c:v>
                </c:pt>
                <c:pt idx="5">
                  <c:v>31.500785714285701</c:v>
                </c:pt>
                <c:pt idx="6">
                  <c:v>36.195999999999998</c:v>
                </c:pt>
              </c:numCache>
            </c:numRef>
          </c:yVal>
          <c:smooth val="0"/>
          <c:extLst>
            <c:ext xmlns:c16="http://schemas.microsoft.com/office/drawing/2014/chart" uri="{C3380CC4-5D6E-409C-BE32-E72D297353CC}">
              <c16:uniqueId val="{00000000-470D-437F-A21E-5A90DC5783AA}"/>
            </c:ext>
          </c:extLst>
        </c:ser>
        <c:ser>
          <c:idx val="1"/>
          <c:order val="1"/>
          <c:tx>
            <c:strRef>
              <c:f>Model!$A$185</c:f>
              <c:strCache>
                <c:ptCount val="1"/>
                <c:pt idx="0">
                  <c:v>Projected SDG3 Nigeria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Model!$B$183:$M$183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Model!$B$185:$M$185</c:f>
              <c:numCache>
                <c:formatCode>General</c:formatCode>
                <c:ptCount val="12"/>
                <c:pt idx="0">
                  <c:v>27.561077117919925</c:v>
                </c:pt>
                <c:pt idx="1">
                  <c:v>33.478951195048246</c:v>
                </c:pt>
                <c:pt idx="2">
                  <c:v>31.437258397846072</c:v>
                </c:pt>
                <c:pt idx="3">
                  <c:v>29.435239826515364</c:v>
                </c:pt>
                <c:pt idx="4">
                  <c:v>28.44283661109316</c:v>
                </c:pt>
                <c:pt idx="5">
                  <c:v>30.678566060952679</c:v>
                </c:pt>
                <c:pt idx="6">
                  <c:v>36.196462098286808</c:v>
                </c:pt>
                <c:pt idx="7">
                  <c:v>41.862945790102167</c:v>
                </c:pt>
                <c:pt idx="8">
                  <c:v>47.42187340807007</c:v>
                </c:pt>
                <c:pt idx="9">
                  <c:v>52.455318533778581</c:v>
                </c:pt>
                <c:pt idx="10">
                  <c:v>57.006898452874601</c:v>
                </c:pt>
                <c:pt idx="11">
                  <c:v>61.122743414431014</c:v>
                </c:pt>
              </c:numCache>
            </c:numRef>
          </c:yVal>
          <c:smooth val="0"/>
          <c:extLst>
            <c:ext xmlns:c16="http://schemas.microsoft.com/office/drawing/2014/chart" uri="{C3380CC4-5D6E-409C-BE32-E72D297353CC}">
              <c16:uniqueId val="{00000001-470D-437F-A21E-5A90DC5783AA}"/>
            </c:ext>
          </c:extLst>
        </c:ser>
        <c:dLbls>
          <c:showLegendKey val="0"/>
          <c:showVal val="0"/>
          <c:showCatName val="0"/>
          <c:showSerName val="0"/>
          <c:showPercent val="0"/>
          <c:showBubbleSize val="0"/>
        </c:dLbls>
        <c:axId val="502158351"/>
        <c:axId val="1"/>
      </c:scatterChart>
      <c:valAx>
        <c:axId val="50215835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215835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Model!$A$189</c:f>
              <c:strCache>
                <c:ptCount val="1"/>
                <c:pt idx="0">
                  <c:v>Actual SDG4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Model!$B$188:$M$188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Model!$B$189:$M$189</c:f>
              <c:numCache>
                <c:formatCode>General</c:formatCode>
                <c:ptCount val="12"/>
                <c:pt idx="0">
                  <c:v>41.950977325439453</c:v>
                </c:pt>
                <c:pt idx="1">
                  <c:v>31.512858151990375</c:v>
                </c:pt>
                <c:pt idx="2">
                  <c:v>32.128384690389233</c:v>
                </c:pt>
                <c:pt idx="3">
                  <c:v>37.419666666666664</c:v>
                </c:pt>
                <c:pt idx="4">
                  <c:v>38.750666666666703</c:v>
                </c:pt>
                <c:pt idx="5">
                  <c:v>38.750666666666703</c:v>
                </c:pt>
                <c:pt idx="6">
                  <c:v>38.750666666666703</c:v>
                </c:pt>
              </c:numCache>
            </c:numRef>
          </c:yVal>
          <c:smooth val="0"/>
          <c:extLst>
            <c:ext xmlns:c16="http://schemas.microsoft.com/office/drawing/2014/chart" uri="{C3380CC4-5D6E-409C-BE32-E72D297353CC}">
              <c16:uniqueId val="{00000000-05C4-4CC1-9833-257D2B91579D}"/>
            </c:ext>
          </c:extLst>
        </c:ser>
        <c:ser>
          <c:idx val="1"/>
          <c:order val="1"/>
          <c:tx>
            <c:strRef>
              <c:f>Model!$A$190</c:f>
              <c:strCache>
                <c:ptCount val="1"/>
                <c:pt idx="0">
                  <c:v>Projected SDG4 Nigeria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Model!$B$188:$M$188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Model!$B$190:$M$190</c:f>
              <c:numCache>
                <c:formatCode>General</c:formatCode>
                <c:ptCount val="12"/>
                <c:pt idx="0">
                  <c:v>41.950977325439453</c:v>
                </c:pt>
                <c:pt idx="1">
                  <c:v>38.936127309110994</c:v>
                </c:pt>
                <c:pt idx="2">
                  <c:v>36.462078776705461</c:v>
                </c:pt>
                <c:pt idx="3">
                  <c:v>35.175072916381843</c:v>
                </c:pt>
                <c:pt idx="4">
                  <c:v>35.856929955719544</c:v>
                </c:pt>
                <c:pt idx="5">
                  <c:v>39.05705490026007</c:v>
                </c:pt>
                <c:pt idx="6">
                  <c:v>37.266490765333252</c:v>
                </c:pt>
                <c:pt idx="7">
                  <c:v>37.450991087293126</c:v>
                </c:pt>
                <c:pt idx="8">
                  <c:v>38.700319851081609</c:v>
                </c:pt>
                <c:pt idx="9">
                  <c:v>41.25397031649107</c:v>
                </c:pt>
                <c:pt idx="10">
                  <c:v>45.18751860194655</c:v>
                </c:pt>
                <c:pt idx="11">
                  <c:v>50.263011107563692</c:v>
                </c:pt>
              </c:numCache>
            </c:numRef>
          </c:yVal>
          <c:smooth val="0"/>
          <c:extLst>
            <c:ext xmlns:c16="http://schemas.microsoft.com/office/drawing/2014/chart" uri="{C3380CC4-5D6E-409C-BE32-E72D297353CC}">
              <c16:uniqueId val="{00000001-05C4-4CC1-9833-257D2B91579D}"/>
            </c:ext>
          </c:extLst>
        </c:ser>
        <c:dLbls>
          <c:showLegendKey val="0"/>
          <c:showVal val="0"/>
          <c:showCatName val="0"/>
          <c:showSerName val="0"/>
          <c:showPercent val="0"/>
          <c:showBubbleSize val="0"/>
        </c:dLbls>
        <c:axId val="502171311"/>
        <c:axId val="1"/>
      </c:scatterChart>
      <c:valAx>
        <c:axId val="50217131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217131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Model!$A$194</c:f>
              <c:strCache>
                <c:ptCount val="1"/>
                <c:pt idx="0">
                  <c:v>Actual SDG5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Model!$B$193:$M$193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Model!$B$194:$M$194</c:f>
              <c:numCache>
                <c:formatCode>General</c:formatCode>
                <c:ptCount val="12"/>
                <c:pt idx="0">
                  <c:v>35.542755126953125</c:v>
                </c:pt>
                <c:pt idx="1">
                  <c:v>43.707523938400008</c:v>
                </c:pt>
                <c:pt idx="2">
                  <c:v>36.50498826843603</c:v>
                </c:pt>
                <c:pt idx="3">
                  <c:v>41.079250000000002</c:v>
                </c:pt>
                <c:pt idx="4">
                  <c:v>38.206499999999998</c:v>
                </c:pt>
                <c:pt idx="5">
                  <c:v>41.161499999999997</c:v>
                </c:pt>
                <c:pt idx="6">
                  <c:v>39.224249999999998</c:v>
                </c:pt>
              </c:numCache>
            </c:numRef>
          </c:yVal>
          <c:smooth val="0"/>
          <c:extLst>
            <c:ext xmlns:c16="http://schemas.microsoft.com/office/drawing/2014/chart" uri="{C3380CC4-5D6E-409C-BE32-E72D297353CC}">
              <c16:uniqueId val="{00000000-4E36-4CA1-A14F-B4F718BA58AE}"/>
            </c:ext>
          </c:extLst>
        </c:ser>
        <c:ser>
          <c:idx val="1"/>
          <c:order val="1"/>
          <c:tx>
            <c:strRef>
              <c:f>Model!$A$195</c:f>
              <c:strCache>
                <c:ptCount val="1"/>
                <c:pt idx="0">
                  <c:v>Projected SDG5 Nigeria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Model!$B$193:$M$193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Model!$B$195:$M$195</c:f>
              <c:numCache>
                <c:formatCode>General</c:formatCode>
                <c:ptCount val="12"/>
                <c:pt idx="0">
                  <c:v>35.542755126953125</c:v>
                </c:pt>
                <c:pt idx="1">
                  <c:v>40.778172304142267</c:v>
                </c:pt>
                <c:pt idx="2">
                  <c:v>38.771419341039824</c:v>
                </c:pt>
                <c:pt idx="3">
                  <c:v>37.989774973742804</c:v>
                </c:pt>
                <c:pt idx="4">
                  <c:v>38.347685407890111</c:v>
                </c:pt>
                <c:pt idx="5">
                  <c:v>36.959393865032339</c:v>
                </c:pt>
                <c:pt idx="6">
                  <c:v>39.183340745520965</c:v>
                </c:pt>
                <c:pt idx="7">
                  <c:v>42.346930499500836</c:v>
                </c:pt>
                <c:pt idx="8">
                  <c:v>47.560402287730327</c:v>
                </c:pt>
                <c:pt idx="9">
                  <c:v>52.580585672116122</c:v>
                </c:pt>
                <c:pt idx="10">
                  <c:v>57.120173431967473</c:v>
                </c:pt>
                <c:pt idx="11">
                  <c:v>61.225174275858677</c:v>
                </c:pt>
              </c:numCache>
            </c:numRef>
          </c:yVal>
          <c:smooth val="0"/>
          <c:extLst>
            <c:ext xmlns:c16="http://schemas.microsoft.com/office/drawing/2014/chart" uri="{C3380CC4-5D6E-409C-BE32-E72D297353CC}">
              <c16:uniqueId val="{00000001-4E36-4CA1-A14F-B4F718BA58AE}"/>
            </c:ext>
          </c:extLst>
        </c:ser>
        <c:dLbls>
          <c:showLegendKey val="0"/>
          <c:showVal val="0"/>
          <c:showCatName val="0"/>
          <c:showSerName val="0"/>
          <c:showPercent val="0"/>
          <c:showBubbleSize val="0"/>
        </c:dLbls>
        <c:axId val="502161711"/>
        <c:axId val="1"/>
      </c:scatterChart>
      <c:valAx>
        <c:axId val="50216171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216171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Model!$A$199</c:f>
              <c:strCache>
                <c:ptCount val="1"/>
                <c:pt idx="0">
                  <c:v>Actual SDG6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Model!$B$198:$M$198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Model!$B$199:$M$199</c:f>
              <c:numCache>
                <c:formatCode>General</c:formatCode>
                <c:ptCount val="12"/>
                <c:pt idx="0">
                  <c:v>62.973716735839844</c:v>
                </c:pt>
                <c:pt idx="1">
                  <c:v>73.989092949334875</c:v>
                </c:pt>
                <c:pt idx="2">
                  <c:v>53.521653912463179</c:v>
                </c:pt>
                <c:pt idx="3">
                  <c:v>56.878399999999999</c:v>
                </c:pt>
                <c:pt idx="4">
                  <c:v>56.878399999999999</c:v>
                </c:pt>
                <c:pt idx="5">
                  <c:v>59.739600000000003</c:v>
                </c:pt>
                <c:pt idx="6">
                  <c:v>59.708799999999997</c:v>
                </c:pt>
              </c:numCache>
            </c:numRef>
          </c:yVal>
          <c:smooth val="0"/>
          <c:extLst>
            <c:ext xmlns:c16="http://schemas.microsoft.com/office/drawing/2014/chart" uri="{C3380CC4-5D6E-409C-BE32-E72D297353CC}">
              <c16:uniqueId val="{00000000-F975-430D-A0EA-39FBD61A9B45}"/>
            </c:ext>
          </c:extLst>
        </c:ser>
        <c:ser>
          <c:idx val="1"/>
          <c:order val="1"/>
          <c:tx>
            <c:strRef>
              <c:f>Model!$A$200</c:f>
              <c:strCache>
                <c:ptCount val="1"/>
                <c:pt idx="0">
                  <c:v>Projected SDG6 Nigeria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Model!$B$198:$M$198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Model!$B$200:$M$200</c:f>
              <c:numCache>
                <c:formatCode>General</c:formatCode>
                <c:ptCount val="12"/>
                <c:pt idx="0">
                  <c:v>62.973716735839844</c:v>
                </c:pt>
                <c:pt idx="1">
                  <c:v>66.518342174200285</c:v>
                </c:pt>
                <c:pt idx="2">
                  <c:v>61.188095191545024</c:v>
                </c:pt>
                <c:pt idx="3">
                  <c:v>56.793851773311488</c:v>
                </c:pt>
                <c:pt idx="4">
                  <c:v>54.283738169309935</c:v>
                </c:pt>
                <c:pt idx="5">
                  <c:v>56.144073925521376</c:v>
                </c:pt>
                <c:pt idx="6">
                  <c:v>59.107369149577892</c:v>
                </c:pt>
                <c:pt idx="7">
                  <c:v>63.022129784955105</c:v>
                </c:pt>
                <c:pt idx="8">
                  <c:v>66.56211988140862</c:v>
                </c:pt>
                <c:pt idx="9">
                  <c:v>69.763217228138629</c:v>
                </c:pt>
                <c:pt idx="10">
                  <c:v>72.657864937325073</c:v>
                </c:pt>
                <c:pt idx="11">
                  <c:v>75.275400254974059</c:v>
                </c:pt>
              </c:numCache>
            </c:numRef>
          </c:yVal>
          <c:smooth val="0"/>
          <c:extLst>
            <c:ext xmlns:c16="http://schemas.microsoft.com/office/drawing/2014/chart" uri="{C3380CC4-5D6E-409C-BE32-E72D297353CC}">
              <c16:uniqueId val="{00000001-F975-430D-A0EA-39FBD61A9B45}"/>
            </c:ext>
          </c:extLst>
        </c:ser>
        <c:dLbls>
          <c:showLegendKey val="0"/>
          <c:showVal val="0"/>
          <c:showCatName val="0"/>
          <c:showSerName val="0"/>
          <c:showPercent val="0"/>
          <c:showBubbleSize val="0"/>
        </c:dLbls>
        <c:axId val="507483231"/>
        <c:axId val="1"/>
      </c:scatterChart>
      <c:valAx>
        <c:axId val="50748323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748323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Model!$A$204</c:f>
              <c:strCache>
                <c:ptCount val="1"/>
                <c:pt idx="0">
                  <c:v>Actual SDG7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Model!$B$203:$M$203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Model!$B$204:$M$204</c:f>
              <c:numCache>
                <c:formatCode>General</c:formatCode>
                <c:ptCount val="12"/>
                <c:pt idx="0">
                  <c:v>38.113487243652344</c:v>
                </c:pt>
                <c:pt idx="1">
                  <c:v>29.592259294835035</c:v>
                </c:pt>
                <c:pt idx="2">
                  <c:v>37.074479425964718</c:v>
                </c:pt>
                <c:pt idx="3">
                  <c:v>35.070333333333338</c:v>
                </c:pt>
                <c:pt idx="4">
                  <c:v>34.6086666666667</c:v>
                </c:pt>
                <c:pt idx="5">
                  <c:v>46.9</c:v>
                </c:pt>
                <c:pt idx="6">
                  <c:v>24.98075</c:v>
                </c:pt>
              </c:numCache>
            </c:numRef>
          </c:yVal>
          <c:smooth val="0"/>
          <c:extLst>
            <c:ext xmlns:c16="http://schemas.microsoft.com/office/drawing/2014/chart" uri="{C3380CC4-5D6E-409C-BE32-E72D297353CC}">
              <c16:uniqueId val="{00000000-28BA-4BBA-94FF-D7F6A28C687A}"/>
            </c:ext>
          </c:extLst>
        </c:ser>
        <c:ser>
          <c:idx val="1"/>
          <c:order val="1"/>
          <c:tx>
            <c:strRef>
              <c:f>Model!$A$205</c:f>
              <c:strCache>
                <c:ptCount val="1"/>
                <c:pt idx="0">
                  <c:v>Projected SDG7 Nigeria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Model!$B$203:$M$203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Model!$B$205:$M$205</c:f>
              <c:numCache>
                <c:formatCode>General</c:formatCode>
                <c:ptCount val="12"/>
                <c:pt idx="0">
                  <c:v>38.113487243652344</c:v>
                </c:pt>
                <c:pt idx="1">
                  <c:v>35.42210768135827</c:v>
                </c:pt>
                <c:pt idx="2">
                  <c:v>33.945707935521774</c:v>
                </c:pt>
                <c:pt idx="3">
                  <c:v>34.525301558514052</c:v>
                </c:pt>
                <c:pt idx="4">
                  <c:v>34.250019086680517</c:v>
                </c:pt>
                <c:pt idx="5">
                  <c:v>36.138228885120441</c:v>
                </c:pt>
                <c:pt idx="6">
                  <c:v>33.6359461051049</c:v>
                </c:pt>
                <c:pt idx="7">
                  <c:v>31.373213569242541</c:v>
                </c:pt>
                <c:pt idx="8">
                  <c:v>29.327098489947513</c:v>
                </c:pt>
                <c:pt idx="9">
                  <c:v>27.476863496918185</c:v>
                </c:pt>
                <c:pt idx="10">
                  <c:v>25.803756463950258</c:v>
                </c:pt>
                <c:pt idx="11">
                  <c:v>24.290820456192908</c:v>
                </c:pt>
              </c:numCache>
            </c:numRef>
          </c:yVal>
          <c:smooth val="0"/>
          <c:extLst>
            <c:ext xmlns:c16="http://schemas.microsoft.com/office/drawing/2014/chart" uri="{C3380CC4-5D6E-409C-BE32-E72D297353CC}">
              <c16:uniqueId val="{00000001-28BA-4BBA-94FF-D7F6A28C687A}"/>
            </c:ext>
          </c:extLst>
        </c:ser>
        <c:dLbls>
          <c:showLegendKey val="0"/>
          <c:showVal val="0"/>
          <c:showCatName val="0"/>
          <c:showSerName val="0"/>
          <c:showPercent val="0"/>
          <c:showBubbleSize val="0"/>
        </c:dLbls>
        <c:axId val="507482751"/>
        <c:axId val="1"/>
      </c:scatterChart>
      <c:valAx>
        <c:axId val="50748275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748275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796711247321574E-2"/>
          <c:y val="5.2818571952104654E-2"/>
          <c:w val="0.86150407168549981"/>
          <c:h val="0.79579981741171013"/>
        </c:manualLayout>
      </c:layout>
      <c:scatterChart>
        <c:scatterStyle val="lineMarker"/>
        <c:varyColors val="0"/>
        <c:ser>
          <c:idx val="0"/>
          <c:order val="0"/>
          <c:tx>
            <c:strRef>
              <c:f>Model!$A$209</c:f>
              <c:strCache>
                <c:ptCount val="1"/>
                <c:pt idx="0">
                  <c:v>Actual SDG8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Model!$B$208:$M$208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Model!$B$209:$M$209</c:f>
              <c:numCache>
                <c:formatCode>General</c:formatCode>
                <c:ptCount val="12"/>
                <c:pt idx="0">
                  <c:v>49.241348266601563</c:v>
                </c:pt>
                <c:pt idx="1">
                  <c:v>60.580275945652573</c:v>
                </c:pt>
                <c:pt idx="2">
                  <c:v>64.707157004877203</c:v>
                </c:pt>
                <c:pt idx="3">
                  <c:v>60.459500000000006</c:v>
                </c:pt>
                <c:pt idx="4">
                  <c:v>55.669199999999996</c:v>
                </c:pt>
                <c:pt idx="5">
                  <c:v>55.700600000000001</c:v>
                </c:pt>
                <c:pt idx="6">
                  <c:v>66.567666666666696</c:v>
                </c:pt>
              </c:numCache>
            </c:numRef>
          </c:yVal>
          <c:smooth val="0"/>
          <c:extLst>
            <c:ext xmlns:c16="http://schemas.microsoft.com/office/drawing/2014/chart" uri="{C3380CC4-5D6E-409C-BE32-E72D297353CC}">
              <c16:uniqueId val="{00000000-AC3C-4D61-ADC1-93B61B6F8BD7}"/>
            </c:ext>
          </c:extLst>
        </c:ser>
        <c:ser>
          <c:idx val="1"/>
          <c:order val="1"/>
          <c:tx>
            <c:strRef>
              <c:f>Model!$A$210</c:f>
              <c:strCache>
                <c:ptCount val="1"/>
                <c:pt idx="0">
                  <c:v>Projected SDG8 Nigeria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Model!$B$208:$M$208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Model!$B$210:$M$210</c:f>
              <c:numCache>
                <c:formatCode>General</c:formatCode>
                <c:ptCount val="12"/>
                <c:pt idx="0">
                  <c:v>49.241348266601563</c:v>
                </c:pt>
                <c:pt idx="1">
                  <c:v>53.235029213783911</c:v>
                </c:pt>
                <c:pt idx="2">
                  <c:v>57.71196533752002</c:v>
                </c:pt>
                <c:pt idx="3">
                  <c:v>60.363090590236069</c:v>
                </c:pt>
                <c:pt idx="4">
                  <c:v>55.974962411914177</c:v>
                </c:pt>
                <c:pt idx="5">
                  <c:v>60.189597379355121</c:v>
                </c:pt>
                <c:pt idx="6">
                  <c:v>64.000754033501394</c:v>
                </c:pt>
                <c:pt idx="7">
                  <c:v>65.601419890236443</c:v>
                </c:pt>
                <c:pt idx="8">
                  <c:v>68.749818752144591</c:v>
                </c:pt>
                <c:pt idx="9">
                  <c:v>71.741482447208028</c:v>
                </c:pt>
                <c:pt idx="10">
                  <c:v>74.446746150112205</c:v>
                </c:pt>
                <c:pt idx="11">
                  <c:v>76.893027700517464</c:v>
                </c:pt>
              </c:numCache>
            </c:numRef>
          </c:yVal>
          <c:smooth val="0"/>
          <c:extLst>
            <c:ext xmlns:c16="http://schemas.microsoft.com/office/drawing/2014/chart" uri="{C3380CC4-5D6E-409C-BE32-E72D297353CC}">
              <c16:uniqueId val="{00000001-AC3C-4D61-ADC1-93B61B6F8BD7}"/>
            </c:ext>
          </c:extLst>
        </c:ser>
        <c:dLbls>
          <c:showLegendKey val="0"/>
          <c:showVal val="0"/>
          <c:showCatName val="0"/>
          <c:showSerName val="0"/>
          <c:showPercent val="0"/>
          <c:showBubbleSize val="0"/>
        </c:dLbls>
        <c:axId val="507495711"/>
        <c:axId val="1"/>
      </c:scatterChart>
      <c:valAx>
        <c:axId val="50749571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7495711"/>
        <c:crossesAt val="0"/>
        <c:crossBetween val="midCat"/>
      </c:valAx>
      <c:spPr>
        <a:solidFill>
          <a:srgbClr val="FFFFFF"/>
        </a:solidFill>
        <a:ln w="12700">
          <a:solidFill>
            <a:srgbClr val="808080"/>
          </a:solidFill>
          <a:prstDash val="solid"/>
        </a:ln>
      </c:spPr>
    </c:plotArea>
    <c:legend>
      <c:legendPos val="r"/>
      <c:layout>
        <c:manualLayout>
          <c:xMode val="edge"/>
          <c:yMode val="edge"/>
          <c:x val="0.1939373872615463"/>
          <c:y val="0.9243250109750516"/>
          <c:w val="0.60292087010805639"/>
          <c:h val="4.9297316483126408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Model!$A$214</c:f>
              <c:strCache>
                <c:ptCount val="1"/>
                <c:pt idx="0">
                  <c:v>Actual SDG9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Model!$B$213:$M$213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Model!$B$214:$M$214</c:f>
              <c:numCache>
                <c:formatCode>General</c:formatCode>
                <c:ptCount val="12"/>
                <c:pt idx="0">
                  <c:v>15.23066520690918</c:v>
                </c:pt>
                <c:pt idx="1">
                  <c:v>15.418810776573634</c:v>
                </c:pt>
                <c:pt idx="2">
                  <c:v>18.383456764844201</c:v>
                </c:pt>
                <c:pt idx="3">
                  <c:v>31.809833333333334</c:v>
                </c:pt>
                <c:pt idx="4">
                  <c:v>33.435000000000002</c:v>
                </c:pt>
                <c:pt idx="5">
                  <c:v>33.246666666666698</c:v>
                </c:pt>
                <c:pt idx="6">
                  <c:v>40.605714285714299</c:v>
                </c:pt>
              </c:numCache>
            </c:numRef>
          </c:yVal>
          <c:smooth val="0"/>
          <c:extLst>
            <c:ext xmlns:c16="http://schemas.microsoft.com/office/drawing/2014/chart" uri="{C3380CC4-5D6E-409C-BE32-E72D297353CC}">
              <c16:uniqueId val="{00000000-426C-4277-8345-255854E11190}"/>
            </c:ext>
          </c:extLst>
        </c:ser>
        <c:ser>
          <c:idx val="1"/>
          <c:order val="1"/>
          <c:tx>
            <c:strRef>
              <c:f>Model!$A$215</c:f>
              <c:strCache>
                <c:ptCount val="1"/>
                <c:pt idx="0">
                  <c:v>Projected SDG9 Nigeria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Model!$B$213:$M$213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Model!$B$215:$M$215</c:f>
              <c:numCache>
                <c:formatCode>General</c:formatCode>
                <c:ptCount val="12"/>
                <c:pt idx="0">
                  <c:v>15.23066520690918</c:v>
                </c:pt>
                <c:pt idx="1">
                  <c:v>14.764598696522615</c:v>
                </c:pt>
                <c:pt idx="2">
                  <c:v>15.23737841123374</c:v>
                </c:pt>
                <c:pt idx="3">
                  <c:v>17.51516495322771</c:v>
                </c:pt>
                <c:pt idx="4">
                  <c:v>23.247518870024628</c:v>
                </c:pt>
                <c:pt idx="5">
                  <c:v>24.096574290497397</c:v>
                </c:pt>
                <c:pt idx="6">
                  <c:v>27.976638388974511</c:v>
                </c:pt>
                <c:pt idx="7">
                  <c:v>34.871628034607909</c:v>
                </c:pt>
                <c:pt idx="8">
                  <c:v>41.106541822214226</c:v>
                </c:pt>
                <c:pt idx="9">
                  <c:v>46.744570584665304</c:v>
                </c:pt>
                <c:pt idx="10">
                  <c:v>51.842855726861195</c:v>
                </c:pt>
                <c:pt idx="11">
                  <c:v>56.449004104568246</c:v>
                </c:pt>
              </c:numCache>
            </c:numRef>
          </c:yVal>
          <c:smooth val="0"/>
          <c:extLst>
            <c:ext xmlns:c16="http://schemas.microsoft.com/office/drawing/2014/chart" uri="{C3380CC4-5D6E-409C-BE32-E72D297353CC}">
              <c16:uniqueId val="{00000001-426C-4277-8345-255854E11190}"/>
            </c:ext>
          </c:extLst>
        </c:ser>
        <c:dLbls>
          <c:showLegendKey val="0"/>
          <c:showVal val="0"/>
          <c:showCatName val="0"/>
          <c:showSerName val="0"/>
          <c:showPercent val="0"/>
          <c:showBubbleSize val="0"/>
        </c:dLbls>
        <c:axId val="507486111"/>
        <c:axId val="1"/>
      </c:scatterChart>
      <c:valAx>
        <c:axId val="50748611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7486111"/>
        <c:crossesAt val="0"/>
        <c:crossBetween val="midCat"/>
      </c:valAx>
      <c:spPr>
        <a:solidFill>
          <a:srgbClr val="FFFFFF"/>
        </a:solidFill>
        <a:ln w="12700">
          <a:solidFill>
            <a:srgbClr val="808080"/>
          </a:solidFill>
          <a:prstDash val="solid"/>
        </a:ln>
      </c:spPr>
    </c:plotArea>
    <c:legend>
      <c:legendPos val="r"/>
      <c:layout>
        <c:manualLayout>
          <c:xMode val="edge"/>
          <c:yMode val="edge"/>
          <c:x val="0.21240762775875091"/>
          <c:y val="0.93488870830647952"/>
          <c:w val="0.60819808167868628"/>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Model!$A$219</c:f>
              <c:strCache>
                <c:ptCount val="1"/>
                <c:pt idx="0">
                  <c:v>Actual SDG10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Model!$B$218:$M$218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Model!$B$219:$M$219</c:f>
              <c:numCache>
                <c:formatCode>General</c:formatCode>
                <c:ptCount val="12"/>
                <c:pt idx="0">
                  <c:v>50.123226165771484</c:v>
                </c:pt>
                <c:pt idx="1">
                  <c:v>9.1556380535194624</c:v>
                </c:pt>
                <c:pt idx="2">
                  <c:v>9.0562471201722055</c:v>
                </c:pt>
                <c:pt idx="3">
                  <c:v>19.548999999999999</c:v>
                </c:pt>
                <c:pt idx="4">
                  <c:v>20.212</c:v>
                </c:pt>
                <c:pt idx="5">
                  <c:v>49.733499999999999</c:v>
                </c:pt>
                <c:pt idx="6">
                  <c:v>72.796000000000006</c:v>
                </c:pt>
              </c:numCache>
            </c:numRef>
          </c:yVal>
          <c:smooth val="0"/>
          <c:extLst>
            <c:ext xmlns:c16="http://schemas.microsoft.com/office/drawing/2014/chart" uri="{C3380CC4-5D6E-409C-BE32-E72D297353CC}">
              <c16:uniqueId val="{00000000-6C35-4722-993F-501AF1C85033}"/>
            </c:ext>
          </c:extLst>
        </c:ser>
        <c:ser>
          <c:idx val="1"/>
          <c:order val="1"/>
          <c:tx>
            <c:strRef>
              <c:f>Model!$A$220</c:f>
              <c:strCache>
                <c:ptCount val="1"/>
                <c:pt idx="0">
                  <c:v>Projected SDG10 Nigeria</c:v>
                </c:pt>
              </c:strCache>
            </c:strRef>
          </c:tx>
          <c:spPr>
            <a:ln w="38100">
              <a:solidFill>
                <a:srgbClr val="FF00FF"/>
              </a:solidFill>
              <a:prstDash val="solid"/>
            </a:ln>
          </c:spPr>
          <c:marker>
            <c:symbol val="circle"/>
            <c:size val="9"/>
            <c:spPr>
              <a:solidFill>
                <a:srgbClr val="FF00FF"/>
              </a:solidFill>
              <a:ln>
                <a:solidFill>
                  <a:srgbClr val="FF00FF"/>
                </a:solidFill>
                <a:prstDash val="solid"/>
              </a:ln>
            </c:spPr>
          </c:marker>
          <c:xVal>
            <c:numRef>
              <c:f>Model!$B$218:$M$218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Model!$B$220:$M$220</c:f>
              <c:numCache>
                <c:formatCode>General</c:formatCode>
                <c:ptCount val="12"/>
                <c:pt idx="0">
                  <c:v>50.123226165771484</c:v>
                </c:pt>
                <c:pt idx="1">
                  <c:v>46.164489268865495</c:v>
                </c:pt>
                <c:pt idx="2">
                  <c:v>42.685320376452417</c:v>
                </c:pt>
                <c:pt idx="3">
                  <c:v>39.482316167547246</c:v>
                </c:pt>
                <c:pt idx="4">
                  <c:v>36.666433688469645</c:v>
                </c:pt>
                <c:pt idx="5">
                  <c:v>41.761307546329249</c:v>
                </c:pt>
                <c:pt idx="6">
                  <c:v>47.336653829274987</c:v>
                </c:pt>
                <c:pt idx="7">
                  <c:v>50.97905118755007</c:v>
                </c:pt>
                <c:pt idx="8">
                  <c:v>55.671958140524403</c:v>
                </c:pt>
                <c:pt idx="9">
                  <c:v>59.915600519825674</c:v>
                </c:pt>
                <c:pt idx="10">
                  <c:v>63.75298762846802</c:v>
                </c:pt>
                <c:pt idx="11">
                  <c:v>67.223011373494089</c:v>
                </c:pt>
              </c:numCache>
            </c:numRef>
          </c:yVal>
          <c:smooth val="0"/>
          <c:extLst>
            <c:ext xmlns:c16="http://schemas.microsoft.com/office/drawing/2014/chart" uri="{C3380CC4-5D6E-409C-BE32-E72D297353CC}">
              <c16:uniqueId val="{00000001-6C35-4722-993F-501AF1C85033}"/>
            </c:ext>
          </c:extLst>
        </c:ser>
        <c:dLbls>
          <c:showLegendKey val="0"/>
          <c:showVal val="0"/>
          <c:showCatName val="0"/>
          <c:showSerName val="0"/>
          <c:showPercent val="0"/>
          <c:showBubbleSize val="0"/>
        </c:dLbls>
        <c:axId val="140330415"/>
        <c:axId val="1"/>
      </c:scatterChart>
      <c:valAx>
        <c:axId val="140330415"/>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0330415"/>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Model!$A$224</c:f>
              <c:strCache>
                <c:ptCount val="1"/>
                <c:pt idx="0">
                  <c:v>Actual SDG11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Model!$B$223:$M$223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Model!$B$224:$M$224</c:f>
              <c:numCache>
                <c:formatCode>General</c:formatCode>
                <c:ptCount val="12"/>
                <c:pt idx="0">
                  <c:v>31.040891647338867</c:v>
                </c:pt>
                <c:pt idx="1">
                  <c:v>43.454601510097454</c:v>
                </c:pt>
                <c:pt idx="2">
                  <c:v>32.641457130491325</c:v>
                </c:pt>
                <c:pt idx="3">
                  <c:v>33.025666666666673</c:v>
                </c:pt>
                <c:pt idx="4">
                  <c:v>26.74</c:v>
                </c:pt>
                <c:pt idx="5">
                  <c:v>26.2135</c:v>
                </c:pt>
                <c:pt idx="6">
                  <c:v>29.442250000000001</c:v>
                </c:pt>
              </c:numCache>
            </c:numRef>
          </c:yVal>
          <c:smooth val="0"/>
          <c:extLst>
            <c:ext xmlns:c16="http://schemas.microsoft.com/office/drawing/2014/chart" uri="{C3380CC4-5D6E-409C-BE32-E72D297353CC}">
              <c16:uniqueId val="{00000000-D109-490F-94C9-52E46F88B01D}"/>
            </c:ext>
          </c:extLst>
        </c:ser>
        <c:ser>
          <c:idx val="1"/>
          <c:order val="1"/>
          <c:tx>
            <c:strRef>
              <c:f>Model!$A$225</c:f>
              <c:strCache>
                <c:ptCount val="1"/>
                <c:pt idx="0">
                  <c:v>Projected SDG11 Nigeria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Model!$B$223:$M$223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Model!$B$225:$M$225</c:f>
              <c:numCache>
                <c:formatCode>General</c:formatCode>
                <c:ptCount val="12"/>
                <c:pt idx="0">
                  <c:v>31.040891647338871</c:v>
                </c:pt>
                <c:pt idx="1">
                  <c:v>37.429663764562839</c:v>
                </c:pt>
                <c:pt idx="2">
                  <c:v>36.150184985488728</c:v>
                </c:pt>
                <c:pt idx="3">
                  <c:v>33.686959176222217</c:v>
                </c:pt>
                <c:pt idx="4">
                  <c:v>31.352093357664511</c:v>
                </c:pt>
                <c:pt idx="5">
                  <c:v>31.422851494898712</c:v>
                </c:pt>
                <c:pt idx="6">
                  <c:v>29.467772175186202</c:v>
                </c:pt>
                <c:pt idx="7">
                  <c:v>27.947877323010612</c:v>
                </c:pt>
                <c:pt idx="8">
                  <c:v>26.855449496977162</c:v>
                </c:pt>
                <c:pt idx="9">
                  <c:v>26.150048968532879</c:v>
                </c:pt>
                <c:pt idx="10">
                  <c:v>25.784751022949482</c:v>
                </c:pt>
                <c:pt idx="11">
                  <c:v>25.714916331169125</c:v>
                </c:pt>
              </c:numCache>
            </c:numRef>
          </c:yVal>
          <c:smooth val="0"/>
          <c:extLst>
            <c:ext xmlns:c16="http://schemas.microsoft.com/office/drawing/2014/chart" uri="{C3380CC4-5D6E-409C-BE32-E72D297353CC}">
              <c16:uniqueId val="{00000001-D109-490F-94C9-52E46F88B01D}"/>
            </c:ext>
          </c:extLst>
        </c:ser>
        <c:dLbls>
          <c:showLegendKey val="0"/>
          <c:showVal val="0"/>
          <c:showCatName val="0"/>
          <c:showSerName val="0"/>
          <c:showPercent val="0"/>
          <c:showBubbleSize val="0"/>
        </c:dLbls>
        <c:axId val="140329455"/>
        <c:axId val="1"/>
      </c:scatterChart>
      <c:valAx>
        <c:axId val="140329455"/>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0329455"/>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Model!$A$229</c:f>
              <c:strCache>
                <c:ptCount val="1"/>
                <c:pt idx="0">
                  <c:v>Actual SDG12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Model!$B$228:$M$228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Model!$B$229:$M$229</c:f>
              <c:numCache>
                <c:formatCode>General</c:formatCode>
                <c:ptCount val="12"/>
                <c:pt idx="0">
                  <c:v>76.251144409179688</c:v>
                </c:pt>
                <c:pt idx="1">
                  <c:v>76.252339214137706</c:v>
                </c:pt>
                <c:pt idx="2">
                  <c:v>94.837284728581565</c:v>
                </c:pt>
                <c:pt idx="3">
                  <c:v>94.01066666666668</c:v>
                </c:pt>
                <c:pt idx="4">
                  <c:v>93.426833333333306</c:v>
                </c:pt>
                <c:pt idx="5">
                  <c:v>95.947285714285698</c:v>
                </c:pt>
                <c:pt idx="6">
                  <c:v>95.556285714285707</c:v>
                </c:pt>
              </c:numCache>
            </c:numRef>
          </c:yVal>
          <c:smooth val="0"/>
          <c:extLst>
            <c:ext xmlns:c16="http://schemas.microsoft.com/office/drawing/2014/chart" uri="{C3380CC4-5D6E-409C-BE32-E72D297353CC}">
              <c16:uniqueId val="{00000000-B057-4EAB-9553-D74866ECD8CB}"/>
            </c:ext>
          </c:extLst>
        </c:ser>
        <c:ser>
          <c:idx val="1"/>
          <c:order val="1"/>
          <c:tx>
            <c:strRef>
              <c:f>Model!$A$230</c:f>
              <c:strCache>
                <c:ptCount val="1"/>
                <c:pt idx="0">
                  <c:v>Projected SDG12 Nigeria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Model!$B$228:$M$228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Model!$B$230:$M$230</c:f>
              <c:numCache>
                <c:formatCode>General</c:formatCode>
                <c:ptCount val="12"/>
                <c:pt idx="0">
                  <c:v>76.251144409179688</c:v>
                </c:pt>
                <c:pt idx="1">
                  <c:v>76.293827295587803</c:v>
                </c:pt>
                <c:pt idx="2">
                  <c:v>78.563282812219754</c:v>
                </c:pt>
                <c:pt idx="3">
                  <c:v>80.615477263297535</c:v>
                </c:pt>
                <c:pt idx="4">
                  <c:v>82.471209633537939</c:v>
                </c:pt>
                <c:pt idx="5">
                  <c:v>79.81771906879473</c:v>
                </c:pt>
                <c:pt idx="6">
                  <c:v>80.91333998868852</c:v>
                </c:pt>
                <c:pt idx="7">
                  <c:v>80.196145340905545</c:v>
                </c:pt>
                <c:pt idx="8">
                  <c:v>78.030736137927818</c:v>
                </c:pt>
                <c:pt idx="9">
                  <c:v>74.865261008830672</c:v>
                </c:pt>
                <c:pt idx="10">
                  <c:v>71.046184702754829</c:v>
                </c:pt>
                <c:pt idx="11">
                  <c:v>66.849506323510852</c:v>
                </c:pt>
              </c:numCache>
            </c:numRef>
          </c:yVal>
          <c:smooth val="0"/>
          <c:extLst>
            <c:ext xmlns:c16="http://schemas.microsoft.com/office/drawing/2014/chart" uri="{C3380CC4-5D6E-409C-BE32-E72D297353CC}">
              <c16:uniqueId val="{00000001-B057-4EAB-9553-D74866ECD8CB}"/>
            </c:ext>
          </c:extLst>
        </c:ser>
        <c:dLbls>
          <c:showLegendKey val="0"/>
          <c:showVal val="0"/>
          <c:showCatName val="0"/>
          <c:showSerName val="0"/>
          <c:showPercent val="0"/>
          <c:showBubbleSize val="0"/>
        </c:dLbls>
        <c:axId val="140328015"/>
        <c:axId val="1"/>
      </c:scatterChart>
      <c:valAx>
        <c:axId val="140328015"/>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0328015"/>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Model!$A$234</c:f>
              <c:strCache>
                <c:ptCount val="1"/>
                <c:pt idx="0">
                  <c:v>Actual SDG13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Model!$B$233:$M$233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Model!$B$234:$M$234</c:f>
              <c:numCache>
                <c:formatCode>General</c:formatCode>
                <c:ptCount val="12"/>
                <c:pt idx="0">
                  <c:v>89.51568603515625</c:v>
                </c:pt>
                <c:pt idx="1">
                  <c:v>91.30007860499407</c:v>
                </c:pt>
                <c:pt idx="2">
                  <c:v>96.137889140562109</c:v>
                </c:pt>
                <c:pt idx="3">
                  <c:v>98.11866666666667</c:v>
                </c:pt>
                <c:pt idx="4">
                  <c:v>97.795666666666705</c:v>
                </c:pt>
                <c:pt idx="5">
                  <c:v>96.212666666666706</c:v>
                </c:pt>
                <c:pt idx="6">
                  <c:v>96.745000000000005</c:v>
                </c:pt>
              </c:numCache>
            </c:numRef>
          </c:yVal>
          <c:smooth val="0"/>
          <c:extLst>
            <c:ext xmlns:c16="http://schemas.microsoft.com/office/drawing/2014/chart" uri="{C3380CC4-5D6E-409C-BE32-E72D297353CC}">
              <c16:uniqueId val="{00000000-3786-428D-98FA-73B54C254BF7}"/>
            </c:ext>
          </c:extLst>
        </c:ser>
        <c:ser>
          <c:idx val="1"/>
          <c:order val="1"/>
          <c:tx>
            <c:strRef>
              <c:f>Model!$A$235</c:f>
              <c:strCache>
                <c:ptCount val="1"/>
                <c:pt idx="0">
                  <c:v>Projected SDG13 Nigeria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Model!$B$233:$M$233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Model!$B$235:$M$235</c:f>
              <c:numCache>
                <c:formatCode>General</c:formatCode>
                <c:ptCount val="12"/>
                <c:pt idx="0">
                  <c:v>89.51568603515625</c:v>
                </c:pt>
                <c:pt idx="1">
                  <c:v>90.450036006211931</c:v>
                </c:pt>
                <c:pt idx="2">
                  <c:v>91.36427968188147</c:v>
                </c:pt>
                <c:pt idx="3">
                  <c:v>92.191000357564263</c:v>
                </c:pt>
                <c:pt idx="4">
                  <c:v>92.938576844873168</c:v>
                </c:pt>
                <c:pt idx="5">
                  <c:v>91.25414137585166</c:v>
                </c:pt>
                <c:pt idx="6">
                  <c:v>92.091405887071659</c:v>
                </c:pt>
                <c:pt idx="7">
                  <c:v>92.326859612268251</c:v>
                </c:pt>
                <c:pt idx="8">
                  <c:v>92.794181182284746</c:v>
                </c:pt>
                <c:pt idx="9">
                  <c:v>93.435478756802553</c:v>
                </c:pt>
                <c:pt idx="10">
                  <c:v>94.063917988018005</c:v>
                </c:pt>
                <c:pt idx="11">
                  <c:v>94.632195045527368</c:v>
                </c:pt>
              </c:numCache>
            </c:numRef>
          </c:yVal>
          <c:smooth val="0"/>
          <c:extLst>
            <c:ext xmlns:c16="http://schemas.microsoft.com/office/drawing/2014/chart" uri="{C3380CC4-5D6E-409C-BE32-E72D297353CC}">
              <c16:uniqueId val="{00000001-3786-428D-98FA-73B54C254BF7}"/>
            </c:ext>
          </c:extLst>
        </c:ser>
        <c:dLbls>
          <c:showLegendKey val="0"/>
          <c:showVal val="0"/>
          <c:showCatName val="0"/>
          <c:showSerName val="0"/>
          <c:showPercent val="0"/>
          <c:showBubbleSize val="0"/>
        </c:dLbls>
        <c:axId val="140335695"/>
        <c:axId val="1"/>
      </c:scatterChart>
      <c:valAx>
        <c:axId val="140335695"/>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0335695"/>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Model!$A$239</c:f>
              <c:strCache>
                <c:ptCount val="1"/>
                <c:pt idx="0">
                  <c:v>Actual SDG14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Model!$B$238:$M$238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Model!$B$239:$M$239</c:f>
              <c:numCache>
                <c:formatCode>General</c:formatCode>
                <c:ptCount val="12"/>
                <c:pt idx="0">
                  <c:v>36.505893707275391</c:v>
                </c:pt>
                <c:pt idx="1">
                  <c:v>39.367132928806903</c:v>
                </c:pt>
                <c:pt idx="2">
                  <c:v>51.433329683857146</c:v>
                </c:pt>
                <c:pt idx="3">
                  <c:v>66.21875</c:v>
                </c:pt>
                <c:pt idx="4">
                  <c:v>62.392333333333298</c:v>
                </c:pt>
                <c:pt idx="5">
                  <c:v>64.970833333333303</c:v>
                </c:pt>
                <c:pt idx="6">
                  <c:v>62.078166666666696</c:v>
                </c:pt>
              </c:numCache>
            </c:numRef>
          </c:yVal>
          <c:smooth val="0"/>
          <c:extLst>
            <c:ext xmlns:c16="http://schemas.microsoft.com/office/drawing/2014/chart" uri="{C3380CC4-5D6E-409C-BE32-E72D297353CC}">
              <c16:uniqueId val="{00000000-D258-41C5-9DF5-FD87BCFB0A93}"/>
            </c:ext>
          </c:extLst>
        </c:ser>
        <c:ser>
          <c:idx val="1"/>
          <c:order val="1"/>
          <c:tx>
            <c:strRef>
              <c:f>Model!$A$240</c:f>
              <c:strCache>
                <c:ptCount val="1"/>
                <c:pt idx="0">
                  <c:v>Projected SDG14 Nigeria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Model!$B$238:$M$238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Model!$B$240:$M$240</c:f>
              <c:numCache>
                <c:formatCode>General</c:formatCode>
                <c:ptCount val="12"/>
                <c:pt idx="0">
                  <c:v>36.505893707275391</c:v>
                </c:pt>
                <c:pt idx="1">
                  <c:v>39.367114085113833</c:v>
                </c:pt>
                <c:pt idx="2">
                  <c:v>45.171662931720476</c:v>
                </c:pt>
                <c:pt idx="3">
                  <c:v>50.420526743642483</c:v>
                </c:pt>
                <c:pt idx="4">
                  <c:v>55.166902740152636</c:v>
                </c:pt>
                <c:pt idx="5">
                  <c:v>53.992708372837313</c:v>
                </c:pt>
                <c:pt idx="6">
                  <c:v>57.038004027413926</c:v>
                </c:pt>
                <c:pt idx="7">
                  <c:v>61.150871168863453</c:v>
                </c:pt>
                <c:pt idx="8">
                  <c:v>64.870002504043441</c:v>
                </c:pt>
                <c:pt idx="9">
                  <c:v>68.233091418080861</c:v>
                </c:pt>
                <c:pt idx="10">
                  <c:v>71.27422280721315</c:v>
                </c:pt>
                <c:pt idx="11">
                  <c:v>74.024218529111209</c:v>
                </c:pt>
              </c:numCache>
            </c:numRef>
          </c:yVal>
          <c:smooth val="0"/>
          <c:extLst>
            <c:ext xmlns:c16="http://schemas.microsoft.com/office/drawing/2014/chart" uri="{C3380CC4-5D6E-409C-BE32-E72D297353CC}">
              <c16:uniqueId val="{00000001-D258-41C5-9DF5-FD87BCFB0A93}"/>
            </c:ext>
          </c:extLst>
        </c:ser>
        <c:dLbls>
          <c:showLegendKey val="0"/>
          <c:showVal val="0"/>
          <c:showCatName val="0"/>
          <c:showSerName val="0"/>
          <c:showPercent val="0"/>
          <c:showBubbleSize val="0"/>
        </c:dLbls>
        <c:axId val="140338095"/>
        <c:axId val="1"/>
      </c:scatterChart>
      <c:valAx>
        <c:axId val="140338095"/>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0338095"/>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Model!$A$244</c:f>
              <c:strCache>
                <c:ptCount val="1"/>
                <c:pt idx="0">
                  <c:v>Actual SDG15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Model!$B$243:$M$243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Model!$B$244:$M$244</c:f>
              <c:numCache>
                <c:formatCode>General</c:formatCode>
                <c:ptCount val="12"/>
                <c:pt idx="0">
                  <c:v>75.303482055664063</c:v>
                </c:pt>
                <c:pt idx="1">
                  <c:v>74.279603066872184</c:v>
                </c:pt>
                <c:pt idx="2">
                  <c:v>76.323667918013101</c:v>
                </c:pt>
                <c:pt idx="3">
                  <c:v>74.903599999999997</c:v>
                </c:pt>
                <c:pt idx="4">
                  <c:v>77.292599999999993</c:v>
                </c:pt>
                <c:pt idx="5">
                  <c:v>76.025999999999996</c:v>
                </c:pt>
                <c:pt idx="6">
                  <c:v>76.363600000000005</c:v>
                </c:pt>
              </c:numCache>
            </c:numRef>
          </c:yVal>
          <c:smooth val="0"/>
          <c:extLst>
            <c:ext xmlns:c16="http://schemas.microsoft.com/office/drawing/2014/chart" uri="{C3380CC4-5D6E-409C-BE32-E72D297353CC}">
              <c16:uniqueId val="{00000000-9539-485B-A610-290634E664AC}"/>
            </c:ext>
          </c:extLst>
        </c:ser>
        <c:ser>
          <c:idx val="1"/>
          <c:order val="1"/>
          <c:tx>
            <c:strRef>
              <c:f>Model!$A$245</c:f>
              <c:strCache>
                <c:ptCount val="1"/>
                <c:pt idx="0">
                  <c:v>Projected SDG15 Nigeria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Model!$B$243:$M$243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Model!$B$245:$M$245</c:f>
              <c:numCache>
                <c:formatCode>General</c:formatCode>
                <c:ptCount val="12"/>
                <c:pt idx="0">
                  <c:v>75.303482055664063</c:v>
                </c:pt>
                <c:pt idx="1">
                  <c:v>74.279589503154611</c:v>
                </c:pt>
                <c:pt idx="2">
                  <c:v>76.323658641379907</c:v>
                </c:pt>
                <c:pt idx="3">
                  <c:v>74.903597920307746</c:v>
                </c:pt>
                <c:pt idx="4">
                  <c:v>77.306143825019319</c:v>
                </c:pt>
                <c:pt idx="5">
                  <c:v>74.402082833674228</c:v>
                </c:pt>
                <c:pt idx="6">
                  <c:v>76.272698961956948</c:v>
                </c:pt>
                <c:pt idx="7">
                  <c:v>78.544177136874836</c:v>
                </c:pt>
                <c:pt idx="8">
                  <c:v>80.598200611734043</c:v>
                </c:pt>
                <c:pt idx="9">
                  <c:v>82.455586908401997</c:v>
                </c:pt>
                <c:pt idx="10">
                  <c:v>84.135160631524272</c:v>
                </c:pt>
                <c:pt idx="11">
                  <c:v>85.653944255837374</c:v>
                </c:pt>
              </c:numCache>
            </c:numRef>
          </c:yVal>
          <c:smooth val="0"/>
          <c:extLst>
            <c:ext xmlns:c16="http://schemas.microsoft.com/office/drawing/2014/chart" uri="{C3380CC4-5D6E-409C-BE32-E72D297353CC}">
              <c16:uniqueId val="{00000001-9539-485B-A610-290634E664AC}"/>
            </c:ext>
          </c:extLst>
        </c:ser>
        <c:dLbls>
          <c:showLegendKey val="0"/>
          <c:showVal val="0"/>
          <c:showCatName val="0"/>
          <c:showSerName val="0"/>
          <c:showPercent val="0"/>
          <c:showBubbleSize val="0"/>
        </c:dLbls>
        <c:axId val="114684703"/>
        <c:axId val="1"/>
      </c:scatterChart>
      <c:valAx>
        <c:axId val="114684703"/>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14684703"/>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Model!$A$249</c:f>
              <c:strCache>
                <c:ptCount val="1"/>
                <c:pt idx="0">
                  <c:v>Actual SDG16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xVal>
            <c:numRef>
              <c:f>Model!$B$248:$M$248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Model!$B$249:$M$249</c:f>
              <c:numCache>
                <c:formatCode>General</c:formatCode>
                <c:ptCount val="12"/>
                <c:pt idx="0">
                  <c:v>51.361991882324219</c:v>
                </c:pt>
                <c:pt idx="1">
                  <c:v>48.372157765985769</c:v>
                </c:pt>
                <c:pt idx="2">
                  <c:v>42.945065830805447</c:v>
                </c:pt>
                <c:pt idx="3">
                  <c:v>44.958999999999996</c:v>
                </c:pt>
                <c:pt idx="4">
                  <c:v>40.757300000000001</c:v>
                </c:pt>
                <c:pt idx="5">
                  <c:v>41.399444444444399</c:v>
                </c:pt>
                <c:pt idx="6">
                  <c:v>34.670272727272703</c:v>
                </c:pt>
              </c:numCache>
            </c:numRef>
          </c:yVal>
          <c:smooth val="0"/>
          <c:extLst>
            <c:ext xmlns:c16="http://schemas.microsoft.com/office/drawing/2014/chart" uri="{C3380CC4-5D6E-409C-BE32-E72D297353CC}">
              <c16:uniqueId val="{00000000-EFFE-47CD-AC00-D334A8DBCF71}"/>
            </c:ext>
          </c:extLst>
        </c:ser>
        <c:ser>
          <c:idx val="1"/>
          <c:order val="1"/>
          <c:tx>
            <c:strRef>
              <c:f>Model!$A$250</c:f>
              <c:strCache>
                <c:ptCount val="1"/>
                <c:pt idx="0">
                  <c:v>Projected SDG16 Nigeria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Model!$B$248:$M$248</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Model!$B$250:$M$250</c:f>
              <c:numCache>
                <c:formatCode>General</c:formatCode>
                <c:ptCount val="12"/>
                <c:pt idx="0">
                  <c:v>51.361991882324219</c:v>
                </c:pt>
                <c:pt idx="1">
                  <c:v>48.10205030868881</c:v>
                </c:pt>
                <c:pt idx="2">
                  <c:v>44.647236191936962</c:v>
                </c:pt>
                <c:pt idx="3">
                  <c:v>42.340347656729755</c:v>
                </c:pt>
                <c:pt idx="4">
                  <c:v>40.569635422581015</c:v>
                </c:pt>
                <c:pt idx="5">
                  <c:v>42.43963077346686</c:v>
                </c:pt>
                <c:pt idx="6">
                  <c:v>39.389341143224534</c:v>
                </c:pt>
                <c:pt idx="7">
                  <c:v>36.760093710028251</c:v>
                </c:pt>
                <c:pt idx="8">
                  <c:v>34.624930644574363</c:v>
                </c:pt>
                <c:pt idx="9">
                  <c:v>33.089653791519481</c:v>
                </c:pt>
                <c:pt idx="10">
                  <c:v>32.220289052312928</c:v>
                </c:pt>
                <c:pt idx="11">
                  <c:v>32.119078483372448</c:v>
                </c:pt>
              </c:numCache>
            </c:numRef>
          </c:yVal>
          <c:smooth val="0"/>
          <c:extLst>
            <c:ext xmlns:c16="http://schemas.microsoft.com/office/drawing/2014/chart" uri="{C3380CC4-5D6E-409C-BE32-E72D297353CC}">
              <c16:uniqueId val="{00000001-EFFE-47CD-AC00-D334A8DBCF71}"/>
            </c:ext>
          </c:extLst>
        </c:ser>
        <c:dLbls>
          <c:showLegendKey val="0"/>
          <c:showVal val="0"/>
          <c:showCatName val="0"/>
          <c:showSerName val="0"/>
          <c:showPercent val="0"/>
          <c:showBubbleSize val="0"/>
        </c:dLbls>
        <c:axId val="114147119"/>
        <c:axId val="1"/>
      </c:scatterChart>
      <c:valAx>
        <c:axId val="114147119"/>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14147119"/>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73918424568131E-2"/>
          <c:y val="5.4579191017174809E-2"/>
          <c:w val="0.86150407168549981"/>
          <c:h val="0.78347548395621902"/>
        </c:manualLayout>
      </c:layout>
      <c:scatterChart>
        <c:scatterStyle val="lineMarker"/>
        <c:varyColors val="0"/>
        <c:ser>
          <c:idx val="0"/>
          <c:order val="0"/>
          <c:tx>
            <c:strRef>
              <c:f>Model!$A$254</c:f>
              <c:strCache>
                <c:ptCount val="1"/>
                <c:pt idx="0">
                  <c:v>Actual SDG17 Nigeria</c:v>
                </c:pt>
              </c:strCache>
            </c:strRef>
          </c:tx>
          <c:spPr>
            <a:ln w="38100">
              <a:solidFill>
                <a:srgbClr val="000080"/>
              </a:solidFill>
              <a:prstDash val="solid"/>
            </a:ln>
          </c:spPr>
          <c:marker>
            <c:symbol val="diamond"/>
            <c:size val="9"/>
            <c:spPr>
              <a:solidFill>
                <a:srgbClr val="000080"/>
              </a:solidFill>
              <a:ln>
                <a:solidFill>
                  <a:srgbClr val="000080"/>
                </a:solidFill>
                <a:prstDash val="solid"/>
              </a:ln>
            </c:spPr>
          </c:marker>
          <c:dPt>
            <c:idx val="6"/>
            <c:bubble3D val="0"/>
            <c:extLst>
              <c:ext xmlns:c16="http://schemas.microsoft.com/office/drawing/2014/chart" uri="{C3380CC4-5D6E-409C-BE32-E72D297353CC}">
                <c16:uniqueId val="{00000001-3F7B-4B90-AA31-6FDBDE0E3205}"/>
              </c:ext>
            </c:extLst>
          </c:dPt>
          <c:xVal>
            <c:numRef>
              <c:f>Model!$B$253:$M$253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Model!$B$254:$M$254</c:f>
              <c:numCache>
                <c:formatCode>General</c:formatCode>
                <c:ptCount val="12"/>
                <c:pt idx="0">
                  <c:v>50.487140655517578</c:v>
                </c:pt>
                <c:pt idx="1">
                  <c:v>50</c:v>
                </c:pt>
                <c:pt idx="2">
                  <c:v>50</c:v>
                </c:pt>
                <c:pt idx="3">
                  <c:v>50</c:v>
                </c:pt>
                <c:pt idx="4">
                  <c:v>46.033333333333303</c:v>
                </c:pt>
                <c:pt idx="5">
                  <c:v>69.05</c:v>
                </c:pt>
                <c:pt idx="6">
                  <c:v>37.93</c:v>
                </c:pt>
              </c:numCache>
            </c:numRef>
          </c:yVal>
          <c:smooth val="0"/>
          <c:extLst>
            <c:ext xmlns:c16="http://schemas.microsoft.com/office/drawing/2014/chart" uri="{C3380CC4-5D6E-409C-BE32-E72D297353CC}">
              <c16:uniqueId val="{00000002-3F7B-4B90-AA31-6FDBDE0E3205}"/>
            </c:ext>
          </c:extLst>
        </c:ser>
        <c:ser>
          <c:idx val="1"/>
          <c:order val="1"/>
          <c:tx>
            <c:strRef>
              <c:f>Model!$A$255</c:f>
              <c:strCache>
                <c:ptCount val="1"/>
                <c:pt idx="0">
                  <c:v>Projected SDG17 Nigeria</c:v>
                </c:pt>
              </c:strCache>
            </c:strRef>
          </c:tx>
          <c:spPr>
            <a:ln w="38100">
              <a:solidFill>
                <a:srgbClr val="FF00FF"/>
              </a:solidFill>
              <a:prstDash val="solid"/>
            </a:ln>
          </c:spPr>
          <c:marker>
            <c:symbol val="square"/>
            <c:size val="9"/>
            <c:spPr>
              <a:solidFill>
                <a:srgbClr val="FF00FF"/>
              </a:solidFill>
              <a:ln>
                <a:solidFill>
                  <a:srgbClr val="FF00FF"/>
                </a:solidFill>
                <a:prstDash val="solid"/>
              </a:ln>
            </c:spPr>
          </c:marker>
          <c:xVal>
            <c:numRef>
              <c:f>Model!$B$253:$M$253</c:f>
              <c:numCache>
                <c:formatCode>General</c:formatCode>
                <c:ptCount val="12"/>
                <c:pt idx="0">
                  <c:v>2017</c:v>
                </c:pt>
                <c:pt idx="1">
                  <c:v>2018</c:v>
                </c:pt>
                <c:pt idx="2">
                  <c:v>2019</c:v>
                </c:pt>
                <c:pt idx="3">
                  <c:v>2020</c:v>
                </c:pt>
                <c:pt idx="4">
                  <c:v>2021</c:v>
                </c:pt>
                <c:pt idx="5">
                  <c:v>2022</c:v>
                </c:pt>
                <c:pt idx="6">
                  <c:v>2023</c:v>
                </c:pt>
                <c:pt idx="7">
                  <c:v>2024</c:v>
                </c:pt>
                <c:pt idx="8">
                  <c:v>2025</c:v>
                </c:pt>
                <c:pt idx="9">
                  <c:v>2026</c:v>
                </c:pt>
                <c:pt idx="10">
                  <c:v>2027</c:v>
                </c:pt>
                <c:pt idx="11">
                  <c:v>2028</c:v>
                </c:pt>
              </c:numCache>
            </c:numRef>
          </c:xVal>
          <c:yVal>
            <c:numRef>
              <c:f>Model!$B$255:$M$255</c:f>
              <c:numCache>
                <c:formatCode>General</c:formatCode>
                <c:ptCount val="12"/>
                <c:pt idx="0">
                  <c:v>50.487140655517578</c:v>
                </c:pt>
                <c:pt idx="1">
                  <c:v>49.999995973709431</c:v>
                </c:pt>
                <c:pt idx="2">
                  <c:v>49.999992812981397</c:v>
                </c:pt>
                <c:pt idx="3">
                  <c:v>49.999991488332029</c:v>
                </c:pt>
                <c:pt idx="4">
                  <c:v>46.170684983215317</c:v>
                </c:pt>
                <c:pt idx="5">
                  <c:v>46.703722430810444</c:v>
                </c:pt>
                <c:pt idx="6">
                  <c:v>43.189976606456987</c:v>
                </c:pt>
                <c:pt idx="7">
                  <c:v>40.012611097245539</c:v>
                </c:pt>
                <c:pt idx="8">
                  <c:v>37.13942331309952</c:v>
                </c:pt>
                <c:pt idx="9">
                  <c:v>34.541293504289861</c:v>
                </c:pt>
                <c:pt idx="10">
                  <c:v>32.191889632857325</c:v>
                </c:pt>
                <c:pt idx="11">
                  <c:v>30.067400497485348</c:v>
                </c:pt>
              </c:numCache>
            </c:numRef>
          </c:yVal>
          <c:smooth val="0"/>
          <c:extLst>
            <c:ext xmlns:c16="http://schemas.microsoft.com/office/drawing/2014/chart" uri="{C3380CC4-5D6E-409C-BE32-E72D297353CC}">
              <c16:uniqueId val="{00000003-3F7B-4B90-AA31-6FDBDE0E3205}"/>
            </c:ext>
          </c:extLst>
        </c:ser>
        <c:dLbls>
          <c:showLegendKey val="0"/>
          <c:showVal val="0"/>
          <c:showCatName val="0"/>
          <c:showSerName val="0"/>
          <c:showPercent val="0"/>
          <c:showBubbleSize val="0"/>
        </c:dLbls>
        <c:axId val="502163631"/>
        <c:axId val="1"/>
      </c:scatterChart>
      <c:valAx>
        <c:axId val="502163631"/>
        <c:scaling>
          <c:orientation val="minMax"/>
          <c:max val="2023"/>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
        <c:crossesAt val="0"/>
        <c:crossBetween val="midCat"/>
        <c:majorUnit val="1"/>
      </c:valAx>
      <c:valAx>
        <c:axId val="1"/>
        <c:scaling>
          <c:orientation val="minMax"/>
          <c:max val="1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02163631"/>
        <c:crossesAt val="0"/>
        <c:crossBetween val="midCat"/>
      </c:valAx>
      <c:spPr>
        <a:solidFill>
          <a:srgbClr val="FFFFFF"/>
        </a:solidFill>
        <a:ln w="12700">
          <a:solidFill>
            <a:srgbClr val="808080"/>
          </a:solidFill>
          <a:prstDash val="solid"/>
        </a:ln>
      </c:spPr>
    </c:plotArea>
    <c:legend>
      <c:legendPos val="r"/>
      <c:layout>
        <c:manualLayout>
          <c:xMode val="edge"/>
          <c:yMode val="edge"/>
          <c:x val="0.19789529593951874"/>
          <c:y val="0.93488870830647952"/>
          <c:w val="0.63722274531715073"/>
          <c:h val="5.1057994974827436E-2"/>
        </c:manualLayout>
      </c:layout>
      <c:overlay val="0"/>
      <c:spPr>
        <a:solidFill>
          <a:srgbClr val="FFFFFF"/>
        </a:solidFill>
        <a:ln w="3175">
          <a:solidFill>
            <a:srgbClr val="000000"/>
          </a:solidFill>
          <a:prstDash val="solid"/>
        </a:ln>
      </c:spPr>
      <c:txPr>
        <a:bodyPr/>
        <a:lstStyle/>
        <a:p>
          <a:pPr>
            <a:defRPr sz="1180" b="1"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SDG Score</a:t>
            </a:r>
          </a:p>
        </c:rich>
      </c:tx>
      <c:overlay val="0"/>
    </c:title>
    <c:autoTitleDeleted val="0"/>
    <c:plotArea>
      <c:layout>
        <c:manualLayout>
          <c:layoutTarget val="inner"/>
          <c:xMode val="edge"/>
          <c:yMode val="edge"/>
          <c:x val="8.7069248859115711E-2"/>
          <c:y val="9.2075237870494181E-2"/>
          <c:w val="0.82458445395800528"/>
          <c:h val="0.8172014029307928"/>
        </c:manualLayout>
      </c:layout>
      <c:scatterChart>
        <c:scatterStyle val="lineMarker"/>
        <c:varyColors val="0"/>
        <c:ser>
          <c:idx val="0"/>
          <c:order val="0"/>
          <c:tx>
            <c:v>Status Quo</c:v>
          </c:tx>
          <c:spPr>
            <a:ln w="38100">
              <a:solidFill>
                <a:srgbClr val="FF0000"/>
              </a:solidFill>
              <a:prstDash val="solid"/>
            </a:ln>
          </c:spPr>
          <c:marker>
            <c:symbol val="none"/>
          </c:marker>
          <c:xVal>
            <c:numRef>
              <c:f>Scenarios!$B$21:$O$21</c:f>
              <c:numCache>
                <c:formatCode>General</c:formatCode>
                <c:ptCount val="1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numCache>
            </c:numRef>
          </c:xVal>
          <c:yVal>
            <c:numRef>
              <c:f>Scenarios!$B$22:$O$22</c:f>
              <c:numCache>
                <c:formatCode>General</c:formatCode>
                <c:ptCount val="14"/>
                <c:pt idx="0">
                  <c:v>0.58068820055793302</c:v>
                </c:pt>
                <c:pt idx="1">
                  <c:v>0.58570041541033535</c:v>
                </c:pt>
                <c:pt idx="2">
                  <c:v>0.58371690157127387</c:v>
                </c:pt>
                <c:pt idx="3">
                  <c:v>0.57571946544215602</c:v>
                </c:pt>
                <c:pt idx="4">
                  <c:v>0.58411442307363959</c:v>
                </c:pt>
                <c:pt idx="5">
                  <c:v>0.58347842821687856</c:v>
                </c:pt>
                <c:pt idx="6">
                  <c:v>0.5943771591886412</c:v>
                </c:pt>
                <c:pt idx="7">
                  <c:v>0.60536107456786814</c:v>
                </c:pt>
                <c:pt idx="8">
                  <c:v>0.61538004259092061</c:v>
                </c:pt>
                <c:pt idx="9">
                  <c:v>0.6239032321118998</c:v>
                </c:pt>
                <c:pt idx="10">
                  <c:v>0.63139025254636538</c:v>
                </c:pt>
                <c:pt idx="11">
                  <c:v>0.6382182716564061</c:v>
                </c:pt>
                <c:pt idx="12">
                  <c:v>0.64470869935602404</c:v>
                </c:pt>
                <c:pt idx="13">
                  <c:v>0.65102510531967639</c:v>
                </c:pt>
              </c:numCache>
            </c:numRef>
          </c:yVal>
          <c:smooth val="0"/>
          <c:extLst>
            <c:ext xmlns:c16="http://schemas.microsoft.com/office/drawing/2014/chart" uri="{C3380CC4-5D6E-409C-BE32-E72D297353CC}">
              <c16:uniqueId val="{00000000-5F83-4F47-9898-354843B7923E}"/>
            </c:ext>
          </c:extLst>
        </c:ser>
        <c:ser>
          <c:idx val="1"/>
          <c:order val="1"/>
          <c:tx>
            <c:v>Reallocation</c:v>
          </c:tx>
          <c:spPr>
            <a:ln w="38100">
              <a:solidFill>
                <a:srgbClr val="0000FF"/>
              </a:solidFill>
              <a:prstDash val="solid"/>
            </a:ln>
          </c:spPr>
          <c:marker>
            <c:symbol val="none"/>
          </c:marker>
          <c:xVal>
            <c:numRef>
              <c:f>Scenarios!$B$21:$O$21</c:f>
              <c:numCache>
                <c:formatCode>General</c:formatCode>
                <c:ptCount val="1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numCache>
            </c:numRef>
          </c:xVal>
          <c:yVal>
            <c:numRef>
              <c:f>Scenarios!$B$42:$O$42</c:f>
              <c:numCache>
                <c:formatCode>General</c:formatCode>
                <c:ptCount val="14"/>
                <c:pt idx="0">
                  <c:v>0.58068820055793302</c:v>
                </c:pt>
                <c:pt idx="1">
                  <c:v>0.58570041541033535</c:v>
                </c:pt>
                <c:pt idx="2">
                  <c:v>0.58371690157127387</c:v>
                </c:pt>
                <c:pt idx="3">
                  <c:v>0.57571946544215602</c:v>
                </c:pt>
                <c:pt idx="4">
                  <c:v>0.58411442307363959</c:v>
                </c:pt>
                <c:pt idx="5">
                  <c:v>0.58347842821687856</c:v>
                </c:pt>
                <c:pt idx="6">
                  <c:v>0.5943771591886412</c:v>
                </c:pt>
                <c:pt idx="7">
                  <c:v>0.60418856662343023</c:v>
                </c:pt>
                <c:pt idx="8">
                  <c:v>0.62189911819688148</c:v>
                </c:pt>
                <c:pt idx="9">
                  <c:v>0.64266417340572435</c:v>
                </c:pt>
                <c:pt idx="10">
                  <c:v>0.66268230631959546</c:v>
                </c:pt>
                <c:pt idx="11">
                  <c:v>0.68183761873156423</c:v>
                </c:pt>
                <c:pt idx="12">
                  <c:v>0.70019402545516141</c:v>
                </c:pt>
                <c:pt idx="13">
                  <c:v>0.71821342122755616</c:v>
                </c:pt>
              </c:numCache>
            </c:numRef>
          </c:yVal>
          <c:smooth val="0"/>
          <c:extLst>
            <c:ext xmlns:c16="http://schemas.microsoft.com/office/drawing/2014/chart" uri="{C3380CC4-5D6E-409C-BE32-E72D297353CC}">
              <c16:uniqueId val="{00000001-5F83-4F47-9898-354843B7923E}"/>
            </c:ext>
          </c:extLst>
        </c:ser>
        <c:dLbls>
          <c:showLegendKey val="0"/>
          <c:showVal val="0"/>
          <c:showCatName val="0"/>
          <c:showSerName val="0"/>
          <c:showPercent val="0"/>
          <c:showBubbleSize val="0"/>
        </c:dLbls>
        <c:axId val="365707839"/>
        <c:axId val="1"/>
      </c:scatterChart>
      <c:valAx>
        <c:axId val="365707839"/>
        <c:scaling>
          <c:orientation val="minMax"/>
          <c:max val="2030"/>
          <c:min val="2017"/>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a:pPr>
            <a:endParaRPr lang="en-US"/>
          </a:p>
        </c:txPr>
        <c:crossAx val="1"/>
        <c:crossesAt val="0"/>
        <c:crossBetween val="midCat"/>
        <c:majorUnit val="1"/>
      </c:valAx>
      <c:valAx>
        <c:axId val="1"/>
        <c:scaling>
          <c:orientation val="minMax"/>
          <c:max val="0.75000000000000011"/>
          <c:min val="0.5"/>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a:pPr>
            <a:endParaRPr lang="en-US"/>
          </a:p>
        </c:txPr>
        <c:crossAx val="365707839"/>
        <c:crossesAt val="0"/>
        <c:crossBetween val="midCat"/>
      </c:valAx>
      <c:spPr>
        <a:solidFill>
          <a:srgbClr val="FFFFFF"/>
        </a:solidFill>
        <a:ln w="12700">
          <a:solidFill>
            <a:srgbClr val="808080"/>
          </a:solidFill>
          <a:prstDash val="solid"/>
        </a:ln>
      </c:spPr>
    </c:plotArea>
    <c:plotVisOnly val="1"/>
    <c:dispBlanksAs val="gap"/>
    <c:showDLblsOverMax val="0"/>
  </c:chart>
  <c:spPr>
    <a:noFill/>
    <a:ln w="6350">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143910271010197E-2"/>
          <c:y val="6.0741767878772175E-2"/>
          <c:w val="0.87719699951556251"/>
          <c:h val="0.7567360013982557"/>
        </c:manualLayout>
      </c:layout>
      <c:scatterChart>
        <c:scatterStyle val="lineMarker"/>
        <c:varyColors val="0"/>
        <c:ser>
          <c:idx val="0"/>
          <c:order val="0"/>
          <c:tx>
            <c:strRef>
              <c:f>Model!$A$3</c:f>
              <c:strCache>
                <c:ptCount val="1"/>
                <c:pt idx="0">
                  <c:v>SDG1</c:v>
                </c:pt>
              </c:strCache>
            </c:strRef>
          </c:tx>
          <c:spPr>
            <a:ln w="12700">
              <a:solidFill>
                <a:srgbClr val="E5243B"/>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Model!$B$3:$DB$3</c:f>
              <c:numCache>
                <c:formatCode>General</c:formatCode>
                <c:ptCount val="105"/>
                <c:pt idx="0">
                  <c:v>0.49325614929199219</c:v>
                </c:pt>
                <c:pt idx="1">
                  <c:v>0.4871156260811223</c:v>
                </c:pt>
                <c:pt idx="2">
                  <c:v>0.4822750987349449</c:v>
                </c:pt>
                <c:pt idx="3">
                  <c:v>0.4775579049249381</c:v>
                </c:pt>
                <c:pt idx="4">
                  <c:v>0.47296235291390687</c:v>
                </c:pt>
                <c:pt idx="5">
                  <c:v>0.46848669991345415</c:v>
                </c:pt>
                <c:pt idx="6">
                  <c:v>0.4641291585470711</c:v>
                </c:pt>
                <c:pt idx="7">
                  <c:v>0.45988790291235743</c:v>
                </c:pt>
                <c:pt idx="8">
                  <c:v>0.45576107426254941</c:v>
                </c:pt>
                <c:pt idx="9">
                  <c:v>0.45174678632684212</c:v>
                </c:pt>
                <c:pt idx="10">
                  <c:v>0.44772253963825959</c:v>
                </c:pt>
                <c:pt idx="11">
                  <c:v>0.44369009450903824</c:v>
                </c:pt>
                <c:pt idx="12">
                  <c:v>0.43965117883667398</c:v>
                </c:pt>
                <c:pt idx="13">
                  <c:v>0.43560748576623015</c:v>
                </c:pt>
                <c:pt idx="14">
                  <c:v>0.43156067164601664</c:v>
                </c:pt>
                <c:pt idx="15">
                  <c:v>0.42751235425507594</c:v>
                </c:pt>
                <c:pt idx="16">
                  <c:v>0.4234641112823716</c:v>
                </c:pt>
                <c:pt idx="17">
                  <c:v>0.41941747903892279</c:v>
                </c:pt>
                <c:pt idx="18">
                  <c:v>0.41538547849820995</c:v>
                </c:pt>
                <c:pt idx="19">
                  <c:v>0.4113685803924525</c:v>
                </c:pt>
                <c:pt idx="20">
                  <c:v>0.407367264803012</c:v>
                </c:pt>
                <c:pt idx="21">
                  <c:v>0.40338201830844389</c:v>
                </c:pt>
                <c:pt idx="22">
                  <c:v>0.39941333138629265</c:v>
                </c:pt>
                <c:pt idx="23">
                  <c:v>0.39546169605110187</c:v>
                </c:pt>
                <c:pt idx="24">
                  <c:v>0.3915276037122542</c:v>
                </c:pt>
                <c:pt idx="25">
                  <c:v>0.38761154323631319</c:v>
                </c:pt>
                <c:pt idx="26">
                  <c:v>0.38372834095589209</c:v>
                </c:pt>
                <c:pt idx="27">
                  <c:v>0.37987768100997604</c:v>
                </c:pt>
                <c:pt idx="28">
                  <c:v>0.37605926057363503</c:v>
                </c:pt>
                <c:pt idx="29">
                  <c:v>0.37227278877538611</c:v>
                </c:pt>
                <c:pt idx="30">
                  <c:v>0.36851798572118594</c:v>
                </c:pt>
                <c:pt idx="31">
                  <c:v>0.36479458161397815</c:v>
                </c:pt>
                <c:pt idx="32">
                  <c:v>0.36110231595877784</c:v>
                </c:pt>
                <c:pt idx="33">
                  <c:v>0.36454867955337222</c:v>
                </c:pt>
                <c:pt idx="34">
                  <c:v>0.36819106187778433</c:v>
                </c:pt>
                <c:pt idx="35">
                  <c:v>0.37203885468956688</c:v>
                </c:pt>
                <c:pt idx="36">
                  <c:v>0.37610222175710983</c:v>
                </c:pt>
                <c:pt idx="37">
                  <c:v>0.38039216223580824</c:v>
                </c:pt>
                <c:pt idx="38">
                  <c:v>0.38492058200386126</c:v>
                </c:pt>
                <c:pt idx="39">
                  <c:v>0.38970037393562323</c:v>
                </c:pt>
                <c:pt idx="40">
                  <c:v>0.39474550824788307</c:v>
                </c:pt>
                <c:pt idx="41">
                  <c:v>0.40231118939478455</c:v>
                </c:pt>
                <c:pt idx="42">
                  <c:v>0.40978229952734974</c:v>
                </c:pt>
                <c:pt idx="43">
                  <c:v>0.41716002078325787</c:v>
                </c:pt>
                <c:pt idx="44">
                  <c:v>0.42444552052346712</c:v>
                </c:pt>
                <c:pt idx="45">
                  <c:v>0.4316399515169238</c:v>
                </c:pt>
                <c:pt idx="46">
                  <c:v>0.43874445212296226</c:v>
                </c:pt>
                <c:pt idx="47">
                  <c:v>0.44576014647142526</c:v>
                </c:pt>
                <c:pt idx="48">
                  <c:v>0.45268814464053242</c:v>
                </c:pt>
                <c:pt idx="49">
                  <c:v>0.45659877514282726</c:v>
                </c:pt>
                <c:pt idx="50">
                  <c:v>0.46069622789000458</c:v>
                </c:pt>
                <c:pt idx="51">
                  <c:v>0.46498937985355976</c:v>
                </c:pt>
                <c:pt idx="52">
                  <c:v>0.46948800024086362</c:v>
                </c:pt>
                <c:pt idx="53">
                  <c:v>0.47420279697651951</c:v>
                </c:pt>
                <c:pt idx="54">
                  <c:v>0.47914547192101492</c:v>
                </c:pt>
                <c:pt idx="55">
                  <c:v>0.48432878545609026</c:v>
                </c:pt>
                <c:pt idx="56">
                  <c:v>0.4897666312285609</c:v>
                </c:pt>
                <c:pt idx="57">
                  <c:v>0.49547412202309898</c:v>
                </c:pt>
                <c:pt idx="58">
                  <c:v>0.5014539571406762</c:v>
                </c:pt>
                <c:pt idx="59">
                  <c:v>0.50768578267641773</c:v>
                </c:pt>
                <c:pt idx="60">
                  <c:v>0.5138397103929625</c:v>
                </c:pt>
                <c:pt idx="61">
                  <c:v>0.51991671401305051</c:v>
                </c:pt>
                <c:pt idx="62">
                  <c:v>0.52591775508788741</c:v>
                </c:pt>
                <c:pt idx="63">
                  <c:v>0.53184378314928882</c:v>
                </c:pt>
                <c:pt idx="64">
                  <c:v>0.5376957358599227</c:v>
                </c:pt>
                <c:pt idx="65">
                  <c:v>0.54347453916167365</c:v>
                </c:pt>
                <c:pt idx="66">
                  <c:v>0.54918110742215276</c:v>
                </c:pt>
                <c:pt idx="67">
                  <c:v>0.55481634357937581</c:v>
                </c:pt>
                <c:pt idx="68">
                  <c:v>0.56038113928463362</c:v>
                </c:pt>
                <c:pt idx="69">
                  <c:v>0.56587637504357569</c:v>
                </c:pt>
                <c:pt idx="70">
                  <c:v>0.57130292035553099</c:v>
                </c:pt>
                <c:pt idx="71">
                  <c:v>0.57666163385108682</c:v>
                </c:pt>
                <c:pt idx="72">
                  <c:v>0.58195336342794823</c:v>
                </c:pt>
                <c:pt idx="73">
                  <c:v>0.58717894638509893</c:v>
                </c:pt>
                <c:pt idx="74">
                  <c:v>0.59233920955528518</c:v>
                </c:pt>
                <c:pt idx="75">
                  <c:v>0.59743496943584407</c:v>
                </c:pt>
                <c:pt idx="76">
                  <c:v>0.602467032317896</c:v>
                </c:pt>
                <c:pt idx="77">
                  <c:v>0.60743619441392227</c:v>
                </c:pt>
                <c:pt idx="78">
                  <c:v>0.61234324198374823</c:v>
                </c:pt>
                <c:pt idx="79">
                  <c:v>0.61718895145895136</c:v>
                </c:pt>
                <c:pt idx="80">
                  <c:v>0.62197408956571443</c:v>
                </c:pt>
                <c:pt idx="81">
                  <c:v>0.62669941344614299</c:v>
                </c:pt>
                <c:pt idx="82">
                  <c:v>0.63136567077806616</c:v>
                </c:pt>
                <c:pt idx="83">
                  <c:v>0.63597359989334035</c:v>
                </c:pt>
                <c:pt idx="84">
                  <c:v>0.64052392989467355</c:v>
                </c:pt>
                <c:pt idx="85">
                  <c:v>0.64501738077099013</c:v>
                </c:pt>
                <c:pt idx="86">
                  <c:v>0.64945466351135273</c:v>
                </c:pt>
                <c:pt idx="87">
                  <c:v>0.65383648021746077</c:v>
                </c:pt>
                <c:pt idx="88">
                  <c:v>0.65816352421474256</c:v>
                </c:pt>
                <c:pt idx="89">
                  <c:v>0.66243648016205825</c:v>
                </c:pt>
                <c:pt idx="90">
                  <c:v>0.66665602416003256</c:v>
                </c:pt>
                <c:pt idx="91">
                  <c:v>0.67082282385803216</c:v>
                </c:pt>
                <c:pt idx="92">
                  <c:v>0.67493753855980676</c:v>
                </c:pt>
                <c:pt idx="93">
                  <c:v>0.6790008193278092</c:v>
                </c:pt>
                <c:pt idx="94">
                  <c:v>0.68301330908621161</c:v>
                </c:pt>
                <c:pt idx="95">
                  <c:v>0.68697564272263401</c:v>
                </c:pt>
                <c:pt idx="96">
                  <c:v>0.6908884471886011</c:v>
                </c:pt>
                <c:pt idx="97">
                  <c:v>0.69475234159874355</c:v>
                </c:pt>
                <c:pt idx="98">
                  <c:v>0.69856793732875921</c:v>
                </c:pt>
                <c:pt idx="99">
                  <c:v>0.70233583811214972</c:v>
                </c:pt>
                <c:pt idx="100">
                  <c:v>0.70605664013574787</c:v>
                </c:pt>
                <c:pt idx="101">
                  <c:v>0.70973093213405103</c:v>
                </c:pt>
                <c:pt idx="102">
                  <c:v>0.71335929548237542</c:v>
                </c:pt>
                <c:pt idx="103">
                  <c:v>0.71694230428884576</c:v>
                </c:pt>
                <c:pt idx="104">
                  <c:v>0.72048052548523522</c:v>
                </c:pt>
              </c:numCache>
            </c:numRef>
          </c:yVal>
          <c:smooth val="0"/>
          <c:extLst>
            <c:ext xmlns:c16="http://schemas.microsoft.com/office/drawing/2014/chart" uri="{C3380CC4-5D6E-409C-BE32-E72D297353CC}">
              <c16:uniqueId val="{00000000-0245-4E33-95B6-175C1050FA82}"/>
            </c:ext>
          </c:extLst>
        </c:ser>
        <c:ser>
          <c:idx val="1"/>
          <c:order val="1"/>
          <c:tx>
            <c:strRef>
              <c:f>Model!$A$4</c:f>
              <c:strCache>
                <c:ptCount val="1"/>
                <c:pt idx="0">
                  <c:v>SDG2</c:v>
                </c:pt>
              </c:strCache>
            </c:strRef>
          </c:tx>
          <c:spPr>
            <a:ln w="12700">
              <a:solidFill>
                <a:srgbClr val="DDA63A"/>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Model!$B$4:$DB$4</c:f>
              <c:numCache>
                <c:formatCode>General</c:formatCode>
                <c:ptCount val="105"/>
                <c:pt idx="0">
                  <c:v>0.46487155914306638</c:v>
                </c:pt>
                <c:pt idx="1">
                  <c:v>0.46515092319302187</c:v>
                </c:pt>
                <c:pt idx="2">
                  <c:v>0.46609770304785447</c:v>
                </c:pt>
                <c:pt idx="3">
                  <c:v>0.46707862992628685</c:v>
                </c:pt>
                <c:pt idx="4">
                  <c:v>0.4680949060309908</c:v>
                </c:pt>
                <c:pt idx="5">
                  <c:v>0.46914758985515048</c:v>
                </c:pt>
                <c:pt idx="6">
                  <c:v>0.47023761360183192</c:v>
                </c:pt>
                <c:pt idx="7">
                  <c:v>0.47136579822518831</c:v>
                </c:pt>
                <c:pt idx="8">
                  <c:v>0.47253286648736503</c:v>
                </c:pt>
                <c:pt idx="9">
                  <c:v>0.47298114763466759</c:v>
                </c:pt>
                <c:pt idx="10">
                  <c:v>0.47333300358835662</c:v>
                </c:pt>
                <c:pt idx="11">
                  <c:v>0.47359146196507118</c:v>
                </c:pt>
                <c:pt idx="12">
                  <c:v>0.47375946506747535</c:v>
                </c:pt>
                <c:pt idx="13">
                  <c:v>0.47383987254990945</c:v>
                </c:pt>
                <c:pt idx="14">
                  <c:v>0.4738354639838494</c:v>
                </c:pt>
                <c:pt idx="15">
                  <c:v>0.47374894132775763</c:v>
                </c:pt>
                <c:pt idx="16">
                  <c:v>0.47358293130566048</c:v>
                </c:pt>
                <c:pt idx="17">
                  <c:v>0.47577535553702349</c:v>
                </c:pt>
                <c:pt idx="18">
                  <c:v>0.47783698970403427</c:v>
                </c:pt>
                <c:pt idx="19">
                  <c:v>0.47977144840124453</c:v>
                </c:pt>
                <c:pt idx="20">
                  <c:v>0.48158225251062903</c:v>
                </c:pt>
                <c:pt idx="21">
                  <c:v>0.48327283190415227</c:v>
                </c:pt>
                <c:pt idx="22">
                  <c:v>0.48484652805257472</c:v>
                </c:pt>
                <c:pt idx="23">
                  <c:v>0.48630659654447195</c:v>
                </c:pt>
                <c:pt idx="24">
                  <c:v>0.48765620951923921</c:v>
                </c:pt>
                <c:pt idx="25">
                  <c:v>0.49406050690024872</c:v>
                </c:pt>
                <c:pt idx="26">
                  <c:v>0.50038475056399556</c:v>
                </c:pt>
                <c:pt idx="27">
                  <c:v>0.5066299411819456</c:v>
                </c:pt>
                <c:pt idx="28">
                  <c:v>0.51279706691717131</c:v>
                </c:pt>
                <c:pt idx="29">
                  <c:v>0.51888710358070667</c:v>
                </c:pt>
                <c:pt idx="30">
                  <c:v>0.52490101478594786</c:v>
                </c:pt>
                <c:pt idx="31">
                  <c:v>0.53083975210112355</c:v>
                </c:pt>
                <c:pt idx="32">
                  <c:v>0.53670425519985954</c:v>
                </c:pt>
                <c:pt idx="33">
                  <c:v>0.53366680194751404</c:v>
                </c:pt>
                <c:pt idx="34">
                  <c:v>0.53069585313051126</c:v>
                </c:pt>
                <c:pt idx="35">
                  <c:v>0.52779145938796856</c:v>
                </c:pt>
                <c:pt idx="36">
                  <c:v>0.5249536513439238</c:v>
                </c:pt>
                <c:pt idx="37">
                  <c:v>0.52218244222246613</c:v>
                </c:pt>
                <c:pt idx="38">
                  <c:v>0.5194778302239158</c:v>
                </c:pt>
                <c:pt idx="39">
                  <c:v>0.51683980068963797</c:v>
                </c:pt>
                <c:pt idx="40">
                  <c:v>0.51426832807954159</c:v>
                </c:pt>
                <c:pt idx="41">
                  <c:v>0.51568678158804482</c:v>
                </c:pt>
                <c:pt idx="42">
                  <c:v>0.51712198172500523</c:v>
                </c:pt>
                <c:pt idx="43">
                  <c:v>0.51857482418341816</c:v>
                </c:pt>
                <c:pt idx="44">
                  <c:v>0.52004610112353156</c:v>
                </c:pt>
                <c:pt idx="45">
                  <c:v>0.52153651348853103</c:v>
                </c:pt>
                <c:pt idx="46">
                  <c:v>0.52304668196092996</c:v>
                </c:pt>
                <c:pt idx="47">
                  <c:v>0.52457715675620153</c:v>
                </c:pt>
                <c:pt idx="48">
                  <c:v>0.52612842641751345</c:v>
                </c:pt>
                <c:pt idx="49">
                  <c:v>0.52940002899945715</c:v>
                </c:pt>
                <c:pt idx="50">
                  <c:v>0.53271475859317685</c:v>
                </c:pt>
                <c:pt idx="51">
                  <c:v>0.53607487504004769</c:v>
                </c:pt>
                <c:pt idx="52">
                  <c:v>0.53948250683581966</c:v>
                </c:pt>
                <c:pt idx="53">
                  <c:v>0.5429396749900498</c:v>
                </c:pt>
                <c:pt idx="54">
                  <c:v>0.54644831342375866</c:v>
                </c:pt>
                <c:pt idx="55">
                  <c:v>0.55001028651051354</c:v>
                </c:pt>
                <c:pt idx="56">
                  <c:v>0.55362740424457024</c:v>
                </c:pt>
                <c:pt idx="57">
                  <c:v>0.55730143542563793</c:v>
                </c:pt>
                <c:pt idx="58">
                  <c:v>0.56103411917638957</c:v>
                </c:pt>
                <c:pt idx="59">
                  <c:v>0.56482717505100788</c:v>
                </c:pt>
                <c:pt idx="60">
                  <c:v>0.5686823119471337</c:v>
                </c:pt>
                <c:pt idx="61">
                  <c:v>0.5726012356674588</c:v>
                </c:pt>
                <c:pt idx="62">
                  <c:v>0.57658562814188208</c:v>
                </c:pt>
                <c:pt idx="63">
                  <c:v>0.58063713026736186</c:v>
                </c:pt>
                <c:pt idx="64">
                  <c:v>0.58475734906803079</c:v>
                </c:pt>
                <c:pt idx="65">
                  <c:v>0.58894786389205589</c:v>
                </c:pt>
                <c:pt idx="66">
                  <c:v>0.59321023183639687</c:v>
                </c:pt>
                <c:pt idx="67">
                  <c:v>0.59754599249704499</c:v>
                </c:pt>
                <c:pt idx="68">
                  <c:v>0.60195667212843385</c:v>
                </c:pt>
                <c:pt idx="69">
                  <c:v>0.60644378728417292</c:v>
                </c:pt>
                <c:pt idx="70">
                  <c:v>0.61100884800162059</c:v>
                </c:pt>
                <c:pt idx="71">
                  <c:v>0.61565336058471942</c:v>
                </c:pt>
                <c:pt idx="72">
                  <c:v>0.62037883003267802</c:v>
                </c:pt>
                <c:pt idx="73">
                  <c:v>0.62512409465726959</c:v>
                </c:pt>
                <c:pt idx="74">
                  <c:v>0.62981004347405367</c:v>
                </c:pt>
                <c:pt idx="75">
                  <c:v>0.63443741793062802</c:v>
                </c:pt>
                <c:pt idx="76">
                  <c:v>0.63900695020649523</c:v>
                </c:pt>
                <c:pt idx="77">
                  <c:v>0.64351936332891402</c:v>
                </c:pt>
                <c:pt idx="78">
                  <c:v>0.64797537128730265</c:v>
                </c:pt>
                <c:pt idx="79">
                  <c:v>0.65237567914621142</c:v>
                </c:pt>
                <c:pt idx="80">
                  <c:v>0.65672098315688376</c:v>
                </c:pt>
                <c:pt idx="81">
                  <c:v>0.66101197086742269</c:v>
                </c:pt>
                <c:pt idx="82">
                  <c:v>0.66524932123157987</c:v>
                </c:pt>
                <c:pt idx="83">
                  <c:v>0.66943370471618513</c:v>
                </c:pt>
                <c:pt idx="84">
                  <c:v>0.67356578340723283</c:v>
                </c:pt>
                <c:pt idx="85">
                  <c:v>0.6776462111146424</c:v>
                </c:pt>
                <c:pt idx="86">
                  <c:v>0.68167563347570936</c:v>
                </c:pt>
                <c:pt idx="87">
                  <c:v>0.68565468805726304</c:v>
                </c:pt>
                <c:pt idx="88">
                  <c:v>0.68958400445654722</c:v>
                </c:pt>
                <c:pt idx="89">
                  <c:v>0.69346420440084033</c:v>
                </c:pt>
                <c:pt idx="90">
                  <c:v>0.69729590184582979</c:v>
                </c:pt>
                <c:pt idx="91">
                  <c:v>0.70107970307275691</c:v>
                </c:pt>
                <c:pt idx="92">
                  <c:v>0.70481620678434742</c:v>
                </c:pt>
                <c:pt idx="93">
                  <c:v>0.70850600419954313</c:v>
                </c:pt>
                <c:pt idx="94">
                  <c:v>0.71214967914704885</c:v>
                </c:pt>
                <c:pt idx="95">
                  <c:v>0.71574780815771077</c:v>
                </c:pt>
                <c:pt idx="96">
                  <c:v>0.71930096055573944</c:v>
                </c:pt>
                <c:pt idx="97">
                  <c:v>0.72280969854879273</c:v>
                </c:pt>
                <c:pt idx="98">
                  <c:v>0.72627457731693279</c:v>
                </c:pt>
                <c:pt idx="99">
                  <c:v>0.72969614510047109</c:v>
                </c:pt>
                <c:pt idx="100">
                  <c:v>0.73307494328671519</c:v>
                </c:pt>
                <c:pt idx="101">
                  <c:v>0.73641150649563125</c:v>
                </c:pt>
                <c:pt idx="102">
                  <c:v>0.7397063626644359</c:v>
                </c:pt>
                <c:pt idx="103">
                  <c:v>0.74296003313113046</c:v>
                </c:pt>
                <c:pt idx="104">
                  <c:v>0.74617303271699131</c:v>
                </c:pt>
              </c:numCache>
            </c:numRef>
          </c:yVal>
          <c:smooth val="0"/>
          <c:extLst>
            <c:ext xmlns:c16="http://schemas.microsoft.com/office/drawing/2014/chart" uri="{C3380CC4-5D6E-409C-BE32-E72D297353CC}">
              <c16:uniqueId val="{00000001-0245-4E33-95B6-175C1050FA82}"/>
            </c:ext>
          </c:extLst>
        </c:ser>
        <c:ser>
          <c:idx val="2"/>
          <c:order val="2"/>
          <c:tx>
            <c:strRef>
              <c:f>Model!$A$5</c:f>
              <c:strCache>
                <c:ptCount val="1"/>
                <c:pt idx="0">
                  <c:v>SDG3</c:v>
                </c:pt>
              </c:strCache>
            </c:strRef>
          </c:tx>
          <c:spPr>
            <a:ln w="12700">
              <a:solidFill>
                <a:srgbClr val="4C9F38"/>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Model!$B$5:$DB$5</c:f>
              <c:numCache>
                <c:formatCode>General</c:formatCode>
                <c:ptCount val="105"/>
                <c:pt idx="0">
                  <c:v>0.27561077117919924</c:v>
                </c:pt>
                <c:pt idx="1">
                  <c:v>0.27356065557304687</c:v>
                </c:pt>
                <c:pt idx="2">
                  <c:v>0.28264114737838381</c:v>
                </c:pt>
                <c:pt idx="3">
                  <c:v>0.29160813303615402</c:v>
                </c:pt>
                <c:pt idx="4">
                  <c:v>0.30046303137320207</c:v>
                </c:pt>
                <c:pt idx="5">
                  <c:v>0.30920724348103706</c:v>
                </c:pt>
                <c:pt idx="6">
                  <c:v>0.3178421529375241</c:v>
                </c:pt>
                <c:pt idx="7">
                  <c:v>0.32636912602580503</c:v>
                </c:pt>
                <c:pt idx="8">
                  <c:v>0.33478951195048245</c:v>
                </c:pt>
                <c:pt idx="9">
                  <c:v>0.33222208927231628</c:v>
                </c:pt>
                <c:pt idx="10">
                  <c:v>0.32965888451213815</c:v>
                </c:pt>
                <c:pt idx="11">
                  <c:v>0.32709994785782853</c:v>
                </c:pt>
                <c:pt idx="12">
                  <c:v>0.32454535310024141</c:v>
                </c:pt>
                <c:pt idx="13">
                  <c:v>0.32199519559509232</c:v>
                </c:pt>
                <c:pt idx="14">
                  <c:v>0.31944959033899933</c:v>
                </c:pt>
                <c:pt idx="15">
                  <c:v>0.31690867015442398</c:v>
                </c:pt>
                <c:pt idx="16">
                  <c:v>0.31437258397846074</c:v>
                </c:pt>
                <c:pt idx="17">
                  <c:v>0.31184149525062116</c:v>
                </c:pt>
                <c:pt idx="18">
                  <c:v>0.3093185900430318</c:v>
                </c:pt>
                <c:pt idx="19">
                  <c:v>0.30680382815878748</c:v>
                </c:pt>
                <c:pt idx="20">
                  <c:v>0.30429719455822618</c:v>
                </c:pt>
                <c:pt idx="21">
                  <c:v>0.30179869706166562</c:v>
                </c:pt>
                <c:pt idx="22">
                  <c:v>0.29930836420511164</c:v>
                </c:pt>
                <c:pt idx="23">
                  <c:v>0.29682624323956802</c:v>
                </c:pt>
                <c:pt idx="24">
                  <c:v>0.29435239826515364</c:v>
                </c:pt>
                <c:pt idx="25">
                  <c:v>0.29310082369670543</c:v>
                </c:pt>
                <c:pt idx="26">
                  <c:v>0.29185349169416203</c:v>
                </c:pt>
                <c:pt idx="27">
                  <c:v>0.29060981046676354</c:v>
                </c:pt>
                <c:pt idx="28">
                  <c:v>0.28936923164253703</c:v>
                </c:pt>
                <c:pt idx="29">
                  <c:v>0.28813124795384498</c:v>
                </c:pt>
                <c:pt idx="30">
                  <c:v>0.28689539103610268</c:v>
                </c:pt>
                <c:pt idx="31">
                  <c:v>0.28566122933413612</c:v>
                </c:pt>
                <c:pt idx="32">
                  <c:v>0.28442836611093159</c:v>
                </c:pt>
                <c:pt idx="33">
                  <c:v>0.28728726059054588</c:v>
                </c:pt>
                <c:pt idx="34">
                  <c:v>0.29012154636639992</c:v>
                </c:pt>
                <c:pt idx="35">
                  <c:v>0.29293445644748028</c:v>
                </c:pt>
                <c:pt idx="36">
                  <c:v>0.29572913273970658</c:v>
                </c:pt>
                <c:pt idx="37">
                  <c:v>0.29850863551330592</c:v>
                </c:pt>
                <c:pt idx="38">
                  <c:v>0.30127595216369485</c:v>
                </c:pt>
                <c:pt idx="39">
                  <c:v>0.30403400535311909</c:v>
                </c:pt>
                <c:pt idx="40">
                  <c:v>0.30678566060952678</c:v>
                </c:pt>
                <c:pt idx="41">
                  <c:v>0.31402452618827115</c:v>
                </c:pt>
                <c:pt idx="42">
                  <c:v>0.32115685552611739</c:v>
                </c:pt>
                <c:pt idx="43">
                  <c:v>0.32818734638708424</c:v>
                </c:pt>
                <c:pt idx="44">
                  <c:v>0.33512050959516498</c:v>
                </c:pt>
                <c:pt idx="45">
                  <c:v>0.34196068906607374</c:v>
                </c:pt>
                <c:pt idx="46">
                  <c:v>0.34871207959321715</c:v>
                </c:pt>
                <c:pt idx="47">
                  <c:v>0.35537874272085873</c:v>
                </c:pt>
                <c:pt idx="48">
                  <c:v>0.36196462098286808</c:v>
                </c:pt>
                <c:pt idx="49">
                  <c:v>0.36901502086062388</c:v>
                </c:pt>
                <c:pt idx="50">
                  <c:v>0.37606322718463775</c:v>
                </c:pt>
                <c:pt idx="51">
                  <c:v>0.38311506707498449</c:v>
                </c:pt>
                <c:pt idx="52">
                  <c:v>0.39017629721329561</c:v>
                </c:pt>
                <c:pt idx="53">
                  <c:v>0.39725263534540223</c:v>
                </c:pt>
                <c:pt idx="54">
                  <c:v>0.40434978819861761</c:v>
                </c:pt>
                <c:pt idx="55">
                  <c:v>0.41147347653231792</c:v>
                </c:pt>
                <c:pt idx="56">
                  <c:v>0.41862945790102168</c:v>
                </c:pt>
                <c:pt idx="57">
                  <c:v>0.42582354760173674</c:v>
                </c:pt>
                <c:pt idx="58">
                  <c:v>0.43300075325671505</c:v>
                </c:pt>
                <c:pt idx="59">
                  <c:v>0.44008824384100609</c:v>
                </c:pt>
                <c:pt idx="60">
                  <c:v>0.4470871407929935</c:v>
                </c:pt>
                <c:pt idx="61">
                  <c:v>0.45399855153308111</c:v>
                </c:pt>
                <c:pt idx="62">
                  <c:v>0.46082356963891757</c:v>
                </c:pt>
                <c:pt idx="63">
                  <c:v>0.46756327501843109</c:v>
                </c:pt>
                <c:pt idx="64">
                  <c:v>0.4742187340807007</c:v>
                </c:pt>
                <c:pt idx="65">
                  <c:v>0.48079099990469193</c:v>
                </c:pt>
                <c:pt idx="66">
                  <c:v>0.48728111240588329</c:v>
                </c:pt>
                <c:pt idx="67">
                  <c:v>0.49369009850080975</c:v>
                </c:pt>
                <c:pt idx="68">
                  <c:v>0.50001897226954961</c:v>
                </c:pt>
                <c:pt idx="69">
                  <c:v>0.5062687351161802</c:v>
                </c:pt>
                <c:pt idx="70">
                  <c:v>0.51244037592722791</c:v>
                </c:pt>
                <c:pt idx="71">
                  <c:v>0.51853487122813757</c:v>
                </c:pt>
                <c:pt idx="72">
                  <c:v>0.52455318533778583</c:v>
                </c:pt>
                <c:pt idx="73">
                  <c:v>0.53049627052106352</c:v>
                </c:pt>
                <c:pt idx="74">
                  <c:v>0.53636506713955023</c:v>
                </c:pt>
                <c:pt idx="75">
                  <c:v>0.54216050380030589</c:v>
                </c:pt>
                <c:pt idx="76">
                  <c:v>0.54788349750280207</c:v>
                </c:pt>
                <c:pt idx="77">
                  <c:v>0.55353495378401707</c:v>
                </c:pt>
                <c:pt idx="78">
                  <c:v>0.55911576686171682</c:v>
                </c:pt>
                <c:pt idx="79">
                  <c:v>0.56462681977594531</c:v>
                </c:pt>
                <c:pt idx="80">
                  <c:v>0.57006898452874599</c:v>
                </c:pt>
                <c:pt idx="81">
                  <c:v>0.57544312222213667</c:v>
                </c:pt>
                <c:pt idx="82">
                  <c:v>0.58075008319435995</c:v>
                </c:pt>
                <c:pt idx="83">
                  <c:v>0.58599070715443047</c:v>
                </c:pt>
                <c:pt idx="84">
                  <c:v>0.59116582331500012</c:v>
                </c:pt>
                <c:pt idx="85">
                  <c:v>0.59627625052356259</c:v>
                </c:pt>
                <c:pt idx="86">
                  <c:v>0.6013227973920181</c:v>
                </c:pt>
                <c:pt idx="87">
                  <c:v>0.60630626242461783</c:v>
                </c:pt>
                <c:pt idx="88">
                  <c:v>0.61122743414431013</c:v>
                </c:pt>
                <c:pt idx="89">
                  <c:v>0.61608709121750627</c:v>
                </c:pt>
                <c:pt idx="90">
                  <c:v>0.62088600257728743</c:v>
                </c:pt>
                <c:pt idx="91">
                  <c:v>0.62562492754507137</c:v>
                </c:pt>
                <c:pt idx="92">
                  <c:v>0.63030461595075793</c:v>
                </c:pt>
                <c:pt idx="93">
                  <c:v>0.63492580825137346</c:v>
                </c:pt>
                <c:pt idx="94">
                  <c:v>0.63948923564823124</c:v>
                </c:pt>
                <c:pt idx="95">
                  <c:v>0.64399562020262835</c:v>
                </c:pt>
                <c:pt idx="96">
                  <c:v>0.64844567495009553</c:v>
                </c:pt>
                <c:pt idx="97">
                  <c:v>0.65284010401321935</c:v>
                </c:pt>
                <c:pt idx="98">
                  <c:v>0.65717960271305409</c:v>
                </c:pt>
                <c:pt idx="99">
                  <c:v>0.66146485767914087</c:v>
                </c:pt>
                <c:pt idx="100">
                  <c:v>0.66569654695815161</c:v>
                </c:pt>
                <c:pt idx="101">
                  <c:v>0.66987534012117467</c:v>
                </c:pt>
                <c:pt idx="102">
                  <c:v>0.67400189836965996</c:v>
                </c:pt>
                <c:pt idx="103">
                  <c:v>0.67807687464003918</c:v>
                </c:pt>
                <c:pt idx="104">
                  <c:v>0.68210091370703874</c:v>
                </c:pt>
              </c:numCache>
            </c:numRef>
          </c:yVal>
          <c:smooth val="0"/>
          <c:extLst>
            <c:ext xmlns:c16="http://schemas.microsoft.com/office/drawing/2014/chart" uri="{C3380CC4-5D6E-409C-BE32-E72D297353CC}">
              <c16:uniqueId val="{00000002-0245-4E33-95B6-175C1050FA82}"/>
            </c:ext>
          </c:extLst>
        </c:ser>
        <c:ser>
          <c:idx val="3"/>
          <c:order val="3"/>
          <c:tx>
            <c:strRef>
              <c:f>Model!$A$6</c:f>
              <c:strCache>
                <c:ptCount val="1"/>
                <c:pt idx="0">
                  <c:v>SDG4</c:v>
                </c:pt>
              </c:strCache>
            </c:strRef>
          </c:tx>
          <c:spPr>
            <a:ln w="12700">
              <a:solidFill>
                <a:srgbClr val="C5192D"/>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Model!$B$6:$DB$6</c:f>
              <c:numCache>
                <c:formatCode>General</c:formatCode>
                <c:ptCount val="105"/>
                <c:pt idx="0">
                  <c:v>0.41950977325439454</c:v>
                </c:pt>
                <c:pt idx="1">
                  <c:v>0.4145477094284547</c:v>
                </c:pt>
                <c:pt idx="2">
                  <c:v>0.41059425603647376</c:v>
                </c:pt>
                <c:pt idx="3">
                  <c:v>0.40675951825540707</c:v>
                </c:pt>
                <c:pt idx="4">
                  <c:v>0.40304336839996746</c:v>
                </c:pt>
                <c:pt idx="5">
                  <c:v>0.39944565474448668</c:v>
                </c:pt>
                <c:pt idx="6">
                  <c:v>0.39596620247333159</c:v>
                </c:pt>
                <c:pt idx="7">
                  <c:v>0.39260481463381081</c:v>
                </c:pt>
                <c:pt idx="8">
                  <c:v>0.38936127309110996</c:v>
                </c:pt>
                <c:pt idx="9">
                  <c:v>0.38623533948499311</c:v>
                </c:pt>
                <c:pt idx="10">
                  <c:v>0.38311873192773088</c:v>
                </c:pt>
                <c:pt idx="11">
                  <c:v>0.38001154327223663</c:v>
                </c:pt>
                <c:pt idx="12">
                  <c:v>0.37691387615075389</c:v>
                </c:pt>
                <c:pt idx="13">
                  <c:v>0.37382584244246281</c:v>
                </c:pt>
                <c:pt idx="14">
                  <c:v>0.37074756272769005</c:v>
                </c:pt>
                <c:pt idx="15">
                  <c:v>0.36767916573249221</c:v>
                </c:pt>
                <c:pt idx="16">
                  <c:v>0.36462078776705459</c:v>
                </c:pt>
                <c:pt idx="17">
                  <c:v>0.36308211640211341</c:v>
                </c:pt>
                <c:pt idx="18">
                  <c:v>0.36152331084374739</c:v>
                </c:pt>
                <c:pt idx="19">
                  <c:v>0.35994438596373712</c:v>
                </c:pt>
                <c:pt idx="20">
                  <c:v>0.358345389217822</c:v>
                </c:pt>
                <c:pt idx="21">
                  <c:v>0.35672639990303251</c:v>
                </c:pt>
                <c:pt idx="22">
                  <c:v>0.35508752832694013</c:v>
                </c:pt>
                <c:pt idx="23">
                  <c:v>0.35342891490031508</c:v>
                </c:pt>
                <c:pt idx="24">
                  <c:v>0.35175072916381844</c:v>
                </c:pt>
                <c:pt idx="25">
                  <c:v>0.35275249246782658</c:v>
                </c:pt>
                <c:pt idx="26">
                  <c:v>0.3537105988613688</c:v>
                </c:pt>
                <c:pt idx="27">
                  <c:v>0.35462557858466703</c:v>
                </c:pt>
                <c:pt idx="28">
                  <c:v>0.3554979183718488</c:v>
                </c:pt>
                <c:pt idx="29">
                  <c:v>0.3563280653036357</c:v>
                </c:pt>
                <c:pt idx="30">
                  <c:v>0.35711643043064922</c:v>
                </c:pt>
                <c:pt idx="31">
                  <c:v>0.35786339218002861</c:v>
                </c:pt>
                <c:pt idx="32">
                  <c:v>0.35856929955719541</c:v>
                </c:pt>
                <c:pt idx="33">
                  <c:v>0.36249018476086181</c:v>
                </c:pt>
                <c:pt idx="34">
                  <c:v>0.36642734760903301</c:v>
                </c:pt>
                <c:pt idx="35">
                  <c:v>0.37038379033278968</c:v>
                </c:pt>
                <c:pt idx="36">
                  <c:v>0.37436265383098916</c:v>
                </c:pt>
                <c:pt idx="37">
                  <c:v>0.37836722717925081</c:v>
                </c:pt>
                <c:pt idx="38">
                  <c:v>0.3824009581687684</c:v>
                </c:pt>
                <c:pt idx="39">
                  <c:v>0.38646746496642476</c:v>
                </c:pt>
                <c:pt idx="40">
                  <c:v>0.39057054900260069</c:v>
                </c:pt>
                <c:pt idx="41">
                  <c:v>0.38800310457357312</c:v>
                </c:pt>
                <c:pt idx="42">
                  <c:v>0.38552806087711883</c:v>
                </c:pt>
                <c:pt idx="43">
                  <c:v>0.38314608610195883</c:v>
                </c:pt>
                <c:pt idx="44">
                  <c:v>0.38085798344057098</c:v>
                </c:pt>
                <c:pt idx="45">
                  <c:v>0.37866468759291155</c:v>
                </c:pt>
                <c:pt idx="46">
                  <c:v>0.37656726201243756</c:v>
                </c:pt>
                <c:pt idx="47">
                  <c:v>0.37456689686158512</c:v>
                </c:pt>
                <c:pt idx="48">
                  <c:v>0.37266490765333249</c:v>
                </c:pt>
                <c:pt idx="49">
                  <c:v>0.37243319415056481</c:v>
                </c:pt>
                <c:pt idx="50">
                  <c:v>0.37232258764826764</c:v>
                </c:pt>
                <c:pt idx="51">
                  <c:v>0.37233805125118535</c:v>
                </c:pt>
                <c:pt idx="52">
                  <c:v>0.37248494161281775</c:v>
                </c:pt>
                <c:pt idx="53">
                  <c:v>0.37276904696097457</c:v>
                </c:pt>
                <c:pt idx="54">
                  <c:v>0.37319662864429448</c:v>
                </c:pt>
                <c:pt idx="55">
                  <c:v>0.37377446680917076</c:v>
                </c:pt>
                <c:pt idx="56">
                  <c:v>0.37450991087293123</c:v>
                </c:pt>
                <c:pt idx="57">
                  <c:v>0.37541093553305904</c:v>
                </c:pt>
                <c:pt idx="58">
                  <c:v>0.37648620314493531</c:v>
                </c:pt>
                <c:pt idx="59">
                  <c:v>0.37774429478260385</c:v>
                </c:pt>
                <c:pt idx="60">
                  <c:v>0.37919345890987122</c:v>
                </c:pt>
                <c:pt idx="61">
                  <c:v>0.38084262650918821</c:v>
                </c:pt>
                <c:pt idx="62">
                  <c:v>0.38269320673618445</c:v>
                </c:pt>
                <c:pt idx="63">
                  <c:v>0.38474634317460676</c:v>
                </c:pt>
                <c:pt idx="64">
                  <c:v>0.3870031985108161</c:v>
                </c:pt>
                <c:pt idx="65">
                  <c:v>0.38946495719475832</c:v>
                </c:pt>
                <c:pt idx="66">
                  <c:v>0.39213282793226595</c:v>
                </c:pt>
                <c:pt idx="67">
                  <c:v>0.39500804601348433</c:v>
                </c:pt>
                <c:pt idx="68">
                  <c:v>0.39809187548213759</c:v>
                </c:pt>
                <c:pt idx="69">
                  <c:v>0.40138561115038074</c:v>
                </c:pt>
                <c:pt idx="70">
                  <c:v>0.4048905804640861</c:v>
                </c:pt>
                <c:pt idx="71">
                  <c:v>0.4086081452235657</c:v>
                </c:pt>
                <c:pt idx="72">
                  <c:v>0.41253970316491068</c:v>
                </c:pt>
                <c:pt idx="73">
                  <c:v>0.41668668940732001</c:v>
                </c:pt>
                <c:pt idx="74">
                  <c:v>0.42105057777198007</c:v>
                </c:pt>
                <c:pt idx="75">
                  <c:v>0.42563287566973651</c:v>
                </c:pt>
                <c:pt idx="76">
                  <c:v>0.43043511714968591</c:v>
                </c:pt>
                <c:pt idx="77">
                  <c:v>0.43545886390186189</c:v>
                </c:pt>
                <c:pt idx="78">
                  <c:v>0.44070570617474136</c:v>
                </c:pt>
                <c:pt idx="79">
                  <c:v>0.44617726361282428</c:v>
                </c:pt>
                <c:pt idx="80">
                  <c:v>0.45187518601946552</c:v>
                </c:pt>
                <c:pt idx="81">
                  <c:v>0.45780115405005628</c:v>
                </c:pt>
                <c:pt idx="82">
                  <c:v>0.46395687984055833</c:v>
                </c:pt>
                <c:pt idx="83">
                  <c:v>0.47034410757629191</c:v>
                </c:pt>
                <c:pt idx="84">
                  <c:v>0.47696461400576012</c:v>
                </c:pt>
                <c:pt idx="85">
                  <c:v>0.48350255633068812</c:v>
                </c:pt>
                <c:pt idx="86">
                  <c:v>0.4899587743765545</c:v>
                </c:pt>
                <c:pt idx="87">
                  <c:v>0.49633428969684756</c:v>
                </c:pt>
                <c:pt idx="88">
                  <c:v>0.50263011107563693</c:v>
                </c:pt>
                <c:pt idx="89">
                  <c:v>0.50884723468719151</c:v>
                </c:pt>
                <c:pt idx="90">
                  <c:v>0.51498664425360163</c:v>
                </c:pt>
                <c:pt idx="91">
                  <c:v>0.52104931120043163</c:v>
                </c:pt>
                <c:pt idx="92">
                  <c:v>0.52703619481042618</c:v>
                </c:pt>
                <c:pt idx="93">
                  <c:v>0.53294824237529581</c:v>
                </c:pt>
                <c:pt idx="94">
                  <c:v>0.53878638934560463</c:v>
                </c:pt>
                <c:pt idx="95">
                  <c:v>0.54455155947878453</c:v>
                </c:pt>
                <c:pt idx="96">
                  <c:v>0.55024466498529967</c:v>
                </c:pt>
                <c:pt idx="97">
                  <c:v>0.55586660667298338</c:v>
                </c:pt>
                <c:pt idx="98">
                  <c:v>0.56141827408957112</c:v>
                </c:pt>
                <c:pt idx="99">
                  <c:v>0.56690054566345149</c:v>
                </c:pt>
                <c:pt idx="100">
                  <c:v>0.57231428884265834</c:v>
                </c:pt>
                <c:pt idx="101">
                  <c:v>0.57766036023212508</c:v>
                </c:pt>
                <c:pt idx="102">
                  <c:v>0.58293960572922354</c:v>
                </c:pt>
                <c:pt idx="103">
                  <c:v>0.5881528606576083</c:v>
                </c:pt>
                <c:pt idx="104">
                  <c:v>0.5933009498993882</c:v>
                </c:pt>
              </c:numCache>
            </c:numRef>
          </c:yVal>
          <c:smooth val="0"/>
          <c:extLst>
            <c:ext xmlns:c16="http://schemas.microsoft.com/office/drawing/2014/chart" uri="{C3380CC4-5D6E-409C-BE32-E72D297353CC}">
              <c16:uniqueId val="{00000003-0245-4E33-95B6-175C1050FA82}"/>
            </c:ext>
          </c:extLst>
        </c:ser>
        <c:ser>
          <c:idx val="4"/>
          <c:order val="4"/>
          <c:tx>
            <c:strRef>
              <c:f>Model!$A$7</c:f>
              <c:strCache>
                <c:ptCount val="1"/>
                <c:pt idx="0">
                  <c:v>SDG5</c:v>
                </c:pt>
              </c:strCache>
            </c:strRef>
          </c:tx>
          <c:spPr>
            <a:ln w="12700">
              <a:solidFill>
                <a:srgbClr val="E13A21"/>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Model!$B$7:$DB$7</c:f>
              <c:numCache>
                <c:formatCode>General</c:formatCode>
                <c:ptCount val="105"/>
                <c:pt idx="0">
                  <c:v>0.35542755126953124</c:v>
                </c:pt>
                <c:pt idx="1">
                  <c:v>0.35327138612489184</c:v>
                </c:pt>
                <c:pt idx="2">
                  <c:v>0.36135549379833071</c:v>
                </c:pt>
                <c:pt idx="3">
                  <c:v>0.36933855012585159</c:v>
                </c:pt>
                <c:pt idx="4">
                  <c:v>0.37722181824927847</c:v>
                </c:pt>
                <c:pt idx="5">
                  <c:v>0.38500654552116248</c:v>
                </c:pt>
                <c:pt idx="6">
                  <c:v>0.39269396370214793</c:v>
                </c:pt>
                <c:pt idx="7">
                  <c:v>0.40028528915587108</c:v>
                </c:pt>
                <c:pt idx="8">
                  <c:v>0.40778172304142268</c:v>
                </c:pt>
                <c:pt idx="9">
                  <c:v>0.40548067701221396</c:v>
                </c:pt>
                <c:pt idx="10">
                  <c:v>0.40311444516909373</c:v>
                </c:pt>
                <c:pt idx="11">
                  <c:v>0.40068602724959862</c:v>
                </c:pt>
                <c:pt idx="12">
                  <c:v>0.39819839925190093</c:v>
                </c:pt>
                <c:pt idx="13">
                  <c:v>0.39565450817406961</c:v>
                </c:pt>
                <c:pt idx="14">
                  <c:v>0.39305726720376472</c:v>
                </c:pt>
                <c:pt idx="15">
                  <c:v>0.39040955133766958</c:v>
                </c:pt>
                <c:pt idx="16">
                  <c:v>0.38771419341039826</c:v>
                </c:pt>
                <c:pt idx="17">
                  <c:v>0.38708019503333357</c:v>
                </c:pt>
                <c:pt idx="18">
                  <c:v>0.38634306746596941</c:v>
                </c:pt>
                <c:pt idx="19">
                  <c:v>0.38550528687145985</c:v>
                </c:pt>
                <c:pt idx="20">
                  <c:v>0.3845694015541703</c:v>
                </c:pt>
                <c:pt idx="21">
                  <c:v>0.38353802176994251</c:v>
                </c:pt>
                <c:pt idx="22">
                  <c:v>0.38241381012485937</c:v>
                </c:pt>
                <c:pt idx="23">
                  <c:v>0.3811994725370238</c:v>
                </c:pt>
                <c:pt idx="24">
                  <c:v>0.37989774973742807</c:v>
                </c:pt>
                <c:pt idx="25">
                  <c:v>0.38045979415153131</c:v>
                </c:pt>
                <c:pt idx="26">
                  <c:v>0.38099250292097048</c:v>
                </c:pt>
                <c:pt idx="27">
                  <c:v>0.38149401796378429</c:v>
                </c:pt>
                <c:pt idx="28">
                  <c:v>0.38196260140382998</c:v>
                </c:pt>
                <c:pt idx="29">
                  <c:v>0.38239663168266141</c:v>
                </c:pt>
                <c:pt idx="30">
                  <c:v>0.38279459977963154</c:v>
                </c:pt>
                <c:pt idx="31">
                  <c:v>0.38315510553599902</c:v>
                </c:pt>
                <c:pt idx="32">
                  <c:v>0.38347685407890109</c:v>
                </c:pt>
                <c:pt idx="33">
                  <c:v>0.38135850482874012</c:v>
                </c:pt>
                <c:pt idx="34">
                  <c:v>0.37934580249250388</c:v>
                </c:pt>
                <c:pt idx="35">
                  <c:v>0.3774403489459961</c:v>
                </c:pt>
                <c:pt idx="36">
                  <c:v>0.3756439620436095</c:v>
                </c:pt>
                <c:pt idx="37">
                  <c:v>0.37395869153281025</c:v>
                </c:pt>
                <c:pt idx="38">
                  <c:v>0.37238683670017536</c:v>
                </c:pt>
                <c:pt idx="39">
                  <c:v>0.37093096596283975</c:v>
                </c:pt>
                <c:pt idx="40">
                  <c:v>0.36959393865032336</c:v>
                </c:pt>
                <c:pt idx="41">
                  <c:v>0.37140298811255223</c:v>
                </c:pt>
                <c:pt idx="42">
                  <c:v>0.37348757933088211</c:v>
                </c:pt>
                <c:pt idx="43">
                  <c:v>0.37584853750351699</c:v>
                </c:pt>
                <c:pt idx="44">
                  <c:v>0.37848675215396665</c:v>
                </c:pt>
                <c:pt idx="45">
                  <c:v>0.38140319825762581</c:v>
                </c:pt>
                <c:pt idx="46">
                  <c:v>0.38459895760232776</c:v>
                </c:pt>
                <c:pt idx="47">
                  <c:v>0.38807524043564406</c:v>
                </c:pt>
                <c:pt idx="48">
                  <c:v>0.39183340745520967</c:v>
                </c:pt>
                <c:pt idx="49">
                  <c:v>0.39465636189706976</c:v>
                </c:pt>
                <c:pt idx="50">
                  <c:v>0.39777585857384029</c:v>
                </c:pt>
                <c:pt idx="51">
                  <c:v>0.40120370563778768</c:v>
                </c:pt>
                <c:pt idx="52">
                  <c:v>0.40495287087903636</c:v>
                </c:pt>
                <c:pt idx="53">
                  <c:v>0.40903759318085448</c:v>
                </c:pt>
                <c:pt idx="54">
                  <c:v>0.41347350796490645</c:v>
                </c:pt>
                <c:pt idx="55">
                  <c:v>0.41827778846639679</c:v>
                </c:pt>
                <c:pt idx="56">
                  <c:v>0.42346930499500834</c:v>
                </c:pt>
                <c:pt idx="57">
                  <c:v>0.42906880470616932</c:v>
                </c:pt>
                <c:pt idx="58">
                  <c:v>0.43509911484010172</c:v>
                </c:pt>
                <c:pt idx="59">
                  <c:v>0.44158336986490976</c:v>
                </c:pt>
                <c:pt idx="60">
                  <c:v>0.44854391386385928</c:v>
                </c:pt>
                <c:pt idx="61">
                  <c:v>0.45543711494056105</c:v>
                </c:pt>
                <c:pt idx="62">
                  <c:v>0.46224415100380406</c:v>
                </c:pt>
                <c:pt idx="63">
                  <c:v>0.46896609911625653</c:v>
                </c:pt>
                <c:pt idx="64">
                  <c:v>0.4756040228773033</c:v>
                </c:pt>
                <c:pt idx="65">
                  <c:v>0.482158972591337</c:v>
                </c:pt>
                <c:pt idx="66">
                  <c:v>0.48863198543394526</c:v>
                </c:pt>
                <c:pt idx="67">
                  <c:v>0.49502408561602096</c:v>
                </c:pt>
                <c:pt idx="68">
                  <c:v>0.50133628454582069</c:v>
                </c:pt>
                <c:pt idx="69">
                  <c:v>0.50756958098899796</c:v>
                </c:pt>
                <c:pt idx="70">
                  <c:v>0.51372496122663547</c:v>
                </c:pt>
                <c:pt idx="71">
                  <c:v>0.51980339921130247</c:v>
                </c:pt>
                <c:pt idx="72">
                  <c:v>0.5258058567211612</c:v>
                </c:pt>
                <c:pt idx="73">
                  <c:v>0.53173328351214666</c:v>
                </c:pt>
                <c:pt idx="74">
                  <c:v>0.53758661746824488</c:v>
                </c:pt>
                <c:pt idx="75">
                  <c:v>0.54336678474989186</c:v>
                </c:pt>
                <c:pt idx="76">
                  <c:v>0.54907469994051816</c:v>
                </c:pt>
                <c:pt idx="77">
                  <c:v>0.55471126619126165</c:v>
                </c:pt>
                <c:pt idx="78">
                  <c:v>0.5602773753638709</c:v>
                </c:pt>
                <c:pt idx="79">
                  <c:v>0.56577390817182249</c:v>
                </c:pt>
                <c:pt idx="80">
                  <c:v>0.57120173431967469</c:v>
                </c:pt>
                <c:pt idx="81">
                  <c:v>0.57656171264067879</c:v>
                </c:pt>
                <c:pt idx="82">
                  <c:v>0.58185469123267031</c:v>
                </c:pt>
                <c:pt idx="83">
                  <c:v>0.58708150759226196</c:v>
                </c:pt>
                <c:pt idx="84">
                  <c:v>0.5922429887473587</c:v>
                </c:pt>
                <c:pt idx="85">
                  <c:v>0.59733995138801677</c:v>
                </c:pt>
                <c:pt idx="86">
                  <c:v>0.60237320199566657</c:v>
                </c:pt>
                <c:pt idx="87">
                  <c:v>0.60734353697072074</c:v>
                </c:pt>
                <c:pt idx="88">
                  <c:v>0.61225174275858674</c:v>
                </c:pt>
                <c:pt idx="89">
                  <c:v>0.61709859597410444</c:v>
                </c:pt>
                <c:pt idx="90">
                  <c:v>0.62188486352442818</c:v>
                </c:pt>
                <c:pt idx="91">
                  <c:v>0.6266113027303728</c:v>
                </c:pt>
                <c:pt idx="92">
                  <c:v>0.63127866144624312</c:v>
                </c:pt>
                <c:pt idx="93">
                  <c:v>0.63588767817816505</c:v>
                </c:pt>
                <c:pt idx="94">
                  <c:v>0.64043908220093804</c:v>
                </c:pt>
                <c:pt idx="95">
                  <c:v>0.64493359367342629</c:v>
                </c:pt>
                <c:pt idx="96">
                  <c:v>0.64937192375250841</c:v>
                </c:pt>
                <c:pt idx="97">
                  <c:v>0.65375477470560206</c:v>
                </c:pt>
                <c:pt idx="98">
                  <c:v>0.65808284002178208</c:v>
                </c:pt>
                <c:pt idx="99">
                  <c:v>0.6623568045215098</c:v>
                </c:pt>
                <c:pt idx="100">
                  <c:v>0.66657734446499095</c:v>
                </c:pt>
                <c:pt idx="101">
                  <c:v>0.6707451276591786</c:v>
                </c:pt>
                <c:pt idx="102">
                  <c:v>0.67486081356343885</c:v>
                </c:pt>
                <c:pt idx="103">
                  <c:v>0.67892505339389586</c:v>
                </c:pt>
                <c:pt idx="104">
                  <c:v>0.68293849022647213</c:v>
                </c:pt>
              </c:numCache>
            </c:numRef>
          </c:yVal>
          <c:smooth val="0"/>
          <c:extLst>
            <c:ext xmlns:c16="http://schemas.microsoft.com/office/drawing/2014/chart" uri="{C3380CC4-5D6E-409C-BE32-E72D297353CC}">
              <c16:uniqueId val="{00000004-0245-4E33-95B6-175C1050FA82}"/>
            </c:ext>
          </c:extLst>
        </c:ser>
        <c:ser>
          <c:idx val="5"/>
          <c:order val="5"/>
          <c:tx>
            <c:strRef>
              <c:f>Model!$A$8</c:f>
              <c:strCache>
                <c:ptCount val="1"/>
                <c:pt idx="0">
                  <c:v>SDG6</c:v>
                </c:pt>
              </c:strCache>
            </c:strRef>
          </c:tx>
          <c:spPr>
            <a:ln w="12700">
              <a:solidFill>
                <a:srgbClr val="26BDE2"/>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Model!$B$8:$DB$8</c:f>
              <c:numCache>
                <c:formatCode>General</c:formatCode>
                <c:ptCount val="105"/>
                <c:pt idx="0">
                  <c:v>0.62973716735839846</c:v>
                </c:pt>
                <c:pt idx="1">
                  <c:v>0.63436545276641854</c:v>
                </c:pt>
                <c:pt idx="2">
                  <c:v>0.63893588460683826</c:v>
                </c:pt>
                <c:pt idx="3">
                  <c:v>0.64344918604925283</c:v>
                </c:pt>
                <c:pt idx="4">
                  <c:v>0.64790607122363719</c:v>
                </c:pt>
                <c:pt idx="5">
                  <c:v>0.65230724533334172</c:v>
                </c:pt>
                <c:pt idx="6">
                  <c:v>0.656653404766675</c:v>
                </c:pt>
                <c:pt idx="7">
                  <c:v>0.66094523720709153</c:v>
                </c:pt>
                <c:pt idx="8">
                  <c:v>0.66518342174200285</c:v>
                </c:pt>
                <c:pt idx="9">
                  <c:v>0.65822361604180535</c:v>
                </c:pt>
                <c:pt idx="10">
                  <c:v>0.65135080791286026</c:v>
                </c:pt>
                <c:pt idx="11">
                  <c:v>0.64456390988552703</c:v>
                </c:pt>
                <c:pt idx="12">
                  <c:v>0.63786184808353541</c:v>
                </c:pt>
                <c:pt idx="13">
                  <c:v>0.63124356205406873</c:v>
                </c:pt>
                <c:pt idx="14">
                  <c:v>0.62470800459997045</c:v>
                </c:pt>
                <c:pt idx="15">
                  <c:v>0.61825414161404835</c:v>
                </c:pt>
                <c:pt idx="16">
                  <c:v>0.61188095191545022</c:v>
                </c:pt>
                <c:pt idx="17">
                  <c:v>0.60614330401849625</c:v>
                </c:pt>
                <c:pt idx="18">
                  <c:v>0.60047737672025425</c:v>
                </c:pt>
                <c:pt idx="19">
                  <c:v>0.59488227351324019</c:v>
                </c:pt>
                <c:pt idx="20">
                  <c:v>0.58935710909631389</c:v>
                </c:pt>
                <c:pt idx="21">
                  <c:v>0.58390100923459909</c:v>
                </c:pt>
                <c:pt idx="22">
                  <c:v>0.57851311062115574</c:v>
                </c:pt>
                <c:pt idx="23">
                  <c:v>0.5731925607403805</c:v>
                </c:pt>
                <c:pt idx="24">
                  <c:v>0.56793851773311488</c:v>
                </c:pt>
                <c:pt idx="25">
                  <c:v>0.56466101426542925</c:v>
                </c:pt>
                <c:pt idx="26">
                  <c:v>0.56142447959108976</c:v>
                </c:pt>
                <c:pt idx="27">
                  <c:v>0.5582284016001795</c:v>
                </c:pt>
                <c:pt idx="28">
                  <c:v>0.55507227458415553</c:v>
                </c:pt>
                <c:pt idx="29">
                  <c:v>0.55195559915583192</c:v>
                </c:pt>
                <c:pt idx="30">
                  <c:v>0.54887788217036237</c:v>
                </c:pt>
                <c:pt idx="31">
                  <c:v>0.54583863664721122</c:v>
                </c:pt>
                <c:pt idx="32">
                  <c:v>0.54283738169309936</c:v>
                </c:pt>
                <c:pt idx="33">
                  <c:v>0.54526645776452598</c:v>
                </c:pt>
                <c:pt idx="34">
                  <c:v>0.54766517038505969</c:v>
                </c:pt>
                <c:pt idx="35">
                  <c:v>0.55003389909783673</c:v>
                </c:pt>
                <c:pt idx="36">
                  <c:v>0.55237301870170408</c:v>
                </c:pt>
                <c:pt idx="37">
                  <c:v>0.55468289931052306</c:v>
                </c:pt>
                <c:pt idx="38">
                  <c:v>0.55696390641173188</c:v>
                </c:pt>
                <c:pt idx="39">
                  <c:v>0.55921640092417557</c:v>
                </c:pt>
                <c:pt idx="40">
                  <c:v>0.56144073925521376</c:v>
                </c:pt>
                <c:pt idx="41">
                  <c:v>0.56530997065459687</c:v>
                </c:pt>
                <c:pt idx="42">
                  <c:v>0.56913083666148767</c:v>
                </c:pt>
                <c:pt idx="43">
                  <c:v>0.5729039418432923</c:v>
                </c:pt>
                <c:pt idx="44">
                  <c:v>0.57662988321032438</c:v>
                </c:pt>
                <c:pt idx="45">
                  <c:v>0.58030925031026859</c:v>
                </c:pt>
                <c:pt idx="46">
                  <c:v>0.58394262532146346</c:v>
                </c:pt>
                <c:pt idx="47">
                  <c:v>0.58753058314501838</c:v>
                </c:pt>
                <c:pt idx="48">
                  <c:v>0.59107369149577893</c:v>
                </c:pt>
                <c:pt idx="49">
                  <c:v>0.59618526952840412</c:v>
                </c:pt>
                <c:pt idx="50">
                  <c:v>0.6012329528356215</c:v>
                </c:pt>
                <c:pt idx="51">
                  <c:v>0.60621754010149864</c:v>
                </c:pt>
                <c:pt idx="52">
                  <c:v>0.61113982002655232</c:v>
                </c:pt>
                <c:pt idx="53">
                  <c:v>0.61600057145254283</c:v>
                </c:pt>
                <c:pt idx="54">
                  <c:v>0.62080056348570845</c:v>
                </c:pt>
                <c:pt idx="55">
                  <c:v>0.62554055561845945</c:v>
                </c:pt>
                <c:pt idx="56">
                  <c:v>0.63022129784955105</c:v>
                </c:pt>
                <c:pt idx="57">
                  <c:v>0.63484353080275402</c:v>
                </c:pt>
                <c:pt idx="58">
                  <c:v>0.63940798584404201</c:v>
                </c:pt>
                <c:pt idx="59">
                  <c:v>0.64391538519731384</c:v>
                </c:pt>
                <c:pt idx="60">
                  <c:v>0.64836644205866978</c:v>
                </c:pt>
                <c:pt idx="61">
                  <c:v>0.65276186070925879</c:v>
                </c:pt>
                <c:pt idx="62">
                  <c:v>0.65710233662671547</c:v>
                </c:pt>
                <c:pt idx="63">
                  <c:v>0.6613885565952039</c:v>
                </c:pt>
                <c:pt idx="64">
                  <c:v>0.66562119881408621</c:v>
                </c:pt>
                <c:pt idx="65">
                  <c:v>0.66980093300523247</c:v>
                </c:pt>
                <c:pt idx="66">
                  <c:v>0.67392842051898949</c:v>
                </c:pt>
                <c:pt idx="67">
                  <c:v>0.67800431443882447</c:v>
                </c:pt>
                <c:pt idx="68">
                  <c:v>0.68202925968466155</c:v>
                </c:pt>
                <c:pt idx="69">
                  <c:v>0.68600389311492571</c:v>
                </c:pt>
                <c:pt idx="70">
                  <c:v>0.68992884362731155</c:v>
                </c:pt>
                <c:pt idx="71">
                  <c:v>0.69380473225829253</c:v>
                </c:pt>
                <c:pt idx="72">
                  <c:v>0.6976321722813863</c:v>
                </c:pt>
                <c:pt idx="73">
                  <c:v>0.70141176930419136</c:v>
                </c:pt>
                <c:pt idx="74">
                  <c:v>0.70514412136421134</c:v>
                </c:pt>
                <c:pt idx="75">
                  <c:v>0.70882981902348108</c:v>
                </c:pt>
                <c:pt idx="76">
                  <c:v>0.71246944546200996</c:v>
                </c:pt>
                <c:pt idx="77">
                  <c:v>0.71606357657005726</c:v>
                </c:pt>
                <c:pt idx="78">
                  <c:v>0.71961278103925397</c:v>
                </c:pt>
                <c:pt idx="79">
                  <c:v>0.72311762045258565</c:v>
                </c:pt>
                <c:pt idx="80">
                  <c:v>0.72657864937325067</c:v>
                </c:pt>
                <c:pt idx="81">
                  <c:v>0.72999641543240745</c:v>
                </c:pt>
                <c:pt idx="82">
                  <c:v>0.73337145941582471</c:v>
                </c:pt>
                <c:pt idx="83">
                  <c:v>0.73670431534944925</c:v>
                </c:pt>
                <c:pt idx="84">
                  <c:v>0.73999551058390356</c:v>
                </c:pt>
                <c:pt idx="85">
                  <c:v>0.74324556587792712</c:v>
                </c:pt>
                <c:pt idx="86">
                  <c:v>0.74645499548077543</c:v>
                </c:pt>
                <c:pt idx="87">
                  <c:v>0.74962430721358808</c:v>
                </c:pt>
                <c:pt idx="88">
                  <c:v>0.75275400254974056</c:v>
                </c:pt>
                <c:pt idx="89">
                  <c:v>0.75584457669419114</c:v>
                </c:pt>
                <c:pt idx="90">
                  <c:v>0.75889651866183616</c:v>
                </c:pt>
                <c:pt idx="91">
                  <c:v>0.76191031135488563</c:v>
                </c:pt>
                <c:pt idx="92">
                  <c:v>0.76488643163927195</c:v>
                </c:pt>
                <c:pt idx="93">
                  <c:v>0.76782535042010347</c:v>
                </c:pt>
                <c:pt idx="94">
                  <c:v>0.77072753271617456</c:v>
                </c:pt>
                <c:pt idx="95">
                  <c:v>0.77359343773354472</c:v>
                </c:pt>
                <c:pt idx="96">
                  <c:v>0.77642351893819783</c:v>
                </c:pt>
                <c:pt idx="97">
                  <c:v>0.77921822412779274</c:v>
                </c:pt>
                <c:pt idx="98">
                  <c:v>0.78197799550251768</c:v>
                </c:pt>
                <c:pt idx="99">
                  <c:v>0.78470326973505855</c:v>
                </c:pt>
                <c:pt idx="100">
                  <c:v>0.78739447803969276</c:v>
                </c:pt>
                <c:pt idx="101">
                  <c:v>0.79005204624051895</c:v>
                </c:pt>
                <c:pt idx="102">
                  <c:v>0.7926763948388349</c:v>
                </c:pt>
                <c:pt idx="103">
                  <c:v>0.79526793907967186</c:v>
                </c:pt>
                <c:pt idx="104">
                  <c:v>0.79782708901749833</c:v>
                </c:pt>
              </c:numCache>
            </c:numRef>
          </c:yVal>
          <c:smooth val="0"/>
          <c:extLst>
            <c:ext xmlns:c16="http://schemas.microsoft.com/office/drawing/2014/chart" uri="{C3380CC4-5D6E-409C-BE32-E72D297353CC}">
              <c16:uniqueId val="{00000005-0245-4E33-95B6-175C1050FA82}"/>
            </c:ext>
          </c:extLst>
        </c:ser>
        <c:ser>
          <c:idx val="6"/>
          <c:order val="6"/>
          <c:tx>
            <c:strRef>
              <c:f>Model!$A$9</c:f>
              <c:strCache>
                <c:ptCount val="1"/>
                <c:pt idx="0">
                  <c:v>SDG7</c:v>
                </c:pt>
              </c:strCache>
            </c:strRef>
          </c:tx>
          <c:spPr>
            <a:ln w="12700">
              <a:solidFill>
                <a:srgbClr val="FCC30B"/>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Model!$B$9:$DB$9</c:f>
              <c:numCache>
                <c:formatCode>General</c:formatCode>
                <c:ptCount val="105"/>
                <c:pt idx="0">
                  <c:v>0.38113487243652344</c:v>
                </c:pt>
                <c:pt idx="1">
                  <c:v>0.3776206865310669</c:v>
                </c:pt>
                <c:pt idx="2">
                  <c:v>0.37415042794942854</c:v>
                </c:pt>
                <c:pt idx="3">
                  <c:v>0.37072354760006071</c:v>
                </c:pt>
                <c:pt idx="4">
                  <c:v>0.36733950325505993</c:v>
                </c:pt>
                <c:pt idx="5">
                  <c:v>0.36399775946437168</c:v>
                </c:pt>
                <c:pt idx="6">
                  <c:v>0.36069778747106707</c:v>
                </c:pt>
                <c:pt idx="7">
                  <c:v>0.3574390651276787</c:v>
                </c:pt>
                <c:pt idx="8">
                  <c:v>0.35422107681358272</c:v>
                </c:pt>
                <c:pt idx="9">
                  <c:v>0.35229331335341296</c:v>
                </c:pt>
                <c:pt idx="10">
                  <c:v>0.35038964693649532</c:v>
                </c:pt>
                <c:pt idx="11">
                  <c:v>0.34850977634978914</c:v>
                </c:pt>
                <c:pt idx="12">
                  <c:v>0.34665340414541679</c:v>
                </c:pt>
                <c:pt idx="13">
                  <c:v>0.34482023659359906</c:v>
                </c:pt>
                <c:pt idx="14">
                  <c:v>0.34300998363617907</c:v>
                </c:pt>
                <c:pt idx="15">
                  <c:v>0.34122235884072682</c:v>
                </c:pt>
                <c:pt idx="16">
                  <c:v>0.33945707935521774</c:v>
                </c:pt>
                <c:pt idx="17">
                  <c:v>0.34021386586327751</c:v>
                </c:pt>
                <c:pt idx="18">
                  <c:v>0.34096119253998652</c:v>
                </c:pt>
                <c:pt idx="19">
                  <c:v>0.34169917763323671</c:v>
                </c:pt>
                <c:pt idx="20">
                  <c:v>0.34242793791282122</c:v>
                </c:pt>
                <c:pt idx="21">
                  <c:v>0.34314758868891093</c:v>
                </c:pt>
                <c:pt idx="22">
                  <c:v>0.34385824383029956</c:v>
                </c:pt>
                <c:pt idx="23">
                  <c:v>0.34456001578242079</c:v>
                </c:pt>
                <c:pt idx="24">
                  <c:v>0.34525301558514054</c:v>
                </c:pt>
                <c:pt idx="25">
                  <c:v>0.3448935739827409</c:v>
                </c:pt>
                <c:pt idx="26">
                  <c:v>0.34453862540037122</c:v>
                </c:pt>
                <c:pt idx="27">
                  <c:v>0.34418811367528118</c:v>
                </c:pt>
                <c:pt idx="28">
                  <c:v>0.34384198334675475</c:v>
                </c:pt>
                <c:pt idx="29">
                  <c:v>0.34350017964733492</c:v>
                </c:pt>
                <c:pt idx="30">
                  <c:v>0.34316264849415784</c:v>
                </c:pt>
                <c:pt idx="31">
                  <c:v>0.34282933648039549</c:v>
                </c:pt>
                <c:pt idx="32">
                  <c:v>0.34250019086680517</c:v>
                </c:pt>
                <c:pt idx="33">
                  <c:v>0.34496566260969325</c:v>
                </c:pt>
                <c:pt idx="34">
                  <c:v>0.34740031595579524</c:v>
                </c:pt>
                <c:pt idx="35">
                  <c:v>0.34980453613507095</c:v>
                </c:pt>
                <c:pt idx="36">
                  <c:v>0.35217870356210573</c:v>
                </c:pt>
                <c:pt idx="37">
                  <c:v>0.35452319389630255</c:v>
                </c:pt>
                <c:pt idx="38">
                  <c:v>0.35683837810132191</c:v>
                </c:pt>
                <c:pt idx="39">
                  <c:v>0.35912462250377852</c:v>
                </c:pt>
                <c:pt idx="40">
                  <c:v>0.36138228885120444</c:v>
                </c:pt>
                <c:pt idx="41">
                  <c:v>0.35811501024056436</c:v>
                </c:pt>
                <c:pt idx="42">
                  <c:v>0.3548885726125573</c:v>
                </c:pt>
                <c:pt idx="43">
                  <c:v>0.3517024654549003</c:v>
                </c:pt>
                <c:pt idx="44">
                  <c:v>0.34855618463671406</c:v>
                </c:pt>
                <c:pt idx="45">
                  <c:v>0.34544923232875513</c:v>
                </c:pt>
                <c:pt idx="46">
                  <c:v>0.34238111692464568</c:v>
                </c:pt>
                <c:pt idx="47">
                  <c:v>0.3393513529630876</c:v>
                </c:pt>
                <c:pt idx="48">
                  <c:v>0.33635946105104902</c:v>
                </c:pt>
                <c:pt idx="49">
                  <c:v>0.3334049677879109</c:v>
                </c:pt>
                <c:pt idx="50">
                  <c:v>0.33048740569056201</c:v>
                </c:pt>
                <c:pt idx="51">
                  <c:v>0.32760631311943</c:v>
                </c:pt>
                <c:pt idx="52">
                  <c:v>0.32476123420543712</c:v>
                </c:pt>
                <c:pt idx="53">
                  <c:v>0.32195171877786916</c:v>
                </c:pt>
                <c:pt idx="54">
                  <c:v>0.31917732229314577</c:v>
                </c:pt>
                <c:pt idx="55">
                  <c:v>0.31643760576448143</c:v>
                </c:pt>
                <c:pt idx="56">
                  <c:v>0.31373213569242542</c:v>
                </c:pt>
                <c:pt idx="57">
                  <c:v>0.31106048399627012</c:v>
                </c:pt>
                <c:pt idx="58">
                  <c:v>0.30842222794631674</c:v>
                </c:pt>
                <c:pt idx="59">
                  <c:v>0.30581695009698778</c:v>
                </c:pt>
                <c:pt idx="60">
                  <c:v>0.30324423822077545</c:v>
                </c:pt>
                <c:pt idx="61">
                  <c:v>0.30070368524301577</c:v>
                </c:pt>
                <c:pt idx="62">
                  <c:v>0.29819488917747805</c:v>
                </c:pt>
                <c:pt idx="63">
                  <c:v>0.29571745306275959</c:v>
                </c:pt>
                <c:pt idx="64">
                  <c:v>0.29327098489947512</c:v>
                </c:pt>
                <c:pt idx="65">
                  <c:v>0.29085509758823169</c:v>
                </c:pt>
                <c:pt idx="66">
                  <c:v>0.2884694088683788</c:v>
                </c:pt>
                <c:pt idx="67">
                  <c:v>0.28611354125752408</c:v>
                </c:pt>
                <c:pt idx="68">
                  <c:v>0.28378712199180506</c:v>
                </c:pt>
                <c:pt idx="69">
                  <c:v>0.28148978296690752</c:v>
                </c:pt>
                <c:pt idx="70">
                  <c:v>0.27922116067982117</c:v>
                </c:pt>
                <c:pt idx="71">
                  <c:v>0.27698089617132338</c:v>
                </c:pt>
                <c:pt idx="72">
                  <c:v>0.27476863496918186</c:v>
                </c:pt>
                <c:pt idx="73">
                  <c:v>0.27258402703206708</c:v>
                </c:pt>
                <c:pt idx="74">
                  <c:v>0.27042672669416623</c:v>
                </c:pt>
                <c:pt idx="75">
                  <c:v>0.26829639261048915</c:v>
                </c:pt>
                <c:pt idx="76">
                  <c:v>0.26619268770285803</c:v>
                </c:pt>
                <c:pt idx="77">
                  <c:v>0.26411527910657229</c:v>
                </c:pt>
                <c:pt idx="78">
                  <c:v>0.26206383811774014</c:v>
                </c:pt>
                <c:pt idx="79">
                  <c:v>0.26003804014126841</c:v>
                </c:pt>
                <c:pt idx="80">
                  <c:v>0.25803756463950256</c:v>
                </c:pt>
                <c:pt idx="81">
                  <c:v>0.25606209508150879</c:v>
                </c:pt>
                <c:pt idx="82">
                  <c:v>0.25411131889298993</c:v>
                </c:pt>
                <c:pt idx="83">
                  <c:v>0.25218492740682757</c:v>
                </c:pt>
                <c:pt idx="84">
                  <c:v>0.25028261581424222</c:v>
                </c:pt>
                <c:pt idx="85">
                  <c:v>0.2484040831165642</c:v>
                </c:pt>
                <c:pt idx="86">
                  <c:v>0.24654903207760714</c:v>
                </c:pt>
                <c:pt idx="87">
                  <c:v>0.24471716917663705</c:v>
                </c:pt>
                <c:pt idx="88">
                  <c:v>0.24290820456192908</c:v>
                </c:pt>
                <c:pt idx="89">
                  <c:v>0.24112185200490496</c:v>
                </c:pt>
                <c:pt idx="90">
                  <c:v>0.23935782885484366</c:v>
                </c:pt>
                <c:pt idx="91">
                  <c:v>0.2376158559941581</c:v>
                </c:pt>
                <c:pt idx="92">
                  <c:v>0.23589565779423113</c:v>
                </c:pt>
                <c:pt idx="93">
                  <c:v>0.23419696207180324</c:v>
                </c:pt>
                <c:pt idx="94">
                  <c:v>0.23251950004590569</c:v>
                </c:pt>
                <c:pt idx="95">
                  <c:v>0.23086300629533185</c:v>
                </c:pt>
                <c:pt idx="96">
                  <c:v>0.2292272187166402</c:v>
                </c:pt>
                <c:pt idx="97">
                  <c:v>0.22761187848268219</c:v>
                </c:pt>
                <c:pt idx="98">
                  <c:v>0.22601673000164865</c:v>
                </c:pt>
                <c:pt idx="99">
                  <c:v>0.22444152087662805</c:v>
                </c:pt>
                <c:pt idx="100">
                  <c:v>0.2228860018656702</c:v>
                </c:pt>
                <c:pt idx="101">
                  <c:v>0.22134992684234933</c:v>
                </c:pt>
                <c:pt idx="102">
                  <c:v>0.21983305275681997</c:v>
                </c:pt>
                <c:pt idx="103">
                  <c:v>0.21833513959735973</c:v>
                </c:pt>
                <c:pt idx="104">
                  <c:v>0.21685595035239275</c:v>
                </c:pt>
              </c:numCache>
            </c:numRef>
          </c:yVal>
          <c:smooth val="0"/>
          <c:extLst>
            <c:ext xmlns:c16="http://schemas.microsoft.com/office/drawing/2014/chart" uri="{C3380CC4-5D6E-409C-BE32-E72D297353CC}">
              <c16:uniqueId val="{00000006-0245-4E33-95B6-175C1050FA82}"/>
            </c:ext>
          </c:extLst>
        </c:ser>
        <c:ser>
          <c:idx val="7"/>
          <c:order val="7"/>
          <c:tx>
            <c:strRef>
              <c:f>Model!$A$10</c:f>
              <c:strCache>
                <c:ptCount val="1"/>
                <c:pt idx="0">
                  <c:v>SDG8</c:v>
                </c:pt>
              </c:strCache>
            </c:strRef>
          </c:tx>
          <c:spPr>
            <a:ln w="12700">
              <a:solidFill>
                <a:srgbClr val="A21942"/>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Model!$B$10:$DB$10</c:f>
              <c:numCache>
                <c:formatCode>General</c:formatCode>
                <c:ptCount val="105"/>
                <c:pt idx="0">
                  <c:v>0.49241348266601564</c:v>
                </c:pt>
                <c:pt idx="1">
                  <c:v>0.48930578620769427</c:v>
                </c:pt>
                <c:pt idx="2">
                  <c:v>0.4956894638800981</c:v>
                </c:pt>
                <c:pt idx="3">
                  <c:v>0.50199334558159692</c:v>
                </c:pt>
                <c:pt idx="4">
                  <c:v>0.50821842876182699</c:v>
                </c:pt>
                <c:pt idx="5">
                  <c:v>0.51436569840230417</c:v>
                </c:pt>
                <c:pt idx="6">
                  <c:v>0.52043612717227539</c:v>
                </c:pt>
                <c:pt idx="7">
                  <c:v>0.52643067558262191</c:v>
                </c:pt>
                <c:pt idx="8">
                  <c:v>0.53235029213783913</c:v>
                </c:pt>
                <c:pt idx="9">
                  <c:v>0.53819591348611617</c:v>
                </c:pt>
                <c:pt idx="10">
                  <c:v>0.54396846456753967</c:v>
                </c:pt>
                <c:pt idx="11">
                  <c:v>0.54966885876044547</c:v>
                </c:pt>
                <c:pt idx="12">
                  <c:v>0.55529799802593993</c:v>
                </c:pt>
                <c:pt idx="13">
                  <c:v>0.56085677305061565</c:v>
                </c:pt>
                <c:pt idx="14">
                  <c:v>0.56634606338748295</c:v>
                </c:pt>
                <c:pt idx="15">
                  <c:v>0.57176673759513941</c:v>
                </c:pt>
                <c:pt idx="16">
                  <c:v>0.57711965337520021</c:v>
                </c:pt>
                <c:pt idx="17">
                  <c:v>0.5797537654173599</c:v>
                </c:pt>
                <c:pt idx="18">
                  <c:v>0.58259495456337762</c:v>
                </c:pt>
                <c:pt idx="19">
                  <c:v>0.58563677976068396</c:v>
                </c:pt>
                <c:pt idx="20">
                  <c:v>0.58887280648473361</c:v>
                </c:pt>
                <c:pt idx="21">
                  <c:v>0.59229661484775076</c:v>
                </c:pt>
                <c:pt idx="22">
                  <c:v>0.59590180717033858</c:v>
                </c:pt>
                <c:pt idx="23">
                  <c:v>0.59968201504287699</c:v>
                </c:pt>
                <c:pt idx="24">
                  <c:v>0.60363090590236068</c:v>
                </c:pt>
                <c:pt idx="25">
                  <c:v>0.59759346684648951</c:v>
                </c:pt>
                <c:pt idx="26">
                  <c:v>0.59171689575510633</c:v>
                </c:pt>
                <c:pt idx="27">
                  <c:v>0.58599969239643379</c:v>
                </c:pt>
                <c:pt idx="28">
                  <c:v>0.58044032540443291</c:v>
                </c:pt>
                <c:pt idx="29">
                  <c:v>0.57503723446246169</c:v>
                </c:pt>
                <c:pt idx="30">
                  <c:v>0.56978883240589495</c:v>
                </c:pt>
                <c:pt idx="31">
                  <c:v>0.56469350724623157</c:v>
                </c:pt>
                <c:pt idx="32">
                  <c:v>0.55974962411914175</c:v>
                </c:pt>
                <c:pt idx="33">
                  <c:v>0.5652527538176525</c:v>
                </c:pt>
                <c:pt idx="34">
                  <c:v>0.57068709439493182</c:v>
                </c:pt>
                <c:pt idx="35">
                  <c:v>0.57605350571499514</c:v>
                </c:pt>
                <c:pt idx="36">
                  <c:v>0.58135283689355766</c:v>
                </c:pt>
                <c:pt idx="37">
                  <c:v>0.58658592643238816</c:v>
                </c:pt>
                <c:pt idx="38">
                  <c:v>0.59175360235198327</c:v>
                </c:pt>
                <c:pt idx="39">
                  <c:v>0.59685668232258349</c:v>
                </c:pt>
                <c:pt idx="40">
                  <c:v>0.6018959737935512</c:v>
                </c:pt>
                <c:pt idx="41">
                  <c:v>0.60687227412113176</c:v>
                </c:pt>
                <c:pt idx="42">
                  <c:v>0.61178637069461761</c:v>
                </c:pt>
                <c:pt idx="43">
                  <c:v>0.61663904106093492</c:v>
                </c:pt>
                <c:pt idx="44">
                  <c:v>0.62143105304767321</c:v>
                </c:pt>
                <c:pt idx="45">
                  <c:v>0.62616316488457735</c:v>
                </c:pt>
                <c:pt idx="46">
                  <c:v>0.63083612532352018</c:v>
                </c:pt>
                <c:pt idx="47">
                  <c:v>0.63545067375697617</c:v>
                </c:pt>
                <c:pt idx="48">
                  <c:v>0.64000754033501395</c:v>
                </c:pt>
                <c:pt idx="49">
                  <c:v>0.6408715476003688</c:v>
                </c:pt>
                <c:pt idx="50">
                  <c:v>0.64206689578551912</c:v>
                </c:pt>
                <c:pt idx="51">
                  <c:v>0.64359015374337869</c:v>
                </c:pt>
                <c:pt idx="52">
                  <c:v>0.64543802220845148</c:v>
                </c:pt>
                <c:pt idx="53">
                  <c:v>0.64760733320273967</c:v>
                </c:pt>
                <c:pt idx="54">
                  <c:v>0.65009504945356267</c:v>
                </c:pt>
                <c:pt idx="55">
                  <c:v>0.65289826384266725</c:v>
                </c:pt>
                <c:pt idx="56">
                  <c:v>0.65601419890236445</c:v>
                </c:pt>
                <c:pt idx="57">
                  <c:v>0.65944020637140233</c:v>
                </c:pt>
                <c:pt idx="58">
                  <c:v>0.66317376682076901</c:v>
                </c:pt>
                <c:pt idx="59">
                  <c:v>0.66721248935751942</c:v>
                </c:pt>
                <c:pt idx="60">
                  <c:v>0.67137233324055046</c:v>
                </c:pt>
                <c:pt idx="61">
                  <c:v>0.67548017907504354</c:v>
                </c:pt>
                <c:pt idx="62">
                  <c:v>0.67953667683660546</c:v>
                </c:pt>
                <c:pt idx="63">
                  <c:v>0.68354246837614785</c:v>
                </c:pt>
                <c:pt idx="64">
                  <c:v>0.68749818752144598</c:v>
                </c:pt>
                <c:pt idx="65">
                  <c:v>0.69140446017742796</c:v>
                </c:pt>
                <c:pt idx="66">
                  <c:v>0.69526190442521008</c:v>
                </c:pt>
                <c:pt idx="67">
                  <c:v>0.6990711306198949</c:v>
                </c:pt>
                <c:pt idx="68">
                  <c:v>0.70283274148714625</c:v>
                </c:pt>
                <c:pt idx="69">
                  <c:v>0.70654733221855692</c:v>
                </c:pt>
                <c:pt idx="70">
                  <c:v>0.710215490565825</c:v>
                </c:pt>
                <c:pt idx="71">
                  <c:v>0.71383779693375216</c:v>
                </c:pt>
                <c:pt idx="72">
                  <c:v>0.71741482447208027</c:v>
                </c:pt>
                <c:pt idx="73">
                  <c:v>0.72094713916617925</c:v>
                </c:pt>
                <c:pt idx="74">
                  <c:v>0.72443529992660205</c:v>
                </c:pt>
                <c:pt idx="75">
                  <c:v>0.72787985867751948</c:v>
                </c:pt>
                <c:pt idx="76">
                  <c:v>0.73128136044405045</c:v>
                </c:pt>
                <c:pt idx="77">
                  <c:v>0.73464034343849982</c:v>
                </c:pt>
                <c:pt idx="78">
                  <c:v>0.73795733914551853</c:v>
                </c:pt>
                <c:pt idx="79">
                  <c:v>0.74123287240619951</c:v>
                </c:pt>
                <c:pt idx="80">
                  <c:v>0.74446746150112197</c:v>
                </c:pt>
                <c:pt idx="81">
                  <c:v>0.74766161823235799</c:v>
                </c:pt>
                <c:pt idx="82">
                  <c:v>0.75081584800445356</c:v>
                </c:pt>
                <c:pt idx="83">
                  <c:v>0.75393064990439784</c:v>
                </c:pt>
                <c:pt idx="84">
                  <c:v>0.75700651678059283</c:v>
                </c:pt>
                <c:pt idx="85">
                  <c:v>0.76004393532083547</c:v>
                </c:pt>
                <c:pt idx="86">
                  <c:v>0.76304338612932499</c:v>
                </c:pt>
                <c:pt idx="87">
                  <c:v>0.76600534380270846</c:v>
                </c:pt>
                <c:pt idx="88">
                  <c:v>0.76893027700517458</c:v>
                </c:pt>
                <c:pt idx="89">
                  <c:v>0.77181864854260984</c:v>
                </c:pt>
                <c:pt idx="90">
                  <c:v>0.77467091543582722</c:v>
                </c:pt>
                <c:pt idx="91">
                  <c:v>0.77748752899287943</c:v>
                </c:pt>
                <c:pt idx="92">
                  <c:v>0.78026893488046845</c:v>
                </c:pt>
                <c:pt idx="93">
                  <c:v>0.78301557319446258</c:v>
                </c:pt>
                <c:pt idx="94">
                  <c:v>0.78572787852953174</c:v>
                </c:pt>
                <c:pt idx="95">
                  <c:v>0.78840628004791258</c:v>
                </c:pt>
                <c:pt idx="96">
                  <c:v>0.79105120154731368</c:v>
                </c:pt>
                <c:pt idx="97">
                  <c:v>0.79366306152797228</c:v>
                </c:pt>
                <c:pt idx="98">
                  <c:v>0.79624227325887265</c:v>
                </c:pt>
                <c:pt idx="99">
                  <c:v>0.79878924484313674</c:v>
                </c:pt>
                <c:pt idx="100">
                  <c:v>0.80130437928259757</c:v>
                </c:pt>
                <c:pt idx="101">
                  <c:v>0.80378807454156509</c:v>
                </c:pt>
                <c:pt idx="102">
                  <c:v>0.80624072360979548</c:v>
                </c:pt>
                <c:pt idx="103">
                  <c:v>0.80866271456467309</c:v>
                </c:pt>
                <c:pt idx="104">
                  <c:v>0.81105443063261473</c:v>
                </c:pt>
              </c:numCache>
            </c:numRef>
          </c:yVal>
          <c:smooth val="0"/>
          <c:extLst>
            <c:ext xmlns:c16="http://schemas.microsoft.com/office/drawing/2014/chart" uri="{C3380CC4-5D6E-409C-BE32-E72D297353CC}">
              <c16:uniqueId val="{00000007-0245-4E33-95B6-175C1050FA82}"/>
            </c:ext>
          </c:extLst>
        </c:ser>
        <c:ser>
          <c:idx val="8"/>
          <c:order val="8"/>
          <c:tx>
            <c:strRef>
              <c:f>Model!$A$11</c:f>
              <c:strCache>
                <c:ptCount val="1"/>
                <c:pt idx="0">
                  <c:v>SDG9</c:v>
                </c:pt>
              </c:strCache>
            </c:strRef>
          </c:tx>
          <c:spPr>
            <a:ln w="12700">
              <a:solidFill>
                <a:srgbClr val="FD6925"/>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Model!$B$11:$DB$11</c:f>
              <c:numCache>
                <c:formatCode>General</c:formatCode>
                <c:ptCount val="105"/>
                <c:pt idx="0">
                  <c:v>0.1523066520690918</c:v>
                </c:pt>
                <c:pt idx="1">
                  <c:v>0.15207696067278881</c:v>
                </c:pt>
                <c:pt idx="2">
                  <c:v>0.15142522651316401</c:v>
                </c:pt>
                <c:pt idx="3">
                  <c:v>0.1507798235376191</c:v>
                </c:pt>
                <c:pt idx="4">
                  <c:v>0.15014070047094716</c:v>
                </c:pt>
                <c:pt idx="5">
                  <c:v>0.14950780618045947</c:v>
                </c:pt>
                <c:pt idx="6">
                  <c:v>0.14888108968508384</c:v>
                </c:pt>
                <c:pt idx="7">
                  <c:v>0.14826050016405712</c:v>
                </c:pt>
                <c:pt idx="8">
                  <c:v>0.14764598696522616</c:v>
                </c:pt>
                <c:pt idx="9">
                  <c:v>0.14827458709778185</c:v>
                </c:pt>
                <c:pt idx="10">
                  <c:v>0.14889206865497356</c:v>
                </c:pt>
                <c:pt idx="11">
                  <c:v>0.14949861980741963</c:v>
                </c:pt>
                <c:pt idx="12">
                  <c:v>0.15009442551744281</c:v>
                </c:pt>
                <c:pt idx="13">
                  <c:v>0.15067966759721488</c:v>
                </c:pt>
                <c:pt idx="14">
                  <c:v>0.15125452476570789</c:v>
                </c:pt>
                <c:pt idx="15">
                  <c:v>0.15181917270448195</c:v>
                </c:pt>
                <c:pt idx="16">
                  <c:v>0.1523737841123374</c:v>
                </c:pt>
                <c:pt idx="17">
                  <c:v>0.15536794570678605</c:v>
                </c:pt>
                <c:pt idx="18">
                  <c:v>0.15831889916046918</c:v>
                </c:pt>
                <c:pt idx="19">
                  <c:v>0.16122727021341829</c:v>
                </c:pt>
                <c:pt idx="20">
                  <c:v>0.16409367533567681</c:v>
                </c:pt>
                <c:pt idx="21">
                  <c:v>0.1669187218725498</c:v>
                </c:pt>
                <c:pt idx="22">
                  <c:v>0.16970300818730996</c:v>
                </c:pt>
                <c:pt idx="23">
                  <c:v>0.17244712380141339</c:v>
                </c:pt>
                <c:pt idx="24">
                  <c:v>0.1751516495322771</c:v>
                </c:pt>
                <c:pt idx="25">
                  <c:v>0.18267206134421435</c:v>
                </c:pt>
                <c:pt idx="26">
                  <c:v>0.19008819806830968</c:v>
                </c:pt>
                <c:pt idx="27">
                  <c:v>0.19740151281429844</c:v>
                </c:pt>
                <c:pt idx="28">
                  <c:v>0.20461343806311824</c:v>
                </c:pt>
                <c:pt idx="29">
                  <c:v>0.21172538597300244</c:v>
                </c:pt>
                <c:pt idx="30">
                  <c:v>0.21873874868059912</c:v>
                </c:pt>
                <c:pt idx="31">
                  <c:v>0.22565489859721061</c:v>
                </c:pt>
                <c:pt idx="32">
                  <c:v>0.23247518870024628</c:v>
                </c:pt>
                <c:pt idx="33">
                  <c:v>0.23355170972976327</c:v>
                </c:pt>
                <c:pt idx="34">
                  <c:v>0.23462351763038294</c:v>
                </c:pt>
                <c:pt idx="35">
                  <c:v>0.23569080293955233</c:v>
                </c:pt>
                <c:pt idx="36">
                  <c:v>0.23675375159375694</c:v>
                </c:pt>
                <c:pt idx="37">
                  <c:v>0.23781254502904114</c:v>
                </c:pt>
                <c:pt idx="38">
                  <c:v>0.23886736027859989</c:v>
                </c:pt>
                <c:pt idx="39">
                  <c:v>0.23991837006754863</c:v>
                </c:pt>
                <c:pt idx="40">
                  <c:v>0.24096574290497397</c:v>
                </c:pt>
                <c:pt idx="41">
                  <c:v>0.24606561522806381</c:v>
                </c:pt>
                <c:pt idx="42">
                  <c:v>0.25109203259802404</c:v>
                </c:pt>
                <c:pt idx="43">
                  <c:v>0.25604605730222235</c:v>
                </c:pt>
                <c:pt idx="44">
                  <c:v>0.26092873590399562</c:v>
                </c:pt>
                <c:pt idx="45">
                  <c:v>0.26574109948903424</c:v>
                </c:pt>
                <c:pt idx="46">
                  <c:v>0.27048416390744501</c:v>
                </c:pt>
                <c:pt idx="47">
                  <c:v>0.27515893001158348</c:v>
                </c:pt>
                <c:pt idx="48">
                  <c:v>0.27976638388974512</c:v>
                </c:pt>
                <c:pt idx="49">
                  <c:v>0.28876930409112328</c:v>
                </c:pt>
                <c:pt idx="50">
                  <c:v>0.29765968778998425</c:v>
                </c:pt>
                <c:pt idx="51">
                  <c:v>0.30643894169260943</c:v>
                </c:pt>
                <c:pt idx="52">
                  <c:v>0.31510845492145184</c:v>
                </c:pt>
                <c:pt idx="53">
                  <c:v>0.32366959923493371</c:v>
                </c:pt>
                <c:pt idx="54">
                  <c:v>0.33212372924449707</c:v>
                </c:pt>
                <c:pt idx="55">
                  <c:v>0.34047218262894086</c:v>
                </c:pt>
                <c:pt idx="56">
                  <c:v>0.3487162803460791</c:v>
                </c:pt>
                <c:pt idx="57">
                  <c:v>0.35685732684175309</c:v>
                </c:pt>
                <c:pt idx="58">
                  <c:v>0.36489661025623116</c:v>
                </c:pt>
                <c:pt idx="59">
                  <c:v>0.37283540262802828</c:v>
                </c:pt>
                <c:pt idx="60">
                  <c:v>0.38067496009517793</c:v>
                </c:pt>
                <c:pt idx="61">
                  <c:v>0.38841652309398822</c:v>
                </c:pt>
                <c:pt idx="62">
                  <c:v>0.39606131655531335</c:v>
                </c:pt>
                <c:pt idx="63">
                  <c:v>0.40361055009837193</c:v>
                </c:pt>
                <c:pt idx="64">
                  <c:v>0.41106541822214226</c:v>
                </c:pt>
                <c:pt idx="65">
                  <c:v>0.41842710049436549</c:v>
                </c:pt>
                <c:pt idx="66">
                  <c:v>0.42569676173818594</c:v>
                </c:pt>
                <c:pt idx="67">
                  <c:v>0.43287555221645863</c:v>
                </c:pt>
                <c:pt idx="68">
                  <c:v>0.43996460781375291</c:v>
                </c:pt>
                <c:pt idx="69">
                  <c:v>0.44696505021608102</c:v>
                </c:pt>
                <c:pt idx="70">
                  <c:v>0.45387798708838001</c:v>
                </c:pt>
                <c:pt idx="71">
                  <c:v>0.46070451224977527</c:v>
                </c:pt>
                <c:pt idx="72">
                  <c:v>0.46744570584665307</c:v>
                </c:pt>
                <c:pt idx="73">
                  <c:v>0.47410263452356993</c:v>
                </c:pt>
                <c:pt idx="74">
                  <c:v>0.48067635159202532</c:v>
                </c:pt>
                <c:pt idx="75">
                  <c:v>0.487167897197125</c:v>
                </c:pt>
                <c:pt idx="76">
                  <c:v>0.49357829848216095</c:v>
                </c:pt>
                <c:pt idx="77">
                  <c:v>0.49990856975113396</c:v>
                </c:pt>
                <c:pt idx="78">
                  <c:v>0.50615971262924475</c:v>
                </c:pt>
                <c:pt idx="79">
                  <c:v>0.51233271622137921</c:v>
                </c:pt>
                <c:pt idx="80">
                  <c:v>0.51842855726861192</c:v>
                </c:pt>
                <c:pt idx="81">
                  <c:v>0.5244482003027543</c:v>
                </c:pt>
                <c:pt idx="82">
                  <c:v>0.53039259779896986</c:v>
                </c:pt>
                <c:pt idx="83">
                  <c:v>0.53626269032648277</c:v>
                </c:pt>
                <c:pt idx="84">
                  <c:v>0.54205940669740171</c:v>
                </c:pt>
                <c:pt idx="85">
                  <c:v>0.54778366411368418</c:v>
                </c:pt>
                <c:pt idx="86">
                  <c:v>0.55343189775231216</c:v>
                </c:pt>
                <c:pt idx="87">
                  <c:v>0.55900031466088618</c:v>
                </c:pt>
                <c:pt idx="88">
                  <c:v>0.56449004104568246</c:v>
                </c:pt>
                <c:pt idx="89">
                  <c:v>0.56990218706980877</c:v>
                </c:pt>
                <c:pt idx="90">
                  <c:v>0.57523784708837089</c:v>
                </c:pt>
                <c:pt idx="91">
                  <c:v>0.58049809987997048</c:v>
                </c:pt>
                <c:pt idx="92">
                  <c:v>0.58568400887459915</c:v>
                </c:pt>
                <c:pt idx="93">
                  <c:v>0.59079662237799169</c:v>
                </c:pt>
                <c:pt idx="94">
                  <c:v>0.59583697379249934</c:v>
                </c:pt>
                <c:pt idx="95">
                  <c:v>0.60080608183454409</c:v>
                </c:pt>
                <c:pt idx="96">
                  <c:v>0.605704950748713</c:v>
                </c:pt>
                <c:pt idx="97">
                  <c:v>0.61053457051854987</c:v>
                </c:pt>
                <c:pt idx="98">
                  <c:v>0.61529591707410158</c:v>
                </c:pt>
                <c:pt idx="99">
                  <c:v>0.61998995249627376</c:v>
                </c:pt>
                <c:pt idx="100">
                  <c:v>0.62461762521805153</c:v>
                </c:pt>
                <c:pt idx="101">
                  <c:v>0.62917987022263699</c:v>
                </c:pt>
                <c:pt idx="102">
                  <c:v>0.63367760923855676</c:v>
                </c:pt>
                <c:pt idx="103">
                  <c:v>0.63811175093179073</c:v>
                </c:pt>
                <c:pt idx="104">
                  <c:v>0.64248319109497121</c:v>
                </c:pt>
              </c:numCache>
            </c:numRef>
          </c:yVal>
          <c:smooth val="0"/>
          <c:extLst>
            <c:ext xmlns:c16="http://schemas.microsoft.com/office/drawing/2014/chart" uri="{C3380CC4-5D6E-409C-BE32-E72D297353CC}">
              <c16:uniqueId val="{00000008-0245-4E33-95B6-175C1050FA82}"/>
            </c:ext>
          </c:extLst>
        </c:ser>
        <c:dLbls>
          <c:showLegendKey val="0"/>
          <c:showVal val="0"/>
          <c:showCatName val="0"/>
          <c:showSerName val="0"/>
          <c:showPercent val="0"/>
          <c:showBubbleSize val="0"/>
        </c:dLbls>
        <c:axId val="507480351"/>
        <c:axId val="1"/>
      </c:scatterChart>
      <c:valAx>
        <c:axId val="507480351"/>
        <c:scaling>
          <c:orientation val="minMax"/>
          <c:max val="2030"/>
          <c:min val="2017"/>
        </c:scaling>
        <c:delete val="0"/>
        <c:axPos val="b"/>
        <c:numFmt formatCode="General" sourceLinked="1"/>
        <c:majorTickMark val="out"/>
        <c:minorTickMark val="none"/>
        <c:tickLblPos val="nextTo"/>
        <c:spPr>
          <a:ln w="12700">
            <a:solidFill>
              <a:srgbClr val="000000"/>
            </a:solidFill>
            <a:prstDash val="solid"/>
          </a:ln>
        </c:spPr>
        <c:txPr>
          <a:bodyPr rot="0" vert="horz"/>
          <a:lstStyle/>
          <a:p>
            <a:pPr>
              <a:defRPr/>
            </a:pPr>
            <a:endParaRPr lang="en-US"/>
          </a:p>
        </c:txPr>
        <c:crossAx val="1"/>
        <c:crossesAt val="0"/>
        <c:crossBetween val="midCat"/>
        <c:majorUnit val="1"/>
      </c:valAx>
      <c:valAx>
        <c:axId val="1"/>
        <c:scaling>
          <c:orientation val="minMax"/>
          <c:max val="1"/>
        </c:scaling>
        <c:delete val="0"/>
        <c:axPos val="l"/>
        <c:majorGridlines>
          <c:spPr>
            <a:ln w="12700">
              <a:solidFill>
                <a:srgbClr val="000000"/>
              </a:solidFill>
              <a:prstDash val="solid"/>
            </a:ln>
          </c:spPr>
        </c:majorGridlines>
        <c:numFmt formatCode="General" sourceLinked="1"/>
        <c:majorTickMark val="out"/>
        <c:minorTickMark val="none"/>
        <c:tickLblPos val="nextTo"/>
        <c:spPr>
          <a:ln w="12700">
            <a:solidFill>
              <a:srgbClr val="000000"/>
            </a:solidFill>
            <a:prstDash val="solid"/>
          </a:ln>
        </c:spPr>
        <c:txPr>
          <a:bodyPr rot="0" vert="horz"/>
          <a:lstStyle/>
          <a:p>
            <a:pPr>
              <a:defRPr/>
            </a:pPr>
            <a:endParaRPr lang="en-US"/>
          </a:p>
        </c:txPr>
        <c:crossAx val="507480351"/>
        <c:crossesAt val="0"/>
        <c:crossBetween val="midCat"/>
      </c:valAx>
      <c:spPr>
        <a:solidFill>
          <a:srgbClr val="FFFFFF"/>
        </a:solidFill>
        <a:ln w="12700">
          <a:solidFill>
            <a:srgbClr val="808080"/>
          </a:solidFill>
          <a:prstDash val="solid"/>
        </a:ln>
      </c:spPr>
    </c:plotArea>
    <c:legend>
      <c:legendPos val="r"/>
      <c:layout>
        <c:manualLayout>
          <c:xMode val="edge"/>
          <c:yMode val="edge"/>
          <c:x val="9.1712079128680402E-2"/>
          <c:y val="0.87620443670074277"/>
          <c:w val="0.77142470359929283"/>
          <c:h val="9.0606901596316902E-2"/>
        </c:manualLayout>
      </c:layout>
      <c:overlay val="0"/>
      <c:spPr>
        <a:solidFill>
          <a:srgbClr val="FFFFFF"/>
        </a:solidFill>
        <a:ln w="25400">
          <a:noFill/>
        </a:ln>
      </c:sp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orientation="landscape"/>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169794286432553E-2"/>
          <c:y val="3.9752272632279435E-2"/>
          <c:w val="0.87775192527344581"/>
          <c:h val="0.8134060080624117"/>
        </c:manualLayout>
      </c:layout>
      <c:scatterChart>
        <c:scatterStyle val="lineMarker"/>
        <c:varyColors val="0"/>
        <c:ser>
          <c:idx val="0"/>
          <c:order val="0"/>
          <c:tx>
            <c:strRef>
              <c:f>Model!$A$12</c:f>
              <c:strCache>
                <c:ptCount val="1"/>
                <c:pt idx="0">
                  <c:v>SDG10</c:v>
                </c:pt>
              </c:strCache>
            </c:strRef>
          </c:tx>
          <c:spPr>
            <a:ln w="12700">
              <a:solidFill>
                <a:srgbClr val="DD1367"/>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Model!$B$12:$DB$12</c:f>
              <c:numCache>
                <c:formatCode>General</c:formatCode>
                <c:ptCount val="105"/>
                <c:pt idx="0">
                  <c:v>0.50123226165771484</c:v>
                </c:pt>
                <c:pt idx="1">
                  <c:v>0.4949869526865715</c:v>
                </c:pt>
                <c:pt idx="2">
                  <c:v>0.48998994366033854</c:v>
                </c:pt>
                <c:pt idx="3">
                  <c:v>0.48507443136714712</c:v>
                </c:pt>
                <c:pt idx="4">
                  <c:v>0.48023817634003196</c:v>
                </c:pt>
                <c:pt idx="5">
                  <c:v>0.47547905524858547</c:v>
                </c:pt>
                <c:pt idx="6">
                  <c:v>0.47079505555949253</c:v>
                </c:pt>
                <c:pt idx="7">
                  <c:v>0.46618427026159054</c:v>
                </c:pt>
                <c:pt idx="8">
                  <c:v>0.46164489268865494</c:v>
                </c:pt>
                <c:pt idx="9">
                  <c:v>0.45717521146671181</c:v>
                </c:pt>
                <c:pt idx="10">
                  <c:v>0.45274189949455557</c:v>
                </c:pt>
                <c:pt idx="11">
                  <c:v>0.44834393267716433</c:v>
                </c:pt>
                <c:pt idx="12">
                  <c:v>0.44398035715330164</c:v>
                </c:pt>
                <c:pt idx="13">
                  <c:v>0.43965028671975975</c:v>
                </c:pt>
                <c:pt idx="14">
                  <c:v>0.43535290021871559</c:v>
                </c:pt>
                <c:pt idx="15">
                  <c:v>0.43108743889938617</c:v>
                </c:pt>
                <c:pt idx="16">
                  <c:v>0.42685320376452418</c:v>
                </c:pt>
                <c:pt idx="17">
                  <c:v>0.42264955291165168</c:v>
                </c:pt>
                <c:pt idx="18">
                  <c:v>0.41850619918680493</c:v>
                </c:pt>
                <c:pt idx="19">
                  <c:v>0.41442150356853397</c:v>
                </c:pt>
                <c:pt idx="20">
                  <c:v>0.41039386554160939</c:v>
                </c:pt>
                <c:pt idx="21">
                  <c:v>0.40642172187456005</c:v>
                </c:pt>
                <c:pt idx="22">
                  <c:v>0.40250354551804685</c:v>
                </c:pt>
                <c:pt idx="23">
                  <c:v>0.39863784462298668</c:v>
                </c:pt>
                <c:pt idx="24">
                  <c:v>0.39482316167547243</c:v>
                </c:pt>
                <c:pt idx="25">
                  <c:v>0.39105807274397275</c:v>
                </c:pt>
                <c:pt idx="26">
                  <c:v>0.38736946706695785</c:v>
                </c:pt>
                <c:pt idx="27">
                  <c:v>0.38375398497107921</c:v>
                </c:pt>
                <c:pt idx="28">
                  <c:v>0.38020838828527392</c:v>
                </c:pt>
                <c:pt idx="29">
                  <c:v>0.37672956045869349</c:v>
                </c:pt>
                <c:pt idx="30">
                  <c:v>0.37331450614323325</c:v>
                </c:pt>
                <c:pt idx="31">
                  <c:v>0.36996035029996904</c:v>
                </c:pt>
                <c:pt idx="32">
                  <c:v>0.36666433688469646</c:v>
                </c:pt>
                <c:pt idx="33">
                  <c:v>0.37182085264745512</c:v>
                </c:pt>
                <c:pt idx="34">
                  <c:v>0.37730493459004211</c:v>
                </c:pt>
                <c:pt idx="35">
                  <c:v>0.38313214822574182</c:v>
                </c:pt>
                <c:pt idx="36">
                  <c:v>0.38931960235895596</c:v>
                </c:pt>
                <c:pt idx="37">
                  <c:v>0.39588610635895316</c:v>
                </c:pt>
                <c:pt idx="38">
                  <c:v>0.40285234717987894</c:v>
                </c:pt>
                <c:pt idx="39">
                  <c:v>0.41024108907675189</c:v>
                </c:pt>
                <c:pt idx="40">
                  <c:v>0.41761307546329252</c:v>
                </c:pt>
                <c:pt idx="41">
                  <c:v>0.42489291202000135</c:v>
                </c:pt>
                <c:pt idx="42">
                  <c:v>0.43208175061975135</c:v>
                </c:pt>
                <c:pt idx="43">
                  <c:v>0.43918072873700448</c:v>
                </c:pt>
                <c:pt idx="44">
                  <c:v>0.44619096962779192</c:v>
                </c:pt>
                <c:pt idx="45">
                  <c:v>0.45311358250744455</c:v>
                </c:pt>
                <c:pt idx="46">
                  <c:v>0.45994966272610149</c:v>
                </c:pt>
                <c:pt idx="47">
                  <c:v>0.46670029194202522</c:v>
                </c:pt>
                <c:pt idx="48">
                  <c:v>0.47336653829274988</c:v>
                </c:pt>
                <c:pt idx="49">
                  <c:v>0.4763832133866161</c:v>
                </c:pt>
                <c:pt idx="50">
                  <c:v>0.47981433703211052</c:v>
                </c:pt>
                <c:pt idx="51">
                  <c:v>0.48367031574380642</c:v>
                </c:pt>
                <c:pt idx="52">
                  <c:v>0.48796293615875569</c:v>
                </c:pt>
                <c:pt idx="53">
                  <c:v>0.4927054768056533</c:v>
                </c:pt>
                <c:pt idx="54">
                  <c:v>0.49791283283735344</c:v>
                </c:pt>
                <c:pt idx="55">
                  <c:v>0.50360165592924322</c:v>
                </c:pt>
                <c:pt idx="56">
                  <c:v>0.50979051187550073</c:v>
                </c:pt>
                <c:pt idx="57">
                  <c:v>0.51591813047705692</c:v>
                </c:pt>
                <c:pt idx="58">
                  <c:v>0.52196915384609366</c:v>
                </c:pt>
                <c:pt idx="59">
                  <c:v>0.52794453942301744</c:v>
                </c:pt>
                <c:pt idx="60">
                  <c:v>0.53384523268022976</c:v>
                </c:pt>
                <c:pt idx="61">
                  <c:v>0.53967216727172684</c:v>
                </c:pt>
                <c:pt idx="62">
                  <c:v>0.54542626518083026</c:v>
                </c:pt>
                <c:pt idx="63">
                  <c:v>0.55110843686606992</c:v>
                </c:pt>
                <c:pt idx="64">
                  <c:v>0.55671958140524402</c:v>
                </c:pt>
                <c:pt idx="65">
                  <c:v>0.56226058663767853</c:v>
                </c:pt>
                <c:pt idx="66">
                  <c:v>0.56773232930470752</c:v>
                </c:pt>
                <c:pt idx="67">
                  <c:v>0.5731356751883987</c:v>
                </c:pt>
                <c:pt idx="68">
                  <c:v>0.5784714792485437</c:v>
                </c:pt>
                <c:pt idx="69">
                  <c:v>0.58374058575793686</c:v>
                </c:pt>
                <c:pt idx="70">
                  <c:v>0.5889438284359626</c:v>
                </c:pt>
                <c:pt idx="71">
                  <c:v>0.59408203058051312</c:v>
                </c:pt>
                <c:pt idx="72">
                  <c:v>0.59915600519825674</c:v>
                </c:pt>
                <c:pt idx="73">
                  <c:v>0.60416655513327855</c:v>
                </c:pt>
                <c:pt idx="74">
                  <c:v>0.6091144731941126</c:v>
                </c:pt>
                <c:pt idx="75">
                  <c:v>0.61400054227918621</c:v>
                </c:pt>
                <c:pt idx="76">
                  <c:v>0.61882553550069641</c:v>
                </c:pt>
                <c:pt idx="77">
                  <c:v>0.62359021630693767</c:v>
                </c:pt>
                <c:pt idx="78">
                  <c:v>0.62829533860310094</c:v>
                </c:pt>
                <c:pt idx="79">
                  <c:v>0.6329416468705622</c:v>
                </c:pt>
                <c:pt idx="80">
                  <c:v>0.63752987628468016</c:v>
                </c:pt>
                <c:pt idx="81">
                  <c:v>0.64206075283112163</c:v>
                </c:pt>
                <c:pt idx="82">
                  <c:v>0.64653499342073262</c:v>
                </c:pt>
                <c:pt idx="83">
                  <c:v>0.65095330600297341</c:v>
                </c:pt>
                <c:pt idx="84">
                  <c:v>0.65531638967793626</c:v>
                </c:pt>
                <c:pt idx="85">
                  <c:v>0.65962493480696205</c:v>
                </c:pt>
                <c:pt idx="86">
                  <c:v>0.66387962312187498</c:v>
                </c:pt>
                <c:pt idx="87">
                  <c:v>0.66808112783285156</c:v>
                </c:pt>
                <c:pt idx="88">
                  <c:v>0.6722301137349409</c:v>
                </c:pt>
                <c:pt idx="89">
                  <c:v>0.67632723731325417</c:v>
                </c:pt>
                <c:pt idx="90">
                  <c:v>0.68037314684683847</c:v>
                </c:pt>
                <c:pt idx="91">
                  <c:v>0.68436848251125304</c:v>
                </c:pt>
                <c:pt idx="92">
                  <c:v>0.68831387647986242</c:v>
                </c:pt>
                <c:pt idx="93">
                  <c:v>0.69220995302386412</c:v>
                </c:pt>
                <c:pt idx="94">
                  <c:v>0.69605732861106584</c:v>
                </c:pt>
                <c:pt idx="95">
                  <c:v>0.69985661200342753</c:v>
                </c:pt>
                <c:pt idx="96">
                  <c:v>0.70360840435338468</c:v>
                </c:pt>
                <c:pt idx="97">
                  <c:v>0.70731329929896736</c:v>
                </c:pt>
                <c:pt idx="98">
                  <c:v>0.71097188305773029</c:v>
                </c:pt>
                <c:pt idx="99">
                  <c:v>0.71458473451950866</c:v>
                </c:pt>
                <c:pt idx="100">
                  <c:v>0.71815242533801482</c:v>
                </c:pt>
                <c:pt idx="101">
                  <c:v>0.72167552002128965</c:v>
                </c:pt>
                <c:pt idx="102">
                  <c:v>0.72515457602102351</c:v>
                </c:pt>
                <c:pt idx="103">
                  <c:v>0.72859014382076071</c:v>
                </c:pt>
                <c:pt idx="104">
                  <c:v>0.73198276702300125</c:v>
                </c:pt>
              </c:numCache>
            </c:numRef>
          </c:yVal>
          <c:smooth val="0"/>
          <c:extLst>
            <c:ext xmlns:c16="http://schemas.microsoft.com/office/drawing/2014/chart" uri="{C3380CC4-5D6E-409C-BE32-E72D297353CC}">
              <c16:uniqueId val="{00000000-CAE3-45AC-BD7D-7619C01C227E}"/>
            </c:ext>
          </c:extLst>
        </c:ser>
        <c:ser>
          <c:idx val="1"/>
          <c:order val="1"/>
          <c:tx>
            <c:strRef>
              <c:f>Model!$A$13</c:f>
              <c:strCache>
                <c:ptCount val="1"/>
                <c:pt idx="0">
                  <c:v>SDG11</c:v>
                </c:pt>
              </c:strCache>
            </c:strRef>
          </c:tx>
          <c:spPr>
            <a:ln w="12700">
              <a:solidFill>
                <a:srgbClr val="FD9D24"/>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Model!$B$13:$DB$13</c:f>
              <c:numCache>
                <c:formatCode>General</c:formatCode>
                <c:ptCount val="105"/>
                <c:pt idx="0">
                  <c:v>0.3104089164733887</c:v>
                </c:pt>
                <c:pt idx="1">
                  <c:v>0.31670418834314162</c:v>
                </c:pt>
                <c:pt idx="2">
                  <c:v>0.32524538598885233</c:v>
                </c:pt>
                <c:pt idx="3">
                  <c:v>0.33367981866399166</c:v>
                </c:pt>
                <c:pt idx="4">
                  <c:v>0.34200882093069174</c:v>
                </c:pt>
                <c:pt idx="5">
                  <c:v>0.35023371066905806</c:v>
                </c:pt>
                <c:pt idx="6">
                  <c:v>0.35835578928569484</c:v>
                </c:pt>
                <c:pt idx="7">
                  <c:v>0.36637634191962365</c:v>
                </c:pt>
                <c:pt idx="8">
                  <c:v>0.37429663764562837</c:v>
                </c:pt>
                <c:pt idx="9">
                  <c:v>0.37282565931550127</c:v>
                </c:pt>
                <c:pt idx="10">
                  <c:v>0.37131516383204632</c:v>
                </c:pt>
                <c:pt idx="11">
                  <c:v>0.36976661259338667</c:v>
                </c:pt>
                <c:pt idx="12">
                  <c:v>0.3681814331837886</c:v>
                </c:pt>
                <c:pt idx="13">
                  <c:v>0.36656102024914428</c:v>
                </c:pt>
                <c:pt idx="14">
                  <c:v>0.36490673632838899</c:v>
                </c:pt>
                <c:pt idx="15">
                  <c:v>0.36321991264404846</c:v>
                </c:pt>
                <c:pt idx="16">
                  <c:v>0.36150184985488731</c:v>
                </c:pt>
                <c:pt idx="17">
                  <c:v>0.35836844775256077</c:v>
                </c:pt>
                <c:pt idx="18">
                  <c:v>0.35525017309992085</c:v>
                </c:pt>
                <c:pt idx="19">
                  <c:v>0.35214724114657503</c:v>
                </c:pt>
                <c:pt idx="20">
                  <c:v>0.34905985738705425</c:v>
                </c:pt>
                <c:pt idx="21">
                  <c:v>0.34598821791058837</c:v>
                </c:pt>
                <c:pt idx="22">
                  <c:v>0.34293250972986483</c:v>
                </c:pt>
                <c:pt idx="23">
                  <c:v>0.33989291109042502</c:v>
                </c:pt>
                <c:pt idx="24">
                  <c:v>0.33686959176222214</c:v>
                </c:pt>
                <c:pt idx="25">
                  <c:v>0.33386271331474537</c:v>
                </c:pt>
                <c:pt idx="26">
                  <c:v>0.33088138298073122</c:v>
                </c:pt>
                <c:pt idx="27">
                  <c:v>0.32792544376160165</c:v>
                </c:pt>
                <c:pt idx="28">
                  <c:v>0.32499473576941945</c:v>
                </c:pt>
                <c:pt idx="29">
                  <c:v>0.32208909652951323</c:v>
                </c:pt>
                <c:pt idx="30">
                  <c:v>0.31920836126295743</c:v>
                </c:pt>
                <c:pt idx="31">
                  <c:v>0.3163523631501487</c:v>
                </c:pt>
                <c:pt idx="32">
                  <c:v>0.31352093357664512</c:v>
                </c:pt>
                <c:pt idx="33">
                  <c:v>0.3134162955959312</c:v>
                </c:pt>
                <c:pt idx="34">
                  <c:v>0.31336854529969943</c:v>
                </c:pt>
                <c:pt idx="35">
                  <c:v>0.31337676411580839</c:v>
                </c:pt>
                <c:pt idx="36">
                  <c:v>0.31344008087945313</c:v>
                </c:pt>
                <c:pt idx="37">
                  <c:v>0.31355767092522152</c:v>
                </c:pt>
                <c:pt idx="38">
                  <c:v>0.31372875526739952</c:v>
                </c:pt>
                <c:pt idx="39">
                  <c:v>0.31395259986252161</c:v>
                </c:pt>
                <c:pt idx="40">
                  <c:v>0.31422851494898713</c:v>
                </c:pt>
                <c:pt idx="41">
                  <c:v>0.31154114911767505</c:v>
                </c:pt>
                <c:pt idx="42">
                  <c:v>0.30892539647753159</c:v>
                </c:pt>
                <c:pt idx="43">
                  <c:v>0.30638021671843263</c:v>
                </c:pt>
                <c:pt idx="44">
                  <c:v>0.30390458709819823</c:v>
                </c:pt>
                <c:pt idx="45">
                  <c:v>0.30149750227582311</c:v>
                </c:pt>
                <c:pt idx="46">
                  <c:v>0.29915797418372614</c:v>
                </c:pt>
                <c:pt idx="47">
                  <c:v>0.29688503193366567</c:v>
                </c:pt>
                <c:pt idx="48">
                  <c:v>0.29467772175186202</c:v>
                </c:pt>
                <c:pt idx="49">
                  <c:v>0.29253510693961271</c:v>
                </c:pt>
                <c:pt idx="50">
                  <c:v>0.29046287265418846</c:v>
                </c:pt>
                <c:pt idx="51">
                  <c:v>0.28846047568884953</c:v>
                </c:pt>
                <c:pt idx="52">
                  <c:v>0.28652739730242544</c:v>
                </c:pt>
                <c:pt idx="53">
                  <c:v>0.28466314356983091</c:v>
                </c:pt>
                <c:pt idx="54">
                  <c:v>0.28286724582750844</c:v>
                </c:pt>
                <c:pt idx="55">
                  <c:v>0.28113926120425869</c:v>
                </c:pt>
                <c:pt idx="56">
                  <c:v>0.27947877323010611</c:v>
                </c:pt>
                <c:pt idx="57">
                  <c:v>0.2778853925176194</c:v>
                </c:pt>
                <c:pt idx="58">
                  <c:v>0.27635875751156258</c:v>
                </c:pt>
                <c:pt idx="59">
                  <c:v>0.27489825492694353</c:v>
                </c:pt>
                <c:pt idx="60">
                  <c:v>0.2735029330561291</c:v>
                </c:pt>
                <c:pt idx="61">
                  <c:v>0.27217184214668572</c:v>
                </c:pt>
                <c:pt idx="62">
                  <c:v>0.27090403478701347</c:v>
                </c:pt>
                <c:pt idx="63">
                  <c:v>0.26969856627493372</c:v>
                </c:pt>
                <c:pt idx="64">
                  <c:v>0.26855449496977163</c:v>
                </c:pt>
                <c:pt idx="65">
                  <c:v>0.26747088262846136</c:v>
                </c:pt>
                <c:pt idx="66">
                  <c:v>0.26644679472618576</c:v>
                </c:pt>
                <c:pt idx="67">
                  <c:v>0.26548130076204857</c:v>
                </c:pt>
                <c:pt idx="68">
                  <c:v>0.26457347455026209</c:v>
                </c:pt>
                <c:pt idx="69">
                  <c:v>0.26372239449732127</c:v>
                </c:pt>
                <c:pt idx="70">
                  <c:v>0.26292714386561955</c:v>
                </c:pt>
                <c:pt idx="71">
                  <c:v>0.26218681102395092</c:v>
                </c:pt>
                <c:pt idx="72">
                  <c:v>0.2615004896853288</c:v>
                </c:pt>
                <c:pt idx="73">
                  <c:v>0.26086727913254026</c:v>
                </c:pt>
                <c:pt idx="74">
                  <c:v>0.26028628443184221</c:v>
                </c:pt>
                <c:pt idx="75">
                  <c:v>0.25975661663519473</c:v>
                </c:pt>
                <c:pt idx="76">
                  <c:v>0.259277392971415</c:v>
                </c:pt>
                <c:pt idx="77">
                  <c:v>0.25884773702662434</c:v>
                </c:pt>
                <c:pt idx="78">
                  <c:v>0.25846677891435049</c:v>
                </c:pt>
                <c:pt idx="79">
                  <c:v>0.25813365543563604</c:v>
                </c:pt>
                <c:pt idx="80">
                  <c:v>0.25784751022949481</c:v>
                </c:pt>
                <c:pt idx="81">
                  <c:v>0.25760749391404697</c:v>
                </c:pt>
                <c:pt idx="82">
                  <c:v>0.25741276421865489</c:v>
                </c:pt>
                <c:pt idx="83">
                  <c:v>0.25726248610737185</c:v>
                </c:pt>
                <c:pt idx="84">
                  <c:v>0.25715583189400704</c:v>
                </c:pt>
                <c:pt idx="85">
                  <c:v>0.25709198134910094</c:v>
                </c:pt>
                <c:pt idx="86">
                  <c:v>0.25707012179909661</c:v>
                </c:pt>
                <c:pt idx="87">
                  <c:v>0.2570894482179848</c:v>
                </c:pt>
                <c:pt idx="88">
                  <c:v>0.25714916331169124</c:v>
                </c:pt>
                <c:pt idx="89">
                  <c:v>0.25724847759546787</c:v>
                </c:pt>
                <c:pt idx="90">
                  <c:v>0.25738660946454117</c:v>
                </c:pt>
                <c:pt idx="91">
                  <c:v>0.25756278525826343</c:v>
                </c:pt>
                <c:pt idx="92">
                  <c:v>0.2577762393180057</c:v>
                </c:pt>
                <c:pt idx="93">
                  <c:v>0.25802621403902409</c:v>
                </c:pt>
                <c:pt idx="94">
                  <c:v>0.2583119599165235</c:v>
                </c:pt>
                <c:pt idx="95">
                  <c:v>0.25863273558613709</c:v>
                </c:pt>
                <c:pt idx="96">
                  <c:v>0.2589878078590323</c:v>
                </c:pt>
                <c:pt idx="97">
                  <c:v>0.25937645175184892</c:v>
                </c:pt>
                <c:pt idx="98">
                  <c:v>0.25979795051166737</c:v>
                </c:pt>
                <c:pt idx="99">
                  <c:v>0.26025159563620021</c:v>
                </c:pt>
                <c:pt idx="100">
                  <c:v>0.26073668688939344</c:v>
                </c:pt>
                <c:pt idx="101">
                  <c:v>0.26125253231261925</c:v>
                </c:pt>
                <c:pt idx="102">
                  <c:v>0.26179844823163506</c:v>
                </c:pt>
                <c:pt idx="103">
                  <c:v>0.26237375925947992</c:v>
                </c:pt>
                <c:pt idx="104">
                  <c:v>0.26297779829547235</c:v>
                </c:pt>
              </c:numCache>
            </c:numRef>
          </c:yVal>
          <c:smooth val="0"/>
          <c:extLst>
            <c:ext xmlns:c16="http://schemas.microsoft.com/office/drawing/2014/chart" uri="{C3380CC4-5D6E-409C-BE32-E72D297353CC}">
              <c16:uniqueId val="{00000001-CAE3-45AC-BD7D-7619C01C227E}"/>
            </c:ext>
          </c:extLst>
        </c:ser>
        <c:ser>
          <c:idx val="2"/>
          <c:order val="2"/>
          <c:tx>
            <c:strRef>
              <c:f>Model!$A$14</c:f>
              <c:strCache>
                <c:ptCount val="1"/>
                <c:pt idx="0">
                  <c:v>SDG12</c:v>
                </c:pt>
              </c:strCache>
            </c:strRef>
          </c:tx>
          <c:spPr>
            <a:ln w="12700">
              <a:solidFill>
                <a:srgbClr val="BF8B2E"/>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Model!$B$14:$DB$14</c:f>
              <c:numCache>
                <c:formatCode>General</c:formatCode>
                <c:ptCount val="105"/>
                <c:pt idx="0">
                  <c:v>0.76251144409179683</c:v>
                </c:pt>
                <c:pt idx="1">
                  <c:v>0.76548005104064942</c:v>
                </c:pt>
                <c:pt idx="2">
                  <c:v>0.7657871143025089</c:v>
                </c:pt>
                <c:pt idx="3">
                  <c:v>0.76583999773480926</c:v>
                </c:pt>
                <c:pt idx="4">
                  <c:v>0.76565903730320561</c:v>
                </c:pt>
                <c:pt idx="5">
                  <c:v>0.76526257237823336</c:v>
                </c:pt>
                <c:pt idx="6">
                  <c:v>0.76466717923859095</c:v>
                </c:pt>
                <c:pt idx="7">
                  <c:v>0.76388787149667836</c:v>
                </c:pt>
                <c:pt idx="8">
                  <c:v>0.76293827295587802</c:v>
                </c:pt>
                <c:pt idx="9">
                  <c:v>0.76590154454392956</c:v>
                </c:pt>
                <c:pt idx="10">
                  <c:v>0.76882777523713042</c:v>
                </c:pt>
                <c:pt idx="11">
                  <c:v>0.77171742804666632</c:v>
                </c:pt>
                <c:pt idx="12">
                  <c:v>0.77457096019608296</c:v>
                </c:pt>
                <c:pt idx="13">
                  <c:v>0.77738882319363189</c:v>
                </c:pt>
                <c:pt idx="14">
                  <c:v>0.78017146290371153</c:v>
                </c:pt>
                <c:pt idx="15">
                  <c:v>0.78291931961741512</c:v>
                </c:pt>
                <c:pt idx="16">
                  <c:v>0.78563282812219748</c:v>
                </c:pt>
                <c:pt idx="17">
                  <c:v>0.78831241777066996</c:v>
                </c:pt>
                <c:pt idx="18">
                  <c:v>0.79095851254853655</c:v>
                </c:pt>
                <c:pt idx="19">
                  <c:v>0.79357153114167989</c:v>
                </c:pt>
                <c:pt idx="20">
                  <c:v>0.79615188700240891</c:v>
                </c:pt>
                <c:pt idx="21">
                  <c:v>0.79869998841487877</c:v>
                </c:pt>
                <c:pt idx="22">
                  <c:v>0.80121623855969282</c:v>
                </c:pt>
                <c:pt idx="23">
                  <c:v>0.80370103557769668</c:v>
                </c:pt>
                <c:pt idx="24">
                  <c:v>0.80615477263297541</c:v>
                </c:pt>
                <c:pt idx="25">
                  <c:v>0.80857783797506322</c:v>
                </c:pt>
                <c:pt idx="26">
                  <c:v>0.81097061500037493</c:v>
                </c:pt>
                <c:pt idx="27">
                  <c:v>0.81333348231287028</c:v>
                </c:pt>
                <c:pt idx="28">
                  <c:v>0.81566681378395944</c:v>
                </c:pt>
                <c:pt idx="29">
                  <c:v>0.8179709786116599</c:v>
                </c:pt>
                <c:pt idx="30">
                  <c:v>0.8202463413790142</c:v>
                </c:pt>
                <c:pt idx="31">
                  <c:v>0.82249326211177654</c:v>
                </c:pt>
                <c:pt idx="32">
                  <c:v>0.82471209633537934</c:v>
                </c:pt>
                <c:pt idx="33">
                  <c:v>0.82201324363397454</c:v>
                </c:pt>
                <c:pt idx="34">
                  <c:v>0.81911652052693218</c:v>
                </c:pt>
                <c:pt idx="35">
                  <c:v>0.81603338052086638</c:v>
                </c:pt>
                <c:pt idx="36">
                  <c:v>0.81277459578916877</c:v>
                </c:pt>
                <c:pt idx="37">
                  <c:v>0.80935030527729124</c:v>
                </c:pt>
                <c:pt idx="38">
                  <c:v>0.80577005878383345</c:v>
                </c:pt>
                <c:pt idx="39">
                  <c:v>0.8020428574049987</c:v>
                </c:pt>
                <c:pt idx="40">
                  <c:v>0.79817719068794724</c:v>
                </c:pt>
                <c:pt idx="41">
                  <c:v>0.80016216579874577</c:v>
                </c:pt>
                <c:pt idx="42">
                  <c:v>0.80194973886027809</c:v>
                </c:pt>
                <c:pt idx="43">
                  <c:v>0.80355199096343222</c:v>
                </c:pt>
                <c:pt idx="44">
                  <c:v>0.8049798836745572</c:v>
                </c:pt>
                <c:pt idx="45">
                  <c:v>0.80624336309844546</c:v>
                </c:pt>
                <c:pt idx="46">
                  <c:v>0.80735145142320575</c:v>
                </c:pt>
                <c:pt idx="47">
                  <c:v>0.80831232777152384</c:v>
                </c:pt>
                <c:pt idx="48">
                  <c:v>0.80913339988688515</c:v>
                </c:pt>
                <c:pt idx="49">
                  <c:v>0.80922666183253011</c:v>
                </c:pt>
                <c:pt idx="50">
                  <c:v>0.80900629198514684</c:v>
                </c:pt>
                <c:pt idx="51">
                  <c:v>0.80848986541689971</c:v>
                </c:pt>
                <c:pt idx="52">
                  <c:v>0.80769303208394427</c:v>
                </c:pt>
                <c:pt idx="53">
                  <c:v>0.80662979086137199</c:v>
                </c:pt>
                <c:pt idx="54">
                  <c:v>0.8053127205394992</c:v>
                </c:pt>
                <c:pt idx="55">
                  <c:v>0.8037531756592674</c:v>
                </c:pt>
                <c:pt idx="56">
                  <c:v>0.80196145340905545</c:v>
                </c:pt>
                <c:pt idx="57">
                  <c:v>0.79994693653863869</c:v>
                </c:pt>
                <c:pt idx="58">
                  <c:v>0.79771821626856254</c:v>
                </c:pt>
                <c:pt idx="59">
                  <c:v>0.79528319841265038</c:v>
                </c:pt>
                <c:pt idx="60">
                  <c:v>0.79264921901006646</c:v>
                </c:pt>
                <c:pt idx="61">
                  <c:v>0.78982506981142109</c:v>
                </c:pt>
                <c:pt idx="62">
                  <c:v>0.78682064727330248</c:v>
                </c:pt>
                <c:pt idx="63">
                  <c:v>0.7836451905806856</c:v>
                </c:pt>
                <c:pt idx="64">
                  <c:v>0.78030736137927814</c:v>
                </c:pt>
                <c:pt idx="65">
                  <c:v>0.77681530854977399</c:v>
                </c:pt>
                <c:pt idx="66">
                  <c:v>0.77317672478024435</c:v>
                </c:pt>
                <c:pt idx="67">
                  <c:v>0.76939889598507172</c:v>
                </c:pt>
                <c:pt idx="68">
                  <c:v>0.76548874446637638</c:v>
                </c:pt>
                <c:pt idx="69">
                  <c:v>0.76145286658819</c:v>
                </c:pt>
                <c:pt idx="70">
                  <c:v>0.75729756562939432</c:v>
                </c:pt>
                <c:pt idx="71">
                  <c:v>0.753028880394495</c:v>
                </c:pt>
                <c:pt idx="72">
                  <c:v>0.74865261008830675</c:v>
                </c:pt>
                <c:pt idx="73">
                  <c:v>0.74417433589895143</c:v>
                </c:pt>
                <c:pt idx="74">
                  <c:v>0.73959991358220434</c:v>
                </c:pt>
                <c:pt idx="75">
                  <c:v>0.73493554092581526</c:v>
                </c:pt>
                <c:pt idx="76">
                  <c:v>0.73018712060175739</c:v>
                </c:pt>
                <c:pt idx="77">
                  <c:v>0.72536028205758041</c:v>
                </c:pt>
                <c:pt idx="78">
                  <c:v>0.72046040097350528</c:v>
                </c:pt>
                <c:pt idx="79">
                  <c:v>0.71549261657122276</c:v>
                </c:pt>
                <c:pt idx="80">
                  <c:v>0.71046184702754833</c:v>
                </c:pt>
                <c:pt idx="81">
                  <c:v>0.70537280321732532</c:v>
                </c:pt>
                <c:pt idx="82">
                  <c:v>0.70023000098464427</c:v>
                </c:pt>
                <c:pt idx="83">
                  <c:v>0.69503777211907103</c:v>
                </c:pt>
                <c:pt idx="84">
                  <c:v>0.68980027419372847</c:v>
                </c:pt>
                <c:pt idx="85">
                  <c:v>0.68452149940442908</c:v>
                </c:pt>
                <c:pt idx="86">
                  <c:v>0.679207411353971</c:v>
                </c:pt>
                <c:pt idx="87">
                  <c:v>0.67386354960287476</c:v>
                </c:pt>
                <c:pt idx="88">
                  <c:v>0.66849506323510854</c:v>
                </c:pt>
                <c:pt idx="89">
                  <c:v>0.66310671541901511</c:v>
                </c:pt>
                <c:pt idx="90">
                  <c:v>0.65770291530661884</c:v>
                </c:pt>
                <c:pt idx="91">
                  <c:v>0.65228774683791868</c:v>
                </c:pt>
                <c:pt idx="92">
                  <c:v>0.64686499479614978</c:v>
                </c:pt>
                <c:pt idx="93">
                  <c:v>0.64143816841636492</c:v>
                </c:pt>
                <c:pt idx="94">
                  <c:v>0.63601052281216708</c:v>
                </c:pt>
                <c:pt idx="95">
                  <c:v>0.63058507845307454</c:v>
                </c:pt>
                <c:pt idx="96">
                  <c:v>0.6251646388970401</c:v>
                </c:pt>
                <c:pt idx="97">
                  <c:v>0.61975180695842158</c:v>
                </c:pt>
                <c:pt idx="98">
                  <c:v>0.61434899947066501</c:v>
                </c:pt>
                <c:pt idx="99">
                  <c:v>0.60895846078465499</c:v>
                </c:pt>
                <c:pt idx="100">
                  <c:v>0.60358227512771667</c:v>
                </c:pt>
                <c:pt idx="101">
                  <c:v>0.59822237793429855</c:v>
                </c:pt>
                <c:pt idx="102">
                  <c:v>0.59288056624713881</c:v>
                </c:pt>
                <c:pt idx="103">
                  <c:v>0.58755850827699185</c:v>
                </c:pt>
                <c:pt idx="104">
                  <c:v>0.58225775219955889</c:v>
                </c:pt>
              </c:numCache>
            </c:numRef>
          </c:yVal>
          <c:smooth val="0"/>
          <c:extLst>
            <c:ext xmlns:c16="http://schemas.microsoft.com/office/drawing/2014/chart" uri="{C3380CC4-5D6E-409C-BE32-E72D297353CC}">
              <c16:uniqueId val="{00000002-CAE3-45AC-BD7D-7619C01C227E}"/>
            </c:ext>
          </c:extLst>
        </c:ser>
        <c:ser>
          <c:idx val="3"/>
          <c:order val="3"/>
          <c:tx>
            <c:strRef>
              <c:f>Model!$A$15</c:f>
              <c:strCache>
                <c:ptCount val="1"/>
                <c:pt idx="0">
                  <c:v>SDG13</c:v>
                </c:pt>
              </c:strCache>
            </c:strRef>
          </c:tx>
          <c:spPr>
            <a:ln w="12700">
              <a:solidFill>
                <a:srgbClr val="3F7E44"/>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Model!$B$15:$DB$15</c:f>
              <c:numCache>
                <c:formatCode>General</c:formatCode>
                <c:ptCount val="105"/>
                <c:pt idx="0">
                  <c:v>0.8951568603515625</c:v>
                </c:pt>
                <c:pt idx="1">
                  <c:v>0.89571015930175779</c:v>
                </c:pt>
                <c:pt idx="2">
                  <c:v>0.89701378231048579</c:v>
                </c:pt>
                <c:pt idx="3">
                  <c:v>0.89830111003160473</c:v>
                </c:pt>
                <c:pt idx="4">
                  <c:v>0.89957234615620962</c:v>
                </c:pt>
                <c:pt idx="5">
                  <c:v>0.90082769182925704</c:v>
                </c:pt>
                <c:pt idx="6">
                  <c:v>0.90206734568139135</c:v>
                </c:pt>
                <c:pt idx="7">
                  <c:v>0.90329150386037393</c:v>
                </c:pt>
                <c:pt idx="8">
                  <c:v>0.90450036006211931</c:v>
                </c:pt>
                <c:pt idx="9">
                  <c:v>0.90569410556134278</c:v>
                </c:pt>
                <c:pt idx="10">
                  <c:v>0.90687292924182594</c:v>
                </c:pt>
                <c:pt idx="11">
                  <c:v>0.90803701762630307</c:v>
                </c:pt>
                <c:pt idx="12">
                  <c:v>0.90918655490597433</c:v>
                </c:pt>
                <c:pt idx="13">
                  <c:v>0.91032172296964964</c:v>
                </c:pt>
                <c:pt idx="14">
                  <c:v>0.91144270143252903</c:v>
                </c:pt>
                <c:pt idx="15">
                  <c:v>0.91254966766462242</c:v>
                </c:pt>
                <c:pt idx="16">
                  <c:v>0.91364279681881466</c:v>
                </c:pt>
                <c:pt idx="17">
                  <c:v>0.91472226185857952</c:v>
                </c:pt>
                <c:pt idx="18">
                  <c:v>0.91578823358534733</c:v>
                </c:pt>
                <c:pt idx="19">
                  <c:v>0.91684088066553049</c:v>
                </c:pt>
                <c:pt idx="20">
                  <c:v>0.91788036965721131</c:v>
                </c:pt>
                <c:pt idx="21">
                  <c:v>0.91890686503649621</c:v>
                </c:pt>
                <c:pt idx="22">
                  <c:v>0.91992052922354006</c:v>
                </c:pt>
                <c:pt idx="23">
                  <c:v>0.92092152260824578</c:v>
                </c:pt>
                <c:pt idx="24">
                  <c:v>0.92191000357564268</c:v>
                </c:pt>
                <c:pt idx="25">
                  <c:v>0.92288612853094709</c:v>
                </c:pt>
                <c:pt idx="26">
                  <c:v>0.92385005192431024</c:v>
                </c:pt>
                <c:pt idx="27">
                  <c:v>0.92480192627525637</c:v>
                </c:pt>
                <c:pt idx="28">
                  <c:v>0.92574190219681562</c:v>
                </c:pt>
                <c:pt idx="29">
                  <c:v>0.92667012841935548</c:v>
                </c:pt>
                <c:pt idx="30">
                  <c:v>0.92758675181411354</c:v>
                </c:pt>
                <c:pt idx="31">
                  <c:v>0.92849191741643711</c:v>
                </c:pt>
                <c:pt idx="32">
                  <c:v>0.92938576844873166</c:v>
                </c:pt>
                <c:pt idx="33">
                  <c:v>0.92734979732897305</c:v>
                </c:pt>
                <c:pt idx="34">
                  <c:v>0.92529227905179257</c:v>
                </c:pt>
                <c:pt idx="35">
                  <c:v>0.9232140704166133</c:v>
                </c:pt>
                <c:pt idx="36">
                  <c:v>0.92111601016961597</c:v>
                </c:pt>
                <c:pt idx="37">
                  <c:v>0.91899891932119526</c:v>
                </c:pt>
                <c:pt idx="38">
                  <c:v>0.91686360145830037</c:v>
                </c:pt>
                <c:pt idx="39">
                  <c:v>0.91471084305173822</c:v>
                </c:pt>
                <c:pt idx="40">
                  <c:v>0.91254141375851661</c:v>
                </c:pt>
                <c:pt idx="41">
                  <c:v>0.91363464608653511</c:v>
                </c:pt>
                <c:pt idx="42">
                  <c:v>0.91471421301045341</c:v>
                </c:pt>
                <c:pt idx="43">
                  <c:v>0.91578028534782274</c:v>
                </c:pt>
                <c:pt idx="44">
                  <c:v>0.91683303178097497</c:v>
                </c:pt>
                <c:pt idx="45">
                  <c:v>0.91787261888371274</c:v>
                </c:pt>
                <c:pt idx="46">
                  <c:v>0.91889921114766637</c:v>
                </c:pt>
                <c:pt idx="47">
                  <c:v>0.91991297100832059</c:v>
                </c:pt>
                <c:pt idx="48">
                  <c:v>0.92091405887071653</c:v>
                </c:pt>
                <c:pt idx="49">
                  <c:v>0.92106380996266202</c:v>
                </c:pt>
                <c:pt idx="50">
                  <c:v>0.9212570343968105</c:v>
                </c:pt>
                <c:pt idx="51">
                  <c:v>0.9214926219409989</c:v>
                </c:pt>
                <c:pt idx="52">
                  <c:v>0.92176948332615838</c:v>
                </c:pt>
                <c:pt idx="53">
                  <c:v>0.92208654989571082</c:v>
                </c:pt>
                <c:pt idx="54">
                  <c:v>0.92244277326045498</c:v>
                </c:pt>
                <c:pt idx="55">
                  <c:v>0.92283712495885961</c:v>
                </c:pt>
                <c:pt idx="56">
                  <c:v>0.92326859612268253</c:v>
                </c:pt>
                <c:pt idx="57">
                  <c:v>0.92373619714783528</c:v>
                </c:pt>
                <c:pt idx="58">
                  <c:v>0.92423895737041528</c:v>
                </c:pt>
                <c:pt idx="59">
                  <c:v>0.92477592474782666</c:v>
                </c:pt>
                <c:pt idx="60">
                  <c:v>0.925346165544914</c:v>
                </c:pt>
                <c:pt idx="61">
                  <c:v>0.92594876402503257</c:v>
                </c:pt>
                <c:pt idx="62">
                  <c:v>0.92658282214598198</c:v>
                </c:pt>
                <c:pt idx="63">
                  <c:v>0.92724745926072905</c:v>
                </c:pt>
                <c:pt idx="64">
                  <c:v>0.92794181182284741</c:v>
                </c:pt>
                <c:pt idx="65">
                  <c:v>0.92866503309660353</c:v>
                </c:pt>
                <c:pt idx="66">
                  <c:v>0.92941629287161875</c:v>
                </c:pt>
                <c:pt idx="67">
                  <c:v>0.93019477718203747</c:v>
                </c:pt>
                <c:pt idx="68">
                  <c:v>0.93099968803013478</c:v>
                </c:pt>
                <c:pt idx="69">
                  <c:v>0.9318302431142953</c:v>
                </c:pt>
                <c:pt idx="70">
                  <c:v>0.93268236507536662</c:v>
                </c:pt>
                <c:pt idx="71">
                  <c:v>0.93352383551192453</c:v>
                </c:pt>
                <c:pt idx="72">
                  <c:v>0.93435478756802548</c:v>
                </c:pt>
                <c:pt idx="73">
                  <c:v>0.93517535272342511</c:v>
                </c:pt>
                <c:pt idx="74">
                  <c:v>0.93598566081438228</c:v>
                </c:pt>
                <c:pt idx="75">
                  <c:v>0.93678584005420251</c:v>
                </c:pt>
                <c:pt idx="76">
                  <c:v>0.937576017053525</c:v>
                </c:pt>
                <c:pt idx="77">
                  <c:v>0.93835631684035592</c:v>
                </c:pt>
                <c:pt idx="78">
                  <c:v>0.93912686287985148</c:v>
                </c:pt>
                <c:pt idx="79">
                  <c:v>0.93988777709385329</c:v>
                </c:pt>
                <c:pt idx="80">
                  <c:v>0.94063917988018009</c:v>
                </c:pt>
                <c:pt idx="81">
                  <c:v>0.94138119013167787</c:v>
                </c:pt>
                <c:pt idx="82">
                  <c:v>0.9421139252550319</c:v>
                </c:pt>
                <c:pt idx="83">
                  <c:v>0.94283750118934395</c:v>
                </c:pt>
                <c:pt idx="84">
                  <c:v>0.94355203242447716</c:v>
                </c:pt>
                <c:pt idx="85">
                  <c:v>0.94425763201917123</c:v>
                </c:pt>
                <c:pt idx="86">
                  <c:v>0.94495441161893157</c:v>
                </c:pt>
                <c:pt idx="87">
                  <c:v>0.9456424814736949</c:v>
                </c:pt>
                <c:pt idx="88">
                  <c:v>0.94632195045527367</c:v>
                </c:pt>
                <c:pt idx="89">
                  <c:v>0.94699292607458274</c:v>
                </c:pt>
                <c:pt idx="90">
                  <c:v>0.94765551449865049</c:v>
                </c:pt>
                <c:pt idx="91">
                  <c:v>0.94830982056741731</c:v>
                </c:pt>
                <c:pt idx="92">
                  <c:v>0.94895594781032455</c:v>
                </c:pt>
                <c:pt idx="93">
                  <c:v>0.94959399846269554</c:v>
                </c:pt>
                <c:pt idx="94">
                  <c:v>0.95022407348191185</c:v>
                </c:pt>
                <c:pt idx="95">
                  <c:v>0.95084627256338794</c:v>
                </c:pt>
                <c:pt idx="96">
                  <c:v>0.9514606941563456</c:v>
                </c:pt>
                <c:pt idx="97">
                  <c:v>0.95206743547939132</c:v>
                </c:pt>
                <c:pt idx="98">
                  <c:v>0.95266659253589892</c:v>
                </c:pt>
                <c:pt idx="99">
                  <c:v>0.95325826012920023</c:v>
                </c:pt>
                <c:pt idx="100">
                  <c:v>0.95384253187758528</c:v>
                </c:pt>
                <c:pt idx="101">
                  <c:v>0.95441950022911548</c:v>
                </c:pt>
                <c:pt idx="102">
                  <c:v>0.95498925647625155</c:v>
                </c:pt>
                <c:pt idx="103">
                  <c:v>0.95555189077029845</c:v>
                </c:pt>
                <c:pt idx="104">
                  <c:v>0.9561074921356697</c:v>
                </c:pt>
              </c:numCache>
            </c:numRef>
          </c:yVal>
          <c:smooth val="0"/>
          <c:extLst>
            <c:ext xmlns:c16="http://schemas.microsoft.com/office/drawing/2014/chart" uri="{C3380CC4-5D6E-409C-BE32-E72D297353CC}">
              <c16:uniqueId val="{00000003-CAE3-45AC-BD7D-7619C01C227E}"/>
            </c:ext>
          </c:extLst>
        </c:ser>
        <c:ser>
          <c:idx val="4"/>
          <c:order val="4"/>
          <c:tx>
            <c:strRef>
              <c:f>Model!$A$16</c:f>
              <c:strCache>
                <c:ptCount val="1"/>
                <c:pt idx="0">
                  <c:v>SDG14</c:v>
                </c:pt>
              </c:strCache>
            </c:strRef>
          </c:tx>
          <c:spPr>
            <a:ln w="12700">
              <a:solidFill>
                <a:srgbClr val="0A97D9"/>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Model!$B$16:$DB$16</c:f>
              <c:numCache>
                <c:formatCode>General</c:formatCode>
                <c:ptCount val="105"/>
                <c:pt idx="0">
                  <c:v>0.36505893707275389</c:v>
                </c:pt>
                <c:pt idx="1">
                  <c:v>0.36879488738800204</c:v>
                </c:pt>
                <c:pt idx="2">
                  <c:v>0.37248413832430954</c:v>
                </c:pt>
                <c:pt idx="3">
                  <c:v>0.37612727362391324</c:v>
                </c:pt>
                <c:pt idx="4">
                  <c:v>0.37972486973227187</c:v>
                </c:pt>
                <c:pt idx="5">
                  <c:v>0.38327749588927601</c:v>
                </c:pt>
                <c:pt idx="6">
                  <c:v>0.38678571421931762</c:v>
                </c:pt>
                <c:pt idx="7">
                  <c:v>0.39025007982023369</c:v>
                </c:pt>
                <c:pt idx="8">
                  <c:v>0.3936711408511383</c:v>
                </c:pt>
                <c:pt idx="9">
                  <c:v>0.4012502515904991</c:v>
                </c:pt>
                <c:pt idx="10">
                  <c:v>0.40873462344561784</c:v>
                </c:pt>
                <c:pt idx="11">
                  <c:v>0.41612544065254764</c:v>
                </c:pt>
                <c:pt idx="12">
                  <c:v>0.4234238726443908</c:v>
                </c:pt>
                <c:pt idx="13">
                  <c:v>0.4306310742363359</c:v>
                </c:pt>
                <c:pt idx="14">
                  <c:v>0.43774818580838171</c:v>
                </c:pt>
                <c:pt idx="15">
                  <c:v>0.44477633348577694</c:v>
                </c:pt>
                <c:pt idx="16">
                  <c:v>0.45171662931720474</c:v>
                </c:pt>
                <c:pt idx="17">
                  <c:v>0.45857017145073969</c:v>
                </c:pt>
                <c:pt idx="18">
                  <c:v>0.46533804430760545</c:v>
                </c:pt>
                <c:pt idx="19">
                  <c:v>0.47202131875376035</c:v>
                </c:pt>
                <c:pt idx="20">
                  <c:v>0.47862105226933838</c:v>
                </c:pt>
                <c:pt idx="21">
                  <c:v>0.48513828911597162</c:v>
                </c:pt>
                <c:pt idx="22">
                  <c:v>0.49157406050202196</c:v>
                </c:pt>
                <c:pt idx="23">
                  <c:v>0.49792938474574666</c:v>
                </c:pt>
                <c:pt idx="24">
                  <c:v>0.5042052674364248</c:v>
                </c:pt>
                <c:pt idx="25">
                  <c:v>0.51040270159346945</c:v>
                </c:pt>
                <c:pt idx="26">
                  <c:v>0.51652266782355105</c:v>
                </c:pt>
                <c:pt idx="27">
                  <c:v>0.52256613447575662</c:v>
                </c:pt>
                <c:pt idx="28">
                  <c:v>0.52853405779480966</c:v>
                </c:pt>
                <c:pt idx="29">
                  <c:v>0.5344273820723745</c:v>
                </c:pt>
                <c:pt idx="30">
                  <c:v>0.54024703979646982</c:v>
                </c:pt>
                <c:pt idx="31">
                  <c:v>0.545993951799014</c:v>
                </c:pt>
                <c:pt idx="32">
                  <c:v>0.55166902740152635</c:v>
                </c:pt>
                <c:pt idx="33">
                  <c:v>0.55013585929930264</c:v>
                </c:pt>
                <c:pt idx="34">
                  <c:v>0.54862185579835676</c:v>
                </c:pt>
                <c:pt idx="35">
                  <c:v>0.54712677734117277</c:v>
                </c:pt>
                <c:pt idx="36">
                  <c:v>0.5456503873647035</c:v>
                </c:pt>
                <c:pt idx="37">
                  <c:v>0.54419245226294011</c:v>
                </c:pt>
                <c:pt idx="38">
                  <c:v>0.54275274134994878</c:v>
                </c:pt>
                <c:pt idx="39">
                  <c:v>0.54133102682336987</c:v>
                </c:pt>
                <c:pt idx="40">
                  <c:v>0.53992708372837317</c:v>
                </c:pt>
                <c:pt idx="41">
                  <c:v>0.54390338466235932</c:v>
                </c:pt>
                <c:pt idx="42">
                  <c:v>0.54782998183467069</c:v>
                </c:pt>
                <c:pt idx="43">
                  <c:v>0.55170749654232809</c:v>
                </c:pt>
                <c:pt idx="44">
                  <c:v>0.5555365423161398</c:v>
                </c:pt>
                <c:pt idx="45">
                  <c:v>0.55931772501777888</c:v>
                </c:pt>
                <c:pt idx="46">
                  <c:v>0.56305164293564747</c:v>
                </c:pt>
                <c:pt idx="47">
                  <c:v>0.56673888687954266</c:v>
                </c:pt>
                <c:pt idx="48">
                  <c:v>0.57038004027413924</c:v>
                </c:pt>
                <c:pt idx="49">
                  <c:v>0.57575028977071252</c:v>
                </c:pt>
                <c:pt idx="50">
                  <c:v>0.58105341114857856</c:v>
                </c:pt>
                <c:pt idx="51">
                  <c:v>0.58629024350922132</c:v>
                </c:pt>
                <c:pt idx="52">
                  <c:v>0.59146161546535603</c:v>
                </c:pt>
                <c:pt idx="53">
                  <c:v>0.59656834527203906</c:v>
                </c:pt>
                <c:pt idx="54">
                  <c:v>0.6016112409561386</c:v>
                </c:pt>
                <c:pt idx="55">
                  <c:v>0.60659110044418685</c:v>
                </c:pt>
                <c:pt idx="56">
                  <c:v>0.61150871168863452</c:v>
                </c:pt>
                <c:pt idx="57">
                  <c:v>0.61636485279252662</c:v>
                </c:pt>
                <c:pt idx="58">
                  <c:v>0.62116029213262003</c:v>
                </c:pt>
                <c:pt idx="59">
                  <c:v>0.62589578848096228</c:v>
                </c:pt>
                <c:pt idx="60">
                  <c:v>0.63057209112495027</c:v>
                </c:pt>
                <c:pt idx="61">
                  <c:v>0.63518993998588835</c:v>
                </c:pt>
                <c:pt idx="62">
                  <c:v>0.63975006573606474</c:v>
                </c:pt>
                <c:pt idx="63">
                  <c:v>0.64425318991436398</c:v>
                </c:pt>
                <c:pt idx="64">
                  <c:v>0.64870002504043445</c:v>
                </c:pt>
                <c:pt idx="65">
                  <c:v>0.65309127472742901</c:v>
                </c:pt>
                <c:pt idx="66">
                  <c:v>0.65742763379333613</c:v>
                </c:pt>
                <c:pt idx="67">
                  <c:v>0.66170978837091943</c:v>
                </c:pt>
                <c:pt idx="68">
                  <c:v>0.6659384160162829</c:v>
                </c:pt>
                <c:pt idx="69">
                  <c:v>0.6701141858160794</c:v>
                </c:pt>
                <c:pt idx="70">
                  <c:v>0.67423775849337841</c:v>
                </c:pt>
                <c:pt idx="71">
                  <c:v>0.67830978651221119</c:v>
                </c:pt>
                <c:pt idx="72">
                  <c:v>0.6823309141808086</c:v>
                </c:pt>
                <c:pt idx="73">
                  <c:v>0.6863017777535485</c:v>
                </c:pt>
                <c:pt idx="74">
                  <c:v>0.69022300553162919</c:v>
                </c:pt>
                <c:pt idx="75">
                  <c:v>0.69409521796248386</c:v>
                </c:pt>
                <c:pt idx="76">
                  <c:v>0.69791902773795278</c:v>
                </c:pt>
                <c:pt idx="77">
                  <c:v>0.70169503989122839</c:v>
                </c:pt>
                <c:pt idx="78">
                  <c:v>0.70542385189258805</c:v>
                </c:pt>
                <c:pt idx="79">
                  <c:v>0.70910605374393065</c:v>
                </c:pt>
                <c:pt idx="80">
                  <c:v>0.7127422280721315</c:v>
                </c:pt>
                <c:pt idx="81">
                  <c:v>0.71633295022122989</c:v>
                </c:pt>
                <c:pt idx="82">
                  <c:v>0.71987878834346453</c:v>
                </c:pt>
                <c:pt idx="83">
                  <c:v>0.72338030348917126</c:v>
                </c:pt>
                <c:pt idx="84">
                  <c:v>0.72683804969555665</c:v>
                </c:pt>
                <c:pt idx="85">
                  <c:v>0.73025257407436217</c:v>
                </c:pt>
                <c:pt idx="86">
                  <c:v>0.73362441689843261</c:v>
                </c:pt>
                <c:pt idx="87">
                  <c:v>0.73695411168720215</c:v>
                </c:pt>
                <c:pt idx="88">
                  <c:v>0.74024218529111208</c:v>
                </c:pt>
                <c:pt idx="89">
                  <c:v>0.74348915797497317</c:v>
                </c:pt>
                <c:pt idx="90">
                  <c:v>0.746695543500286</c:v>
                </c:pt>
                <c:pt idx="91">
                  <c:v>0.74986184920653243</c:v>
                </c:pt>
                <c:pt idx="92">
                  <c:v>0.75298857609145076</c:v>
                </c:pt>
                <c:pt idx="93">
                  <c:v>0.75607621889030763</c:v>
                </c:pt>
                <c:pt idx="94">
                  <c:v>0.75912526615417875</c:v>
                </c:pt>
                <c:pt idx="95">
                  <c:v>0.76213620032725149</c:v>
                </c:pt>
                <c:pt idx="96">
                  <c:v>0.76510949782316084</c:v>
                </c:pt>
                <c:pt idx="97">
                  <c:v>0.76804562910037133</c:v>
                </c:pt>
                <c:pt idx="98">
                  <c:v>0.77094505873661667</c:v>
                </c:pt>
                <c:pt idx="99">
                  <c:v>0.77380824550240901</c:v>
                </c:pt>
                <c:pt idx="100">
                  <c:v>0.77663564243362893</c:v>
                </c:pt>
                <c:pt idx="101">
                  <c:v>0.77942769690320857</c:v>
                </c:pt>
                <c:pt idx="102">
                  <c:v>0.78218485069191845</c:v>
                </c:pt>
                <c:pt idx="103">
                  <c:v>0.78490754005826946</c:v>
                </c:pt>
                <c:pt idx="104">
                  <c:v>0.78759619580754114</c:v>
                </c:pt>
              </c:numCache>
            </c:numRef>
          </c:yVal>
          <c:smooth val="0"/>
          <c:extLst>
            <c:ext xmlns:c16="http://schemas.microsoft.com/office/drawing/2014/chart" uri="{C3380CC4-5D6E-409C-BE32-E72D297353CC}">
              <c16:uniqueId val="{00000004-CAE3-45AC-BD7D-7619C01C227E}"/>
            </c:ext>
          </c:extLst>
        </c:ser>
        <c:ser>
          <c:idx val="5"/>
          <c:order val="5"/>
          <c:tx>
            <c:strRef>
              <c:f>Model!$A$17</c:f>
              <c:strCache>
                <c:ptCount val="1"/>
                <c:pt idx="0">
                  <c:v>SDG15</c:v>
                </c:pt>
              </c:strCache>
            </c:strRef>
          </c:tx>
          <c:spPr>
            <a:ln w="12700">
              <a:solidFill>
                <a:srgbClr val="56C02B"/>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Model!$B$17:$DB$17</c:f>
              <c:numCache>
                <c:formatCode>General</c:formatCode>
                <c:ptCount val="105"/>
                <c:pt idx="0">
                  <c:v>0.75303482055664062</c:v>
                </c:pt>
                <c:pt idx="1">
                  <c:v>0.75169790441625661</c:v>
                </c:pt>
                <c:pt idx="2">
                  <c:v>0.75037769972762736</c:v>
                </c:pt>
                <c:pt idx="3">
                  <c:v>0.74907399759760596</c:v>
                </c:pt>
                <c:pt idx="4">
                  <c:v>0.74778659174420992</c:v>
                </c:pt>
                <c:pt idx="5">
                  <c:v>0.74651527846398125</c:v>
                </c:pt>
                <c:pt idx="6">
                  <c:v>0.74525985659975547</c:v>
                </c:pt>
                <c:pt idx="7">
                  <c:v>0.74402012750883251</c:v>
                </c:pt>
                <c:pt idx="8">
                  <c:v>0.74279589503154608</c:v>
                </c:pt>
                <c:pt idx="9">
                  <c:v>0.74546487530321282</c:v>
                </c:pt>
                <c:pt idx="10">
                  <c:v>0.74810049332148376</c:v>
                </c:pt>
                <c:pt idx="11">
                  <c:v>0.75070316611452637</c:v>
                </c:pt>
                <c:pt idx="12">
                  <c:v>0.75327330549765592</c:v>
                </c:pt>
                <c:pt idx="13">
                  <c:v>0.75581131813849634</c:v>
                </c:pt>
                <c:pt idx="14">
                  <c:v>0.75831760562132622</c:v>
                </c:pt>
                <c:pt idx="15">
                  <c:v>0.76079256451062072</c:v>
                </c:pt>
                <c:pt idx="16">
                  <c:v>0.7632365864137991</c:v>
                </c:pt>
                <c:pt idx="17">
                  <c:v>0.76138238589864371</c:v>
                </c:pt>
                <c:pt idx="18">
                  <c:v>0.75955136288992775</c:v>
                </c:pt>
                <c:pt idx="19">
                  <c:v>0.75774322766882074</c:v>
                </c:pt>
                <c:pt idx="20">
                  <c:v>0.75595769413797764</c:v>
                </c:pt>
                <c:pt idx="21">
                  <c:v>0.75419447977627008</c:v>
                </c:pt>
                <c:pt idx="22">
                  <c:v>0.75245330559408385</c:v>
                </c:pt>
                <c:pt idx="23">
                  <c:v>0.75073389608917496</c:v>
                </c:pt>
                <c:pt idx="24">
                  <c:v>0.74903597920307741</c:v>
                </c:pt>
                <c:pt idx="25">
                  <c:v>0.75217302946303899</c:v>
                </c:pt>
                <c:pt idx="26">
                  <c:v>0.75527086659475096</c:v>
                </c:pt>
                <c:pt idx="27">
                  <c:v>0.75832998076231661</c:v>
                </c:pt>
                <c:pt idx="28">
                  <c:v>0.76135085600278762</c:v>
                </c:pt>
                <c:pt idx="29">
                  <c:v>0.76433397030275274</c:v>
                </c:pt>
                <c:pt idx="30">
                  <c:v>0.76727979567396831</c:v>
                </c:pt>
                <c:pt idx="31">
                  <c:v>0.77018879822804376</c:v>
                </c:pt>
                <c:pt idx="32">
                  <c:v>0.77306143825019324</c:v>
                </c:pt>
                <c:pt idx="33">
                  <c:v>0.76926955012436071</c:v>
                </c:pt>
                <c:pt idx="34">
                  <c:v>0.76552506060010117</c:v>
                </c:pt>
                <c:pt idx="35">
                  <c:v>0.76182737719489479</c:v>
                </c:pt>
                <c:pt idx="36">
                  <c:v>0.75817591483225355</c:v>
                </c:pt>
                <c:pt idx="37">
                  <c:v>0.75457009574914535</c:v>
                </c:pt>
                <c:pt idx="38">
                  <c:v>0.75100934940457598</c:v>
                </c:pt>
                <c:pt idx="39">
                  <c:v>0.74749311238931371</c:v>
                </c:pt>
                <c:pt idx="40">
                  <c:v>0.74402082833674221</c:v>
                </c:pt>
                <c:pt idx="41">
                  <c:v>0.74646332768712276</c:v>
                </c:pt>
                <c:pt idx="42">
                  <c:v>0.74887529579562362</c:v>
                </c:pt>
                <c:pt idx="43">
                  <c:v>0.7512571143027682</c:v>
                </c:pt>
                <c:pt idx="44">
                  <c:v>0.75360916007857348</c:v>
                </c:pt>
                <c:pt idx="45">
                  <c:v>0.75593180528218118</c:v>
                </c:pt>
                <c:pt idx="46">
                  <c:v>0.75822541742074379</c:v>
                </c:pt>
                <c:pt idx="47">
                  <c:v>0.76049035940757437</c:v>
                </c:pt>
                <c:pt idx="48">
                  <c:v>0.76272698961956953</c:v>
                </c:pt>
                <c:pt idx="49">
                  <c:v>0.76569290223133224</c:v>
                </c:pt>
                <c:pt idx="50">
                  <c:v>0.76862174093544799</c:v>
                </c:pt>
                <c:pt idx="51">
                  <c:v>0.77151396915576231</c:v>
                </c:pt>
                <c:pt idx="52">
                  <c:v>0.7743700445233227</c:v>
                </c:pt>
                <c:pt idx="53">
                  <c:v>0.7771904189487886</c:v>
                </c:pt>
                <c:pt idx="54">
                  <c:v>0.7799755386939361</c:v>
                </c:pt>
                <c:pt idx="55">
                  <c:v>0.78272584444226934</c:v>
                </c:pt>
                <c:pt idx="56">
                  <c:v>0.78544177136874838</c:v>
                </c:pt>
                <c:pt idx="57">
                  <c:v>0.78812374920864636</c:v>
                </c:pt>
                <c:pt idx="58">
                  <c:v>0.79077220232554568</c:v>
                </c:pt>
                <c:pt idx="59">
                  <c:v>0.79338754977848369</c:v>
                </c:pt>
                <c:pt idx="60">
                  <c:v>0.79597020538826002</c:v>
                </c:pt>
                <c:pt idx="61">
                  <c:v>0.79852057780291419</c:v>
                </c:pt>
                <c:pt idx="62">
                  <c:v>0.8010390705623851</c:v>
                </c:pt>
                <c:pt idx="63">
                  <c:v>0.80352608216236265</c:v>
                </c:pt>
                <c:pt idx="64">
                  <c:v>0.8059820061173405</c:v>
                </c:pt>
                <c:pt idx="65">
                  <c:v>0.80840723102288115</c:v>
                </c:pt>
                <c:pt idx="66">
                  <c:v>0.81080214061710254</c:v>
                </c:pt>
                <c:pt idx="67">
                  <c:v>0.81316711384139617</c:v>
                </c:pt>
                <c:pt idx="68">
                  <c:v>0.81550252490038611</c:v>
                </c:pt>
                <c:pt idx="69">
                  <c:v>0.81780874332113862</c:v>
                </c:pt>
                <c:pt idx="70">
                  <c:v>0.82008613401163177</c:v>
                </c:pt>
                <c:pt idx="71">
                  <c:v>0.82233505731849377</c:v>
                </c:pt>
                <c:pt idx="72">
                  <c:v>0.82455586908402001</c:v>
                </c:pt>
                <c:pt idx="73">
                  <c:v>0.82674892070247719</c:v>
                </c:pt>
                <c:pt idx="74">
                  <c:v>0.82891455917570356</c:v>
                </c:pt>
                <c:pt idx="75">
                  <c:v>0.8310531271680146</c:v>
                </c:pt>
                <c:pt idx="76">
                  <c:v>0.83316496306042176</c:v>
                </c:pt>
                <c:pt idx="77">
                  <c:v>0.83525040100417391</c:v>
                </c:pt>
                <c:pt idx="78">
                  <c:v>0.83730977097362913</c:v>
                </c:pt>
                <c:pt idx="79">
                  <c:v>0.8393433988184662</c:v>
                </c:pt>
                <c:pt idx="80">
                  <c:v>0.84135160631524275</c:v>
                </c:pt>
                <c:pt idx="81">
                  <c:v>0.84333471121830961</c:v>
                </c:pt>
                <c:pt idx="82">
                  <c:v>0.84529302731008815</c:v>
                </c:pt>
                <c:pt idx="83">
                  <c:v>0.84722686445071949</c:v>
                </c:pt>
                <c:pt idx="84">
                  <c:v>0.84913652862709288</c:v>
                </c:pt>
                <c:pt idx="85">
                  <c:v>0.8510223220012616</c:v>
                </c:pt>
                <c:pt idx="86">
                  <c:v>0.85288454295825322</c:v>
                </c:pt>
                <c:pt idx="87">
                  <c:v>0.85472348615328242</c:v>
                </c:pt>
                <c:pt idx="88">
                  <c:v>0.85653944255837378</c:v>
                </c:pt>
                <c:pt idx="89">
                  <c:v>0.85833269950840152</c:v>
                </c:pt>
                <c:pt idx="90">
                  <c:v>0.86010354074655393</c:v>
                </c:pt>
                <c:pt idx="91">
                  <c:v>0.86185224646922942</c:v>
                </c:pt>
                <c:pt idx="92">
                  <c:v>0.86357909337037142</c:v>
                </c:pt>
                <c:pt idx="93">
                  <c:v>0.86528435468524911</c:v>
                </c:pt>
                <c:pt idx="94">
                  <c:v>0.86696830023369087</c:v>
                </c:pt>
                <c:pt idx="95">
                  <c:v>0.86863119646277709</c:v>
                </c:pt>
                <c:pt idx="96">
                  <c:v>0.87027330648899981</c:v>
                </c:pt>
                <c:pt idx="97">
                  <c:v>0.87189489013989474</c:v>
                </c:pt>
                <c:pt idx="98">
                  <c:v>0.87349620399515349</c:v>
                </c:pt>
                <c:pt idx="99">
                  <c:v>0.8750775014272214</c:v>
                </c:pt>
                <c:pt idx="100">
                  <c:v>0.87663903264138854</c:v>
                </c:pt>
                <c:pt idx="101">
                  <c:v>0.87818104471537861</c:v>
                </c:pt>
                <c:pt idx="102">
                  <c:v>0.87970378163844376</c:v>
                </c:pt>
                <c:pt idx="103">
                  <c:v>0.88120748434997065</c:v>
                </c:pt>
                <c:pt idx="104">
                  <c:v>0.88269239077760342</c:v>
                </c:pt>
              </c:numCache>
            </c:numRef>
          </c:yVal>
          <c:smooth val="0"/>
          <c:extLst>
            <c:ext xmlns:c16="http://schemas.microsoft.com/office/drawing/2014/chart" uri="{C3380CC4-5D6E-409C-BE32-E72D297353CC}">
              <c16:uniqueId val="{00000005-CAE3-45AC-BD7D-7619C01C227E}"/>
            </c:ext>
          </c:extLst>
        </c:ser>
        <c:ser>
          <c:idx val="6"/>
          <c:order val="6"/>
          <c:tx>
            <c:strRef>
              <c:f>Model!$A$18</c:f>
              <c:strCache>
                <c:ptCount val="1"/>
                <c:pt idx="0">
                  <c:v>SDG16</c:v>
                </c:pt>
              </c:strCache>
            </c:strRef>
          </c:tx>
          <c:spPr>
            <a:ln w="12700">
              <a:solidFill>
                <a:srgbClr val="00689D"/>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Model!$B$18:$DB$18</c:f>
              <c:numCache>
                <c:formatCode>General</c:formatCode>
                <c:ptCount val="105"/>
                <c:pt idx="0">
                  <c:v>0.51361991882324221</c:v>
                </c:pt>
                <c:pt idx="1">
                  <c:v>0.50728086355957469</c:v>
                </c:pt>
                <c:pt idx="2">
                  <c:v>0.50310192022174616</c:v>
                </c:pt>
                <c:pt idx="3">
                  <c:v>0.49906901522889691</c:v>
                </c:pt>
                <c:pt idx="4">
                  <c:v>0.49518005271120646</c:v>
                </c:pt>
                <c:pt idx="5">
                  <c:v>0.49143289629587789</c:v>
                </c:pt>
                <c:pt idx="6">
                  <c:v>0.48782537932175629</c:v>
                </c:pt>
                <c:pt idx="7">
                  <c:v>0.48435531450970498</c:v>
                </c:pt>
                <c:pt idx="8">
                  <c:v>0.4810205030868881</c:v>
                </c:pt>
                <c:pt idx="9">
                  <c:v>0.47660588991318087</c:v>
                </c:pt>
                <c:pt idx="10">
                  <c:v>0.47222036043034277</c:v>
                </c:pt>
                <c:pt idx="11">
                  <c:v>0.4678630117508083</c:v>
                </c:pt>
                <c:pt idx="12">
                  <c:v>0.46353301438516076</c:v>
                </c:pt>
                <c:pt idx="13">
                  <c:v>0.45922960948566555</c:v>
                </c:pt>
                <c:pt idx="14">
                  <c:v>0.45495210605373787</c:v>
                </c:pt>
                <c:pt idx="15">
                  <c:v>0.45069987812177875</c:v>
                </c:pt>
                <c:pt idx="16">
                  <c:v>0.44647236191936962</c:v>
                </c:pt>
                <c:pt idx="17">
                  <c:v>0.44364664867132991</c:v>
                </c:pt>
                <c:pt idx="18">
                  <c:v>0.44080193296462011</c:v>
                </c:pt>
                <c:pt idx="19">
                  <c:v>0.43793953115121709</c:v>
                </c:pt>
                <c:pt idx="20">
                  <c:v>0.43506068733965414</c:v>
                </c:pt>
                <c:pt idx="21">
                  <c:v>0.43216657755936821</c:v>
                </c:pt>
                <c:pt idx="22">
                  <c:v>0.42925831384260721</c:v>
                </c:pt>
                <c:pt idx="23">
                  <c:v>0.42633694821256629</c:v>
                </c:pt>
                <c:pt idx="24">
                  <c:v>0.42340347656729754</c:v>
                </c:pt>
                <c:pt idx="25">
                  <c:v>0.42135469611188153</c:v>
                </c:pt>
                <c:pt idx="26">
                  <c:v>0.41925372197306265</c:v>
                </c:pt>
                <c:pt idx="27">
                  <c:v>0.41710325822212707</c:v>
                </c:pt>
                <c:pt idx="28">
                  <c:v>0.4149059074147875</c:v>
                </c:pt>
                <c:pt idx="29">
                  <c:v>0.41266417464254634</c:v>
                </c:pt>
                <c:pt idx="30">
                  <c:v>0.41038047142909773</c:v>
                </c:pt>
                <c:pt idx="31">
                  <c:v>0.4080571194713255</c:v>
                </c:pt>
                <c:pt idx="32">
                  <c:v>0.40569635422581019</c:v>
                </c:pt>
                <c:pt idx="33">
                  <c:v>0.40734686197670877</c:v>
                </c:pt>
                <c:pt idx="34">
                  <c:v>0.40917279938516815</c:v>
                </c:pt>
                <c:pt idx="35">
                  <c:v>0.41118351443498141</c:v>
                </c:pt>
                <c:pt idx="36">
                  <c:v>0.41338914900089485</c:v>
                </c:pt>
                <c:pt idx="37">
                  <c:v>0.41580071917760281</c:v>
                </c:pt>
                <c:pt idx="38">
                  <c:v>0.41843020599961273</c:v>
                </c:pt>
                <c:pt idx="39">
                  <c:v>0.42129065805280919</c:v>
                </c:pt>
                <c:pt idx="40">
                  <c:v>0.42439630773466863</c:v>
                </c:pt>
                <c:pt idx="41">
                  <c:v>0.42033896476389221</c:v>
                </c:pt>
                <c:pt idx="42">
                  <c:v>0.41635146481796809</c:v>
                </c:pt>
                <c:pt idx="43">
                  <c:v>0.41243373563299979</c:v>
                </c:pt>
                <c:pt idx="44">
                  <c:v>0.40858576658968815</c:v>
                </c:pt>
                <c:pt idx="45">
                  <c:v>0.40480760807866289</c:v>
                </c:pt>
                <c:pt idx="46">
                  <c:v>0.40109937121961703</c:v>
                </c:pt>
                <c:pt idx="47">
                  <c:v>0.39746122794156513</c:v>
                </c:pt>
                <c:pt idx="48">
                  <c:v>0.39389341143224538</c:v>
                </c:pt>
                <c:pt idx="49">
                  <c:v>0.39039621696563026</c:v>
                </c:pt>
                <c:pt idx="50">
                  <c:v>0.38695270138749127</c:v>
                </c:pt>
                <c:pt idx="51">
                  <c:v>0.38356595166036012</c:v>
                </c:pt>
                <c:pt idx="52">
                  <c:v>0.38023915805116693</c:v>
                </c:pt>
                <c:pt idx="53">
                  <c:v>0.37697564776397813</c:v>
                </c:pt>
                <c:pt idx="54">
                  <c:v>0.37377892151538911</c:v>
                </c:pt>
                <c:pt idx="55">
                  <c:v>0.3706526937243973</c:v>
                </c:pt>
                <c:pt idx="56">
                  <c:v>0.36760093710028252</c:v>
                </c:pt>
                <c:pt idx="57">
                  <c:v>0.3646279325493133</c:v>
                </c:pt>
                <c:pt idx="58">
                  <c:v>0.36173644592131154</c:v>
                </c:pt>
                <c:pt idx="59">
                  <c:v>0.35892947282859172</c:v>
                </c:pt>
                <c:pt idx="60">
                  <c:v>0.35621031108958928</c:v>
                </c:pt>
                <c:pt idx="61">
                  <c:v>0.35358208320718104</c:v>
                </c:pt>
                <c:pt idx="62">
                  <c:v>0.35104540765126946</c:v>
                </c:pt>
                <c:pt idx="63">
                  <c:v>0.34860091056708886</c:v>
                </c:pt>
                <c:pt idx="64">
                  <c:v>0.34624930644574364</c:v>
                </c:pt>
                <c:pt idx="65">
                  <c:v>0.34399139941251428</c:v>
                </c:pt>
                <c:pt idx="66">
                  <c:v>0.34182808451501839</c:v>
                </c:pt>
                <c:pt idx="67">
                  <c:v>0.3397603490173125</c:v>
                </c:pt>
                <c:pt idx="68">
                  <c:v>0.3377892737053696</c:v>
                </c:pt>
                <c:pt idx="69">
                  <c:v>0.33591603420874605</c:v>
                </c:pt>
                <c:pt idx="70">
                  <c:v>0.33414190234265562</c:v>
                </c:pt>
                <c:pt idx="71">
                  <c:v>0.33246824747410314</c:v>
                </c:pt>
                <c:pt idx="72">
                  <c:v>0.3308965379151948</c:v>
                </c:pt>
                <c:pt idx="73">
                  <c:v>0.32942834234623719</c:v>
                </c:pt>
                <c:pt idx="74">
                  <c:v>0.32806533127076226</c:v>
                </c:pt>
                <c:pt idx="75">
                  <c:v>0.32680927850417252</c:v>
                </c:pt>
                <c:pt idx="76">
                  <c:v>0.32566206265374348</c:v>
                </c:pt>
                <c:pt idx="77">
                  <c:v>0.32462566857371455</c:v>
                </c:pt>
                <c:pt idx="78">
                  <c:v>0.32370218884757612</c:v>
                </c:pt>
                <c:pt idx="79">
                  <c:v>0.32289382529782035</c:v>
                </c:pt>
                <c:pt idx="80">
                  <c:v>0.32220289052312928</c:v>
                </c:pt>
                <c:pt idx="81">
                  <c:v>0.32163180946270525</c:v>
                </c:pt>
                <c:pt idx="82">
                  <c:v>0.32118312098720697</c:v>
                </c:pt>
                <c:pt idx="83">
                  <c:v>0.32085947951553384</c:v>
                </c:pt>
                <c:pt idx="84">
                  <c:v>0.32066365665650703</c:v>
                </c:pt>
                <c:pt idx="85">
                  <c:v>0.32059854287432044</c:v>
                </c:pt>
                <c:pt idx="86">
                  <c:v>0.32066447301734963</c:v>
                </c:pt>
                <c:pt idx="87">
                  <c:v>0.32086177769418839</c:v>
                </c:pt>
                <c:pt idx="88">
                  <c:v>0.32119078483372449</c:v>
                </c:pt>
                <c:pt idx="89">
                  <c:v>0.32165181959249273</c:v>
                </c:pt>
                <c:pt idx="90">
                  <c:v>0.32224520421063013</c:v>
                </c:pt>
                <c:pt idx="91">
                  <c:v>0.32297125781900293</c:v>
                </c:pt>
                <c:pt idx="92">
                  <c:v>0.32383029620015052</c:v>
                </c:pt>
                <c:pt idx="93">
                  <c:v>0.32482263150574986</c:v>
                </c:pt>
                <c:pt idx="94">
                  <c:v>0.32594857193334498</c:v>
                </c:pt>
                <c:pt idx="95">
                  <c:v>0.32720842136511352</c:v>
                </c:pt>
                <c:pt idx="96">
                  <c:v>0.32860247897145473</c:v>
                </c:pt>
                <c:pt idx="97">
                  <c:v>0.33013103878218336</c:v>
                </c:pt>
                <c:pt idx="98">
                  <c:v>0.33179438922810323</c:v>
                </c:pt>
                <c:pt idx="99">
                  <c:v>0.33359281265571095</c:v>
                </c:pt>
                <c:pt idx="100">
                  <c:v>0.33552658481774889</c:v>
                </c:pt>
                <c:pt idx="101">
                  <c:v>0.33759597434228622</c:v>
                </c:pt>
                <c:pt idx="102">
                  <c:v>0.33980124218295799</c:v>
                </c:pt>
                <c:pt idx="103">
                  <c:v>0.34214264105293624</c:v>
                </c:pt>
                <c:pt idx="104">
                  <c:v>0.34462041484514677</c:v>
                </c:pt>
              </c:numCache>
            </c:numRef>
          </c:yVal>
          <c:smooth val="0"/>
          <c:extLst>
            <c:ext xmlns:c16="http://schemas.microsoft.com/office/drawing/2014/chart" uri="{C3380CC4-5D6E-409C-BE32-E72D297353CC}">
              <c16:uniqueId val="{00000006-CAE3-45AC-BD7D-7619C01C227E}"/>
            </c:ext>
          </c:extLst>
        </c:ser>
        <c:ser>
          <c:idx val="7"/>
          <c:order val="7"/>
          <c:tx>
            <c:strRef>
              <c:f>Model!$A$19</c:f>
              <c:strCache>
                <c:ptCount val="1"/>
                <c:pt idx="0">
                  <c:v>SDG17</c:v>
                </c:pt>
              </c:strCache>
            </c:strRef>
          </c:tx>
          <c:spPr>
            <a:ln w="12700">
              <a:solidFill>
                <a:srgbClr val="19486A"/>
              </a:solidFill>
              <a:prstDash val="solid"/>
            </a:ln>
          </c:spPr>
          <c:marker>
            <c:symbol val="none"/>
          </c:marker>
          <c:xVal>
            <c:numRef>
              <c:f>Model!$B$2:$DB$2</c:f>
              <c:numCache>
                <c:formatCode>General</c:formatCode>
                <c:ptCount val="105"/>
                <c:pt idx="0">
                  <c:v>2017</c:v>
                </c:pt>
                <c:pt idx="1">
                  <c:v>2017.125</c:v>
                </c:pt>
                <c:pt idx="2">
                  <c:v>2017.25</c:v>
                </c:pt>
                <c:pt idx="3">
                  <c:v>2017.375</c:v>
                </c:pt>
                <c:pt idx="4">
                  <c:v>2017.5</c:v>
                </c:pt>
                <c:pt idx="5">
                  <c:v>2017.625</c:v>
                </c:pt>
                <c:pt idx="6">
                  <c:v>2017.75</c:v>
                </c:pt>
                <c:pt idx="7">
                  <c:v>2017.875</c:v>
                </c:pt>
                <c:pt idx="8">
                  <c:v>2018</c:v>
                </c:pt>
                <c:pt idx="9">
                  <c:v>2018.125</c:v>
                </c:pt>
                <c:pt idx="10">
                  <c:v>2018.25</c:v>
                </c:pt>
                <c:pt idx="11">
                  <c:v>2018.375</c:v>
                </c:pt>
                <c:pt idx="12">
                  <c:v>2018.5</c:v>
                </c:pt>
                <c:pt idx="13">
                  <c:v>2018.625</c:v>
                </c:pt>
                <c:pt idx="14">
                  <c:v>2018.75</c:v>
                </c:pt>
                <c:pt idx="15">
                  <c:v>2018.875</c:v>
                </c:pt>
                <c:pt idx="16">
                  <c:v>2019</c:v>
                </c:pt>
                <c:pt idx="17">
                  <c:v>2019.125</c:v>
                </c:pt>
                <c:pt idx="18">
                  <c:v>2019.25</c:v>
                </c:pt>
                <c:pt idx="19">
                  <c:v>2019.375</c:v>
                </c:pt>
                <c:pt idx="20">
                  <c:v>2019.5</c:v>
                </c:pt>
                <c:pt idx="21">
                  <c:v>2019.625</c:v>
                </c:pt>
                <c:pt idx="22">
                  <c:v>2019.75</c:v>
                </c:pt>
                <c:pt idx="23">
                  <c:v>2019.875</c:v>
                </c:pt>
                <c:pt idx="24">
                  <c:v>2020</c:v>
                </c:pt>
                <c:pt idx="25">
                  <c:v>2020.125</c:v>
                </c:pt>
                <c:pt idx="26">
                  <c:v>2020.25</c:v>
                </c:pt>
                <c:pt idx="27">
                  <c:v>2020.375</c:v>
                </c:pt>
                <c:pt idx="28">
                  <c:v>2020.5</c:v>
                </c:pt>
                <c:pt idx="29">
                  <c:v>2020.625</c:v>
                </c:pt>
                <c:pt idx="30">
                  <c:v>2020.75</c:v>
                </c:pt>
                <c:pt idx="31">
                  <c:v>2020.875</c:v>
                </c:pt>
                <c:pt idx="32">
                  <c:v>2021</c:v>
                </c:pt>
                <c:pt idx="33">
                  <c:v>2021.125</c:v>
                </c:pt>
                <c:pt idx="34">
                  <c:v>2021.25</c:v>
                </c:pt>
                <c:pt idx="35">
                  <c:v>2021.375</c:v>
                </c:pt>
                <c:pt idx="36">
                  <c:v>2021.5</c:v>
                </c:pt>
                <c:pt idx="37">
                  <c:v>2021.625</c:v>
                </c:pt>
                <c:pt idx="38">
                  <c:v>2021.75</c:v>
                </c:pt>
                <c:pt idx="39">
                  <c:v>2021.875</c:v>
                </c:pt>
                <c:pt idx="40">
                  <c:v>2022</c:v>
                </c:pt>
                <c:pt idx="41">
                  <c:v>2022.125</c:v>
                </c:pt>
                <c:pt idx="42">
                  <c:v>2022.25</c:v>
                </c:pt>
                <c:pt idx="43">
                  <c:v>2022.375</c:v>
                </c:pt>
                <c:pt idx="44">
                  <c:v>2022.5</c:v>
                </c:pt>
                <c:pt idx="45">
                  <c:v>2022.625</c:v>
                </c:pt>
                <c:pt idx="46">
                  <c:v>2022.75</c:v>
                </c:pt>
                <c:pt idx="47">
                  <c:v>2022.875</c:v>
                </c:pt>
                <c:pt idx="48">
                  <c:v>2023</c:v>
                </c:pt>
                <c:pt idx="49">
                  <c:v>2023.125</c:v>
                </c:pt>
                <c:pt idx="50">
                  <c:v>2023.25</c:v>
                </c:pt>
                <c:pt idx="51">
                  <c:v>2023.375</c:v>
                </c:pt>
                <c:pt idx="52">
                  <c:v>2023.5</c:v>
                </c:pt>
                <c:pt idx="53">
                  <c:v>2023.625</c:v>
                </c:pt>
                <c:pt idx="54">
                  <c:v>2023.75</c:v>
                </c:pt>
                <c:pt idx="55">
                  <c:v>2023.875</c:v>
                </c:pt>
                <c:pt idx="56">
                  <c:v>2024</c:v>
                </c:pt>
                <c:pt idx="57">
                  <c:v>2024.125</c:v>
                </c:pt>
                <c:pt idx="58">
                  <c:v>2024.25</c:v>
                </c:pt>
                <c:pt idx="59">
                  <c:v>2024.375</c:v>
                </c:pt>
                <c:pt idx="60">
                  <c:v>2024.5</c:v>
                </c:pt>
                <c:pt idx="61">
                  <c:v>2024.625</c:v>
                </c:pt>
                <c:pt idx="62">
                  <c:v>2024.75</c:v>
                </c:pt>
                <c:pt idx="63">
                  <c:v>2024.875</c:v>
                </c:pt>
                <c:pt idx="64">
                  <c:v>2025</c:v>
                </c:pt>
                <c:pt idx="65">
                  <c:v>2025.125</c:v>
                </c:pt>
                <c:pt idx="66">
                  <c:v>2025.25</c:v>
                </c:pt>
                <c:pt idx="67">
                  <c:v>2025.375</c:v>
                </c:pt>
                <c:pt idx="68">
                  <c:v>2025.5</c:v>
                </c:pt>
                <c:pt idx="69">
                  <c:v>2025.625</c:v>
                </c:pt>
                <c:pt idx="70">
                  <c:v>2025.75</c:v>
                </c:pt>
                <c:pt idx="71">
                  <c:v>2025.875</c:v>
                </c:pt>
                <c:pt idx="72">
                  <c:v>2026</c:v>
                </c:pt>
                <c:pt idx="73">
                  <c:v>2026.125</c:v>
                </c:pt>
                <c:pt idx="74">
                  <c:v>2026.25</c:v>
                </c:pt>
                <c:pt idx="75">
                  <c:v>2026.375</c:v>
                </c:pt>
                <c:pt idx="76">
                  <c:v>2026.5</c:v>
                </c:pt>
                <c:pt idx="77">
                  <c:v>2026.625</c:v>
                </c:pt>
                <c:pt idx="78">
                  <c:v>2026.75</c:v>
                </c:pt>
                <c:pt idx="79">
                  <c:v>2026.875</c:v>
                </c:pt>
                <c:pt idx="80">
                  <c:v>2027</c:v>
                </c:pt>
                <c:pt idx="81">
                  <c:v>2027.125</c:v>
                </c:pt>
                <c:pt idx="82">
                  <c:v>2027.25</c:v>
                </c:pt>
                <c:pt idx="83">
                  <c:v>2027.375</c:v>
                </c:pt>
                <c:pt idx="84">
                  <c:v>2027.5</c:v>
                </c:pt>
                <c:pt idx="85">
                  <c:v>2027.625</c:v>
                </c:pt>
                <c:pt idx="86">
                  <c:v>2027.75</c:v>
                </c:pt>
                <c:pt idx="87">
                  <c:v>2027.875</c:v>
                </c:pt>
                <c:pt idx="88">
                  <c:v>2028</c:v>
                </c:pt>
                <c:pt idx="89">
                  <c:v>2028.125</c:v>
                </c:pt>
                <c:pt idx="90">
                  <c:v>2028.25</c:v>
                </c:pt>
                <c:pt idx="91">
                  <c:v>2028.375</c:v>
                </c:pt>
                <c:pt idx="92">
                  <c:v>2028.5</c:v>
                </c:pt>
                <c:pt idx="93">
                  <c:v>2028.625</c:v>
                </c:pt>
                <c:pt idx="94">
                  <c:v>2028.75</c:v>
                </c:pt>
                <c:pt idx="95">
                  <c:v>2028.875</c:v>
                </c:pt>
                <c:pt idx="96">
                  <c:v>2029</c:v>
                </c:pt>
                <c:pt idx="97">
                  <c:v>2029.125</c:v>
                </c:pt>
                <c:pt idx="98">
                  <c:v>2029.25</c:v>
                </c:pt>
                <c:pt idx="99">
                  <c:v>2029.375</c:v>
                </c:pt>
                <c:pt idx="100">
                  <c:v>2029.5</c:v>
                </c:pt>
                <c:pt idx="101">
                  <c:v>2029.625</c:v>
                </c:pt>
                <c:pt idx="102">
                  <c:v>2029.75</c:v>
                </c:pt>
                <c:pt idx="103">
                  <c:v>2029.875</c:v>
                </c:pt>
                <c:pt idx="104">
                  <c:v>2030</c:v>
                </c:pt>
              </c:numCache>
            </c:numRef>
          </c:xVal>
          <c:yVal>
            <c:numRef>
              <c:f>Model!$B$19:$DB$19</c:f>
              <c:numCache>
                <c:formatCode>General</c:formatCode>
                <c:ptCount val="105"/>
                <c:pt idx="0">
                  <c:v>0.50487140655517582</c:v>
                </c:pt>
                <c:pt idx="1">
                  <c:v>0.50423533240245799</c:v>
                </c:pt>
                <c:pt idx="2">
                  <c:v>0.50360720917664914</c:v>
                </c:pt>
                <c:pt idx="3">
                  <c:v>0.50298693749116286</c:v>
                </c:pt>
                <c:pt idx="4">
                  <c:v>0.50237441920174519</c:v>
                </c:pt>
                <c:pt idx="5">
                  <c:v>0.5017695573909452</c:v>
                </c:pt>
                <c:pt idx="6">
                  <c:v>0.50117225635278029</c:v>
                </c:pt>
                <c:pt idx="7">
                  <c:v>0.50058242157759236</c:v>
                </c:pt>
                <c:pt idx="8">
                  <c:v>0.49999995973709432</c:v>
                </c:pt>
                <c:pt idx="9">
                  <c:v>0.4999999556100711</c:v>
                </c:pt>
                <c:pt idx="10">
                  <c:v>0.49999995153463567</c:v>
                </c:pt>
                <c:pt idx="11">
                  <c:v>0.49999994751014321</c:v>
                </c:pt>
                <c:pt idx="12">
                  <c:v>0.49999994353595689</c:v>
                </c:pt>
                <c:pt idx="13">
                  <c:v>0.4999999396114479</c:v>
                </c:pt>
                <c:pt idx="14">
                  <c:v>0.49999993573599527</c:v>
                </c:pt>
                <c:pt idx="15">
                  <c:v>0.49999993190898584</c:v>
                </c:pt>
                <c:pt idx="16">
                  <c:v>0.49999992812981398</c:v>
                </c:pt>
                <c:pt idx="17">
                  <c:v>0.49999992640019392</c:v>
                </c:pt>
                <c:pt idx="18">
                  <c:v>0.49999992469219406</c:v>
                </c:pt>
                <c:pt idx="19">
                  <c:v>0.49999992300554424</c:v>
                </c:pt>
                <c:pt idx="20">
                  <c:v>0.49999992133997756</c:v>
                </c:pt>
                <c:pt idx="21">
                  <c:v>0.49999991969523044</c:v>
                </c:pt>
                <c:pt idx="22">
                  <c:v>0.49999991807104266</c:v>
                </c:pt>
                <c:pt idx="23">
                  <c:v>0.49999991646715719</c:v>
                </c:pt>
                <c:pt idx="24">
                  <c:v>0.4999999148833203</c:v>
                </c:pt>
                <c:pt idx="25">
                  <c:v>0.49499991594727877</c:v>
                </c:pt>
                <c:pt idx="26">
                  <c:v>0.49006241699793779</c:v>
                </c:pt>
                <c:pt idx="27">
                  <c:v>0.48518663678546359</c:v>
                </c:pt>
                <c:pt idx="28">
                  <c:v>0.48037180382564532</c:v>
                </c:pt>
                <c:pt idx="29">
                  <c:v>0.47561715627782475</c:v>
                </c:pt>
                <c:pt idx="30">
                  <c:v>0.47092194182435193</c:v>
                </c:pt>
                <c:pt idx="31">
                  <c:v>0.46628541755154751</c:v>
                </c:pt>
                <c:pt idx="32">
                  <c:v>0.46170684983215315</c:v>
                </c:pt>
                <c:pt idx="33">
                  <c:v>0.46240284704921708</c:v>
                </c:pt>
                <c:pt idx="34">
                  <c:v>0.46309014430106771</c:v>
                </c:pt>
                <c:pt idx="35">
                  <c:v>0.46376885033727017</c:v>
                </c:pt>
                <c:pt idx="36">
                  <c:v>0.46443907254802008</c:v>
                </c:pt>
                <c:pt idx="37">
                  <c:v>0.46510091698113565</c:v>
                </c:pt>
                <c:pt idx="38">
                  <c:v>0.46575448835883726</c:v>
                </c:pt>
                <c:pt idx="39">
                  <c:v>0.46639989009431759</c:v>
                </c:pt>
                <c:pt idx="40">
                  <c:v>0.46703722430810446</c:v>
                </c:pt>
                <c:pt idx="41">
                  <c:v>0.46244925900425315</c:v>
                </c:pt>
                <c:pt idx="42">
                  <c:v>0.45791864326670001</c:v>
                </c:pt>
                <c:pt idx="43">
                  <c:v>0.45344466022586627</c:v>
                </c:pt>
                <c:pt idx="44">
                  <c:v>0.44902660197304295</c:v>
                </c:pt>
                <c:pt idx="45">
                  <c:v>0.44466376944837993</c:v>
                </c:pt>
                <c:pt idx="46">
                  <c:v>0.44035547233027517</c:v>
                </c:pt>
                <c:pt idx="47">
                  <c:v>0.43610102892614672</c:v>
                </c:pt>
                <c:pt idx="48">
                  <c:v>0.43189976606456987</c:v>
                </c:pt>
                <c:pt idx="49">
                  <c:v>0.42775101898876272</c:v>
                </c:pt>
                <c:pt idx="50">
                  <c:v>0.42365413125140317</c:v>
                </c:pt>
                <c:pt idx="51">
                  <c:v>0.41960845461076063</c:v>
                </c:pt>
                <c:pt idx="52">
                  <c:v>0.41561334892812613</c:v>
                </c:pt>
                <c:pt idx="53">
                  <c:v>0.41166818206652456</c:v>
                </c:pt>
                <c:pt idx="54">
                  <c:v>0.407772329790693</c:v>
                </c:pt>
                <c:pt idx="55">
                  <c:v>0.40392517566830932</c:v>
                </c:pt>
                <c:pt idx="56">
                  <c:v>0.40012611097245543</c:v>
                </c:pt>
                <c:pt idx="57">
                  <c:v>0.39637453458529975</c:v>
                </c:pt>
                <c:pt idx="58">
                  <c:v>0.39266985290298351</c:v>
                </c:pt>
                <c:pt idx="59">
                  <c:v>0.3890114797416962</c:v>
                </c:pt>
                <c:pt idx="60">
                  <c:v>0.38539883624492499</c:v>
                </c:pt>
                <c:pt idx="61">
                  <c:v>0.38183135079186342</c:v>
                </c:pt>
                <c:pt idx="62">
                  <c:v>0.37830845890696513</c:v>
                </c:pt>
                <c:pt idx="63">
                  <c:v>0.37482960317062808</c:v>
                </c:pt>
                <c:pt idx="64">
                  <c:v>0.37139423313099523</c:v>
                </c:pt>
                <c:pt idx="65">
                  <c:v>0.36800180521685777</c:v>
                </c:pt>
                <c:pt idx="66">
                  <c:v>0.36465178265164705</c:v>
                </c:pt>
                <c:pt idx="67">
                  <c:v>0.36134363536850145</c:v>
                </c:pt>
                <c:pt idx="68">
                  <c:v>0.35807683992639516</c:v>
                </c:pt>
                <c:pt idx="69">
                  <c:v>0.35485087942731525</c:v>
                </c:pt>
                <c:pt idx="70">
                  <c:v>0.35166524343447381</c:v>
                </c:pt>
                <c:pt idx="71">
                  <c:v>0.34851942789154289</c:v>
                </c:pt>
                <c:pt idx="72">
                  <c:v>0.34541293504289861</c:v>
                </c:pt>
                <c:pt idx="73">
                  <c:v>0.34234527335486237</c:v>
                </c:pt>
                <c:pt idx="74">
                  <c:v>0.33931595743792659</c:v>
                </c:pt>
                <c:pt idx="75">
                  <c:v>0.3363245079699525</c:v>
                </c:pt>
                <c:pt idx="76">
                  <c:v>0.33337045162032808</c:v>
                </c:pt>
                <c:pt idx="77">
                  <c:v>0.33045332097507396</c:v>
                </c:pt>
                <c:pt idx="78">
                  <c:v>0.32757265446288553</c:v>
                </c:pt>
                <c:pt idx="79">
                  <c:v>0.32472799628209947</c:v>
                </c:pt>
                <c:pt idx="80">
                  <c:v>0.32191889632857323</c:v>
                </c:pt>
                <c:pt idx="81">
                  <c:v>0.31914491012446605</c:v>
                </c:pt>
                <c:pt idx="82">
                  <c:v>0.31640559874791024</c:v>
                </c:pt>
                <c:pt idx="83">
                  <c:v>0.31370052876356136</c:v>
                </c:pt>
                <c:pt idx="84">
                  <c:v>0.31102927215401682</c:v>
                </c:pt>
                <c:pt idx="85">
                  <c:v>0.3083914062520916</c:v>
                </c:pt>
                <c:pt idx="86">
                  <c:v>0.30578651367394044</c:v>
                </c:pt>
                <c:pt idx="87">
                  <c:v>0.30321418225301616</c:v>
                </c:pt>
                <c:pt idx="88">
                  <c:v>0.30067400497485347</c:v>
                </c:pt>
                <c:pt idx="89">
                  <c:v>0.29816557991266779</c:v>
                </c:pt>
                <c:pt idx="90">
                  <c:v>0.29568851016375947</c:v>
                </c:pt>
                <c:pt idx="91">
                  <c:v>0.29324240378671246</c:v>
                </c:pt>
                <c:pt idx="92">
                  <c:v>0.29082687373937854</c:v>
                </c:pt>
                <c:pt idx="93">
                  <c:v>0.28844153781763632</c:v>
                </c:pt>
                <c:pt idx="94">
                  <c:v>0.28608601859491589</c:v>
                </c:pt>
                <c:pt idx="95">
                  <c:v>0.28375994336247945</c:v>
                </c:pt>
                <c:pt idx="96">
                  <c:v>0.28146294407044847</c:v>
                </c:pt>
                <c:pt idx="97">
                  <c:v>0.27919465726956788</c:v>
                </c:pt>
                <c:pt idx="98">
                  <c:v>0.27695472405369831</c:v>
                </c:pt>
                <c:pt idx="99">
                  <c:v>0.27474279000302709</c:v>
                </c:pt>
                <c:pt idx="100">
                  <c:v>0.27255850512798924</c:v>
                </c:pt>
                <c:pt idx="101">
                  <c:v>0.27040152381388938</c:v>
                </c:pt>
                <c:pt idx="102">
                  <c:v>0.26827150476621575</c:v>
                </c:pt>
                <c:pt idx="103">
                  <c:v>0.26616811095663806</c:v>
                </c:pt>
                <c:pt idx="104">
                  <c:v>0.26409100956968007</c:v>
                </c:pt>
              </c:numCache>
            </c:numRef>
          </c:yVal>
          <c:smooth val="0"/>
          <c:extLst>
            <c:ext xmlns:c16="http://schemas.microsoft.com/office/drawing/2014/chart" uri="{C3380CC4-5D6E-409C-BE32-E72D297353CC}">
              <c16:uniqueId val="{00000007-CAE3-45AC-BD7D-7619C01C227E}"/>
            </c:ext>
          </c:extLst>
        </c:ser>
        <c:dLbls>
          <c:showLegendKey val="0"/>
          <c:showVal val="0"/>
          <c:showCatName val="0"/>
          <c:showSerName val="0"/>
          <c:showPercent val="0"/>
          <c:showBubbleSize val="0"/>
        </c:dLbls>
        <c:axId val="507483711"/>
        <c:axId val="1"/>
      </c:scatterChart>
      <c:valAx>
        <c:axId val="507483711"/>
        <c:scaling>
          <c:orientation val="minMax"/>
          <c:max val="2030"/>
          <c:min val="2017"/>
        </c:scaling>
        <c:delete val="0"/>
        <c:axPos val="b"/>
        <c:numFmt formatCode="General" sourceLinked="1"/>
        <c:majorTickMark val="out"/>
        <c:minorTickMark val="none"/>
        <c:tickLblPos val="nextTo"/>
        <c:spPr>
          <a:ln w="12700">
            <a:solidFill>
              <a:srgbClr val="000000"/>
            </a:solidFill>
            <a:prstDash val="solid"/>
          </a:ln>
        </c:spPr>
        <c:txPr>
          <a:bodyPr rot="0" vert="horz"/>
          <a:lstStyle/>
          <a:p>
            <a:pPr>
              <a:defRPr/>
            </a:pPr>
            <a:endParaRPr lang="en-US"/>
          </a:p>
        </c:txPr>
        <c:crossAx val="1"/>
        <c:crossesAt val="0"/>
        <c:crossBetween val="midCat"/>
        <c:majorUnit val="1"/>
      </c:valAx>
      <c:valAx>
        <c:axId val="1"/>
        <c:scaling>
          <c:orientation val="minMax"/>
          <c:max val="1"/>
        </c:scaling>
        <c:delete val="0"/>
        <c:axPos val="l"/>
        <c:majorGridlines>
          <c:spPr>
            <a:ln w="12700">
              <a:solidFill>
                <a:srgbClr val="000000"/>
              </a:solidFill>
              <a:prstDash val="solid"/>
            </a:ln>
          </c:spPr>
        </c:majorGridlines>
        <c:numFmt formatCode="General" sourceLinked="1"/>
        <c:majorTickMark val="out"/>
        <c:minorTickMark val="none"/>
        <c:tickLblPos val="nextTo"/>
        <c:spPr>
          <a:ln w="12700">
            <a:solidFill>
              <a:srgbClr val="000000"/>
            </a:solidFill>
            <a:prstDash val="solid"/>
          </a:ln>
        </c:spPr>
        <c:txPr>
          <a:bodyPr rot="0" vert="horz"/>
          <a:lstStyle/>
          <a:p>
            <a:pPr>
              <a:defRPr/>
            </a:pPr>
            <a:endParaRPr lang="en-US"/>
          </a:p>
        </c:txPr>
        <c:crossAx val="507483711"/>
        <c:crossesAt val="0"/>
        <c:crossBetween val="midCat"/>
        <c:majorUnit val="0.1"/>
      </c:valAx>
      <c:spPr>
        <a:solidFill>
          <a:srgbClr val="FFFFFF"/>
        </a:solidFill>
        <a:ln w="12700">
          <a:solidFill>
            <a:srgbClr val="808080"/>
          </a:solidFill>
          <a:prstDash val="solid"/>
        </a:ln>
      </c:spPr>
    </c:plotArea>
    <c:legend>
      <c:legendPos val="r"/>
      <c:layout>
        <c:manualLayout>
          <c:xMode val="edge"/>
          <c:yMode val="edge"/>
          <c:x val="1.9523057543118314E-2"/>
          <c:y val="0.94369181977252847"/>
          <c:w val="0.96855388927006525"/>
          <c:h val="5.6308180227471527E-2"/>
        </c:manualLayout>
      </c:layout>
      <c:overlay val="0"/>
      <c:spPr>
        <a:solidFill>
          <a:srgbClr val="FFFFFF"/>
        </a:solidFill>
        <a:ln w="25400">
          <a:noFill/>
        </a:ln>
      </c:sp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1102362204722" footer="0.51181102362204722"/>
    <c:pageSetup firstPageNumber="0"/>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tx1">
                    <a:lumMod val="65000"/>
                    <a:lumOff val="35000"/>
                  </a:schemeClr>
                </a:solidFill>
                <a:latin typeface="+mn-lt"/>
                <a:ea typeface="+mn-ea"/>
                <a:cs typeface="+mn-cs"/>
              </a:defRPr>
            </a:pPr>
            <a:r>
              <a:rPr lang="en-US"/>
              <a:t>Average Score</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Model!$D$298</c:f>
              <c:strCache>
                <c:ptCount val="1"/>
                <c:pt idx="0">
                  <c:v>Status Quo</c:v>
                </c:pt>
              </c:strCache>
            </c:strRef>
          </c:tx>
          <c:spPr>
            <a:ln w="19050" cap="rnd">
              <a:solidFill>
                <a:schemeClr val="accent1"/>
              </a:solidFill>
              <a:round/>
            </a:ln>
            <a:effectLst/>
          </c:spPr>
          <c:marker>
            <c:symbol val="none"/>
          </c:marker>
          <c:xVal>
            <c:numRef>
              <c:f>Model!$C$299:$C$312</c:f>
              <c:numCache>
                <c:formatCode>General</c:formatCode>
                <c:ptCount val="1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numCache>
            </c:numRef>
          </c:xVal>
          <c:yVal>
            <c:numRef>
              <c:f>Model!$D$299:$D$312</c:f>
              <c:numCache>
                <c:formatCode>General</c:formatCode>
                <c:ptCount val="14"/>
                <c:pt idx="0">
                  <c:v>0.58068820055793302</c:v>
                </c:pt>
                <c:pt idx="1">
                  <c:v>0.58570041541033535</c:v>
                </c:pt>
                <c:pt idx="2">
                  <c:v>0.58371690157127387</c:v>
                </c:pt>
                <c:pt idx="3">
                  <c:v>0.57571946544215602</c:v>
                </c:pt>
                <c:pt idx="4">
                  <c:v>0.58411442307363959</c:v>
                </c:pt>
                <c:pt idx="5">
                  <c:v>0.58347842821687856</c:v>
                </c:pt>
                <c:pt idx="6">
                  <c:v>0.5943771591886412</c:v>
                </c:pt>
                <c:pt idx="7">
                  <c:v>0.60536107456786814</c:v>
                </c:pt>
                <c:pt idx="8">
                  <c:v>0.61538004259092061</c:v>
                </c:pt>
                <c:pt idx="9">
                  <c:v>0.6239032321118998</c:v>
                </c:pt>
                <c:pt idx="10">
                  <c:v>0.63139025254636538</c:v>
                </c:pt>
                <c:pt idx="11">
                  <c:v>0.6382182716564061</c:v>
                </c:pt>
                <c:pt idx="12">
                  <c:v>0.64470869935602404</c:v>
                </c:pt>
                <c:pt idx="13">
                  <c:v>0.65102510531967639</c:v>
                </c:pt>
              </c:numCache>
            </c:numRef>
          </c:yVal>
          <c:smooth val="0"/>
          <c:extLst>
            <c:ext xmlns:c16="http://schemas.microsoft.com/office/drawing/2014/chart" uri="{C3380CC4-5D6E-409C-BE32-E72D297353CC}">
              <c16:uniqueId val="{00000000-BEDB-4CBF-AEF1-033F4022AC0E}"/>
            </c:ext>
          </c:extLst>
        </c:ser>
        <c:ser>
          <c:idx val="1"/>
          <c:order val="1"/>
          <c:tx>
            <c:strRef>
              <c:f>Model!$E$298</c:f>
              <c:strCache>
                <c:ptCount val="1"/>
                <c:pt idx="0">
                  <c:v>Reallocation</c:v>
                </c:pt>
              </c:strCache>
            </c:strRef>
          </c:tx>
          <c:spPr>
            <a:ln w="19050" cap="rnd">
              <a:solidFill>
                <a:schemeClr val="accent2"/>
              </a:solidFill>
              <a:round/>
            </a:ln>
            <a:effectLst/>
          </c:spPr>
          <c:marker>
            <c:symbol val="none"/>
          </c:marker>
          <c:xVal>
            <c:numRef>
              <c:f>Model!$C$299:$C$312</c:f>
              <c:numCache>
                <c:formatCode>General</c:formatCode>
                <c:ptCount val="14"/>
                <c:pt idx="0">
                  <c:v>2017</c:v>
                </c:pt>
                <c:pt idx="1">
                  <c:v>2018</c:v>
                </c:pt>
                <c:pt idx="2">
                  <c:v>2019</c:v>
                </c:pt>
                <c:pt idx="3">
                  <c:v>2020</c:v>
                </c:pt>
                <c:pt idx="4">
                  <c:v>2021</c:v>
                </c:pt>
                <c:pt idx="5">
                  <c:v>2022</c:v>
                </c:pt>
                <c:pt idx="6">
                  <c:v>2023</c:v>
                </c:pt>
                <c:pt idx="7">
                  <c:v>2024</c:v>
                </c:pt>
                <c:pt idx="8">
                  <c:v>2025</c:v>
                </c:pt>
                <c:pt idx="9">
                  <c:v>2026</c:v>
                </c:pt>
                <c:pt idx="10">
                  <c:v>2027</c:v>
                </c:pt>
                <c:pt idx="11">
                  <c:v>2028</c:v>
                </c:pt>
                <c:pt idx="12">
                  <c:v>2029</c:v>
                </c:pt>
                <c:pt idx="13">
                  <c:v>2030</c:v>
                </c:pt>
              </c:numCache>
            </c:numRef>
          </c:xVal>
          <c:yVal>
            <c:numRef>
              <c:f>Model!$E$299:$E$312</c:f>
              <c:numCache>
                <c:formatCode>General</c:formatCode>
                <c:ptCount val="14"/>
                <c:pt idx="0">
                  <c:v>0.58068820055793302</c:v>
                </c:pt>
                <c:pt idx="1">
                  <c:v>0.58570041541033535</c:v>
                </c:pt>
                <c:pt idx="2">
                  <c:v>0.58371690157127387</c:v>
                </c:pt>
                <c:pt idx="3">
                  <c:v>0.57571946544215602</c:v>
                </c:pt>
                <c:pt idx="4">
                  <c:v>0.58411442307363959</c:v>
                </c:pt>
                <c:pt idx="5">
                  <c:v>0.58347842821687856</c:v>
                </c:pt>
                <c:pt idx="6">
                  <c:v>0.5943771591886412</c:v>
                </c:pt>
                <c:pt idx="7">
                  <c:v>0.60418856662343023</c:v>
                </c:pt>
                <c:pt idx="8">
                  <c:v>0.62189911819688148</c:v>
                </c:pt>
                <c:pt idx="9">
                  <c:v>0.64266417340572435</c:v>
                </c:pt>
                <c:pt idx="10">
                  <c:v>0.66268230631959546</c:v>
                </c:pt>
                <c:pt idx="11">
                  <c:v>0.68183761873156423</c:v>
                </c:pt>
                <c:pt idx="12">
                  <c:v>0.70019402545516141</c:v>
                </c:pt>
                <c:pt idx="13">
                  <c:v>0.71821342122755616</c:v>
                </c:pt>
              </c:numCache>
            </c:numRef>
          </c:yVal>
          <c:smooth val="0"/>
          <c:extLst>
            <c:ext xmlns:c16="http://schemas.microsoft.com/office/drawing/2014/chart" uri="{C3380CC4-5D6E-409C-BE32-E72D297353CC}">
              <c16:uniqueId val="{00000001-BEDB-4CBF-AEF1-033F4022AC0E}"/>
            </c:ext>
          </c:extLst>
        </c:ser>
        <c:dLbls>
          <c:showLegendKey val="0"/>
          <c:showVal val="0"/>
          <c:showCatName val="0"/>
          <c:showSerName val="0"/>
          <c:showPercent val="0"/>
          <c:showBubbleSize val="0"/>
        </c:dLbls>
        <c:axId val="277353935"/>
        <c:axId val="277357775"/>
      </c:scatterChart>
      <c:valAx>
        <c:axId val="277353935"/>
        <c:scaling>
          <c:orientation val="minMax"/>
          <c:max val="2030"/>
          <c:min val="201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277357775"/>
        <c:crosses val="autoZero"/>
        <c:crossBetween val="midCat"/>
        <c:majorUnit val="1"/>
      </c:valAx>
      <c:valAx>
        <c:axId val="277357775"/>
        <c:scaling>
          <c:orientation val="minMax"/>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27735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baseline="0"/>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03932B2-61EE-48D9-B277-26195DF4FF3E}">
  <sheetPr codeName="Chart18"/>
  <sheetViews>
    <sheetView zoomScale="8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8212" name="Chart 1">
          <a:extLst>
            <a:ext uri="{FF2B5EF4-FFF2-40B4-BE49-F238E27FC236}">
              <a16:creationId xmlns:a16="http://schemas.microsoft.com/office/drawing/2014/main" id="{0D1B42BA-B2EB-29A1-3A46-D80978D534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9236" name="Chart 1">
          <a:extLst>
            <a:ext uri="{FF2B5EF4-FFF2-40B4-BE49-F238E27FC236}">
              <a16:creationId xmlns:a16="http://schemas.microsoft.com/office/drawing/2014/main" id="{3C1EA62F-D479-4F9D-6BD0-0513F7B700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0260" name="Chart 1">
          <a:extLst>
            <a:ext uri="{FF2B5EF4-FFF2-40B4-BE49-F238E27FC236}">
              <a16:creationId xmlns:a16="http://schemas.microsoft.com/office/drawing/2014/main" id="{19DEDE8E-D35C-BBE4-94E1-010A0DBD35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1284" name="Chart 1">
          <a:extLst>
            <a:ext uri="{FF2B5EF4-FFF2-40B4-BE49-F238E27FC236}">
              <a16:creationId xmlns:a16="http://schemas.microsoft.com/office/drawing/2014/main" id="{434DAA1A-6B04-2FE0-F10A-7DA1181545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0.11487</cdr:x>
      <cdr:y>0.82345</cdr:y>
    </cdr:from>
    <cdr:to>
      <cdr:x>0.12255</cdr:x>
      <cdr:y>0.8549</cdr:y>
    </cdr:to>
    <cdr:sp macro="" textlink="">
      <cdr:nvSpPr>
        <cdr:cNvPr id="12289" name="Text 1"/>
        <cdr:cNvSpPr txBox="1">
          <a:spLocks xmlns:a="http://schemas.openxmlformats.org/drawingml/2006/main" noChangeArrowheads="1"/>
        </cdr:cNvSpPr>
      </cdr:nvSpPr>
      <cdr:spPr bwMode="auto">
        <a:xfrm xmlns:a="http://schemas.openxmlformats.org/drawingml/2006/main">
          <a:off x="812379" y="4408883"/>
          <a:ext cx="62424" cy="171714"/>
        </a:xfrm>
        <a:prstGeom xmlns:a="http://schemas.openxmlformats.org/drawingml/2006/main" prst="rect">
          <a:avLst/>
        </a:prstGeom>
        <a:solidFill xmlns:a="http://schemas.openxmlformats.org/drawingml/2006/main">
          <a:srgbClr val="FFFFFF"/>
        </a:solidFill>
        <a:ln xmlns:a="http://schemas.openxmlformats.org/drawingml/2006/main">
          <a:noFill/>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6.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3332" name="Chart 1">
          <a:extLst>
            <a:ext uri="{FF2B5EF4-FFF2-40B4-BE49-F238E27FC236}">
              <a16:creationId xmlns:a16="http://schemas.microsoft.com/office/drawing/2014/main" id="{2F0AD486-E231-F19F-8CFA-B1CFFCF30E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4356" name="Chart 1">
          <a:extLst>
            <a:ext uri="{FF2B5EF4-FFF2-40B4-BE49-F238E27FC236}">
              <a16:creationId xmlns:a16="http://schemas.microsoft.com/office/drawing/2014/main" id="{2DC563DD-4B37-49C4-0E9E-5794C9BEBA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0.09324</cdr:x>
      <cdr:y>0.84677</cdr:y>
    </cdr:from>
    <cdr:to>
      <cdr:x>0.09579</cdr:x>
      <cdr:y>0.87602</cdr:y>
    </cdr:to>
    <cdr:sp macro="" textlink="">
      <cdr:nvSpPr>
        <cdr:cNvPr id="34817" name="Text Box 1"/>
        <cdr:cNvSpPr txBox="1">
          <a:spLocks xmlns:a="http://schemas.openxmlformats.org/drawingml/2006/main" noChangeArrowheads="1"/>
        </cdr:cNvSpPr>
      </cdr:nvSpPr>
      <cdr:spPr bwMode="auto">
        <a:xfrm xmlns:a="http://schemas.openxmlformats.org/drawingml/2006/main">
          <a:off x="676520" y="4531749"/>
          <a:ext cx="18530" cy="156518"/>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ffectLst xmlns:a="http://schemas.openxmlformats.org/drawingml/2006/main"/>
      </cdr:spPr>
      <cdr:txBody>
        <a:bodyPr xmlns:a="http://schemas.openxmlformats.org/drawingml/2006/main" wrap="none" lIns="18288" tIns="0" rIns="0" bIns="0" anchor="ctr" upright="1">
          <a:spAutoFit/>
        </a:bodyPr>
        <a:lstStyle xmlns:a="http://schemas.openxmlformats.org/drawingml/2006/main"/>
        <a:p xmlns:a="http://schemas.openxmlformats.org/drawingml/2006/main">
          <a:pPr algn="ctr" rtl="0">
            <a:defRPr sz="1000"/>
          </a:pPr>
          <a:endParaRPr lang="en-US"/>
        </a:p>
      </cdr:txBody>
    </cdr:sp>
  </cdr:relSizeAnchor>
</c:userShapes>
</file>

<file path=xl/drawings/drawing9.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5380" name="Chart 1">
          <a:extLst>
            <a:ext uri="{FF2B5EF4-FFF2-40B4-BE49-F238E27FC236}">
              <a16:creationId xmlns:a16="http://schemas.microsoft.com/office/drawing/2014/main" id="{C1E743B2-975F-48F3-572F-B659D02997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6404" name="Chart 1">
          <a:extLst>
            <a:ext uri="{FF2B5EF4-FFF2-40B4-BE49-F238E27FC236}">
              <a16:creationId xmlns:a16="http://schemas.microsoft.com/office/drawing/2014/main" id="{175C89C2-269A-263B-BD50-9FF5B79FDB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7428" name="Chart 1">
          <a:extLst>
            <a:ext uri="{FF2B5EF4-FFF2-40B4-BE49-F238E27FC236}">
              <a16:creationId xmlns:a16="http://schemas.microsoft.com/office/drawing/2014/main" id="{574048A3-621C-8CE2-C958-93D9BDB3D8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8452" name="Chart 1">
          <a:extLst>
            <a:ext uri="{FF2B5EF4-FFF2-40B4-BE49-F238E27FC236}">
              <a16:creationId xmlns:a16="http://schemas.microsoft.com/office/drawing/2014/main" id="{49B87B52-585B-B304-B389-190CB1F769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19476" name="Chart 1">
          <a:extLst>
            <a:ext uri="{FF2B5EF4-FFF2-40B4-BE49-F238E27FC236}">
              <a16:creationId xmlns:a16="http://schemas.microsoft.com/office/drawing/2014/main" id="{4E4DF1DF-4066-915C-4521-881F37399B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0500" name="Chart 1">
          <a:extLst>
            <a:ext uri="{FF2B5EF4-FFF2-40B4-BE49-F238E27FC236}">
              <a16:creationId xmlns:a16="http://schemas.microsoft.com/office/drawing/2014/main" id="{D5481A9F-10C2-3C86-C7E6-8A57EF7681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1524" name="Chart 1">
          <a:extLst>
            <a:ext uri="{FF2B5EF4-FFF2-40B4-BE49-F238E27FC236}">
              <a16:creationId xmlns:a16="http://schemas.microsoft.com/office/drawing/2014/main" id="{5D3751D1-7755-0DAC-8220-85903269FA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2548" name="Chart 1">
          <a:extLst>
            <a:ext uri="{FF2B5EF4-FFF2-40B4-BE49-F238E27FC236}">
              <a16:creationId xmlns:a16="http://schemas.microsoft.com/office/drawing/2014/main" id="{B11CE3B9-81A6-3188-D2ED-39D5BB744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3572" name="Chart 1">
          <a:extLst>
            <a:ext uri="{FF2B5EF4-FFF2-40B4-BE49-F238E27FC236}">
              <a16:creationId xmlns:a16="http://schemas.microsoft.com/office/drawing/2014/main" id="{453C8A6B-0AAE-8CA1-4962-42D214766E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4596" name="Chart 1">
          <a:extLst>
            <a:ext uri="{FF2B5EF4-FFF2-40B4-BE49-F238E27FC236}">
              <a16:creationId xmlns:a16="http://schemas.microsoft.com/office/drawing/2014/main" id="{26558741-3A62-6161-7F42-D47B0A7324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342900</xdr:colOff>
      <xdr:row>1</xdr:row>
      <xdr:rowOff>19050</xdr:rowOff>
    </xdr:from>
    <xdr:to>
      <xdr:col>9</xdr:col>
      <xdr:colOff>619125</xdr:colOff>
      <xdr:row>34</xdr:row>
      <xdr:rowOff>85725</xdr:rowOff>
    </xdr:to>
    <xdr:graphicFrame macro="">
      <xdr:nvGraphicFramePr>
        <xdr:cNvPr id="25620" name="Chart 1">
          <a:extLst>
            <a:ext uri="{FF2B5EF4-FFF2-40B4-BE49-F238E27FC236}">
              <a16:creationId xmlns:a16="http://schemas.microsoft.com/office/drawing/2014/main" id="{5ABEB20B-BD45-116E-E1E8-A6EFB86974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c:userShapes xmlns:c="http://schemas.openxmlformats.org/drawingml/2006/chart">
  <cdr:relSizeAnchor xmlns:cdr="http://schemas.openxmlformats.org/drawingml/2006/chartDrawing">
    <cdr:from>
      <cdr:x>0.11314</cdr:x>
      <cdr:y>0.82345</cdr:y>
    </cdr:from>
    <cdr:to>
      <cdr:x>0.12154</cdr:x>
      <cdr:y>0.8549</cdr:y>
    </cdr:to>
    <cdr:sp macro="" textlink="">
      <cdr:nvSpPr>
        <cdr:cNvPr id="26625" name="Text 1"/>
        <cdr:cNvSpPr txBox="1">
          <a:spLocks xmlns:a="http://schemas.openxmlformats.org/drawingml/2006/main" noChangeArrowheads="1"/>
        </cdr:cNvSpPr>
      </cdr:nvSpPr>
      <cdr:spPr bwMode="auto">
        <a:xfrm xmlns:a="http://schemas.openxmlformats.org/drawingml/2006/main">
          <a:off x="799894" y="4408883"/>
          <a:ext cx="62424" cy="171714"/>
        </a:xfrm>
        <a:prstGeom xmlns:a="http://schemas.openxmlformats.org/drawingml/2006/main" prst="rect">
          <a:avLst/>
        </a:prstGeom>
        <a:solidFill xmlns:a="http://schemas.openxmlformats.org/drawingml/2006/main">
          <a:srgbClr val="FFFFFF"/>
        </a:solidFill>
        <a:ln xmlns:a="http://schemas.openxmlformats.org/drawingml/2006/main">
          <a:noFill/>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0.09324</cdr:x>
      <cdr:y>0.84677</cdr:y>
    </cdr:from>
    <cdr:to>
      <cdr:x>0.09579</cdr:x>
      <cdr:y>0.87602</cdr:y>
    </cdr:to>
    <cdr:sp macro="" textlink="">
      <cdr:nvSpPr>
        <cdr:cNvPr id="26626" name="Text Box 2"/>
        <cdr:cNvSpPr txBox="1">
          <a:spLocks xmlns:a="http://schemas.openxmlformats.org/drawingml/2006/main" noChangeArrowheads="1"/>
        </cdr:cNvSpPr>
      </cdr:nvSpPr>
      <cdr:spPr bwMode="auto">
        <a:xfrm xmlns:a="http://schemas.openxmlformats.org/drawingml/2006/main">
          <a:off x="676520" y="4531749"/>
          <a:ext cx="18530" cy="156518"/>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ffectLst xmlns:a="http://schemas.openxmlformats.org/drawingml/2006/main"/>
      </cdr:spPr>
      <cdr:txBody>
        <a:bodyPr xmlns:a="http://schemas.openxmlformats.org/drawingml/2006/main" wrap="none" lIns="18288" tIns="0" rIns="0" bIns="0" anchor="ctr" upright="1">
          <a:spAutoFit/>
        </a:bodyPr>
        <a:lstStyle xmlns:a="http://schemas.openxmlformats.org/drawingml/2006/main"/>
        <a:p xmlns:a="http://schemas.openxmlformats.org/drawingml/2006/main">
          <a:pPr algn="ctr" rtl="0">
            <a:defRPr sz="1000"/>
          </a:pPr>
          <a:endParaRPr lang="en-US"/>
        </a:p>
      </cdr:txBody>
    </cdr:sp>
  </cdr:relSizeAnchor>
  <cdr:relSizeAnchor xmlns:cdr="http://schemas.openxmlformats.org/drawingml/2006/chartDrawing">
    <cdr:from>
      <cdr:x>0.09324</cdr:x>
      <cdr:y>0.84677</cdr:y>
    </cdr:from>
    <cdr:to>
      <cdr:x>0.09579</cdr:x>
      <cdr:y>0.87602</cdr:y>
    </cdr:to>
    <cdr:sp macro="" textlink="">
      <cdr:nvSpPr>
        <cdr:cNvPr id="26627" name="Text Box 3"/>
        <cdr:cNvSpPr txBox="1">
          <a:spLocks xmlns:a="http://schemas.openxmlformats.org/drawingml/2006/main" noChangeArrowheads="1"/>
        </cdr:cNvSpPr>
      </cdr:nvSpPr>
      <cdr:spPr bwMode="auto">
        <a:xfrm xmlns:a="http://schemas.openxmlformats.org/drawingml/2006/main">
          <a:off x="676520" y="4531749"/>
          <a:ext cx="18530" cy="156518"/>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a:noFill/>
        </a:ln>
        <a:effectLst xmlns:a="http://schemas.openxmlformats.org/drawingml/2006/main"/>
      </cdr:spPr>
      <cdr:txBody>
        <a:bodyPr xmlns:a="http://schemas.openxmlformats.org/drawingml/2006/main" wrap="none" lIns="18288" tIns="0" rIns="0" bIns="0" anchor="ctr" upright="1">
          <a:spAutoFit/>
        </a:bodyPr>
        <a:lstStyle xmlns:a="http://schemas.openxmlformats.org/drawingml/2006/main"/>
        <a:p xmlns:a="http://schemas.openxmlformats.org/drawingml/2006/main">
          <a:pPr algn="ctr" rtl="0">
            <a:defRPr sz="1000"/>
          </a:pPr>
          <a:endParaRPr lang="en-US"/>
        </a:p>
      </cdr:txBody>
    </cdr:sp>
  </cdr:relSizeAnchor>
</c:userShapes>
</file>

<file path=xl/drawings/drawing21.xml><?xml version="1.0" encoding="utf-8"?>
<xdr:wsDr xmlns:xdr="http://schemas.openxmlformats.org/drawingml/2006/spreadsheetDrawing" xmlns:a="http://schemas.openxmlformats.org/drawingml/2006/main">
  <xdr:twoCellAnchor editAs="absolute">
    <xdr:from>
      <xdr:col>0</xdr:col>
      <xdr:colOff>342900</xdr:colOff>
      <xdr:row>0</xdr:row>
      <xdr:rowOff>158640</xdr:rowOff>
    </xdr:from>
    <xdr:to>
      <xdr:col>9</xdr:col>
      <xdr:colOff>619125</xdr:colOff>
      <xdr:row>32</xdr:row>
      <xdr:rowOff>90324</xdr:rowOff>
    </xdr:to>
    <xdr:graphicFrame macro="">
      <xdr:nvGraphicFramePr>
        <xdr:cNvPr id="28692" name="Chart 1">
          <a:extLst>
            <a:ext uri="{FF2B5EF4-FFF2-40B4-BE49-F238E27FC236}">
              <a16:creationId xmlns:a16="http://schemas.microsoft.com/office/drawing/2014/main" id="{68272565-FD3D-C12E-8EE5-7905443A21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142875</xdr:colOff>
      <xdr:row>0</xdr:row>
      <xdr:rowOff>133351</xdr:rowOff>
    </xdr:from>
    <xdr:to>
      <xdr:col>9</xdr:col>
      <xdr:colOff>133350</xdr:colOff>
      <xdr:row>28</xdr:row>
      <xdr:rowOff>16423</xdr:rowOff>
    </xdr:to>
    <xdr:graphicFrame macro="">
      <xdr:nvGraphicFramePr>
        <xdr:cNvPr id="30740" name="Chart 1">
          <a:extLst>
            <a:ext uri="{FF2B5EF4-FFF2-40B4-BE49-F238E27FC236}">
              <a16:creationId xmlns:a16="http://schemas.microsoft.com/office/drawing/2014/main" id="{52D8ADD3-6C57-49F2-D705-C2DF59C719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85725</xdr:colOff>
      <xdr:row>0</xdr:row>
      <xdr:rowOff>28575</xdr:rowOff>
    </xdr:from>
    <xdr:to>
      <xdr:col>9</xdr:col>
      <xdr:colOff>28575</xdr:colOff>
      <xdr:row>28</xdr:row>
      <xdr:rowOff>0</xdr:rowOff>
    </xdr:to>
    <xdr:graphicFrame macro="">
      <xdr:nvGraphicFramePr>
        <xdr:cNvPr id="31764" name="Chart 1">
          <a:extLst>
            <a:ext uri="{FF2B5EF4-FFF2-40B4-BE49-F238E27FC236}">
              <a16:creationId xmlns:a16="http://schemas.microsoft.com/office/drawing/2014/main" id="{D687E76C-18C2-50DE-33E9-C8E77A4720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absoluteAnchor>
    <xdr:pos x="0" y="0"/>
    <xdr:ext cx="8660086" cy="6306207"/>
    <xdr:graphicFrame macro="">
      <xdr:nvGraphicFramePr>
        <xdr:cNvPr id="2" name="Chart 1">
          <a:extLst>
            <a:ext uri="{FF2B5EF4-FFF2-40B4-BE49-F238E27FC236}">
              <a16:creationId xmlns:a16="http://schemas.microsoft.com/office/drawing/2014/main" id="{E35088D9-010E-B7A4-CF20-116F55BD722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U207"/>
  <sheetViews>
    <sheetView workbookViewId="0"/>
  </sheetViews>
  <sheetFormatPr defaultRowHeight="12.75" x14ac:dyDescent="0.2"/>
  <sheetData>
    <row r="1" spans="1:21"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
      <c r="A2" t="s">
        <v>21</v>
      </c>
      <c r="B2" t="s">
        <v>22</v>
      </c>
      <c r="C2">
        <v>86.760594778750701</v>
      </c>
      <c r="D2">
        <v>1</v>
      </c>
      <c r="E2">
        <v>99.575000000000003</v>
      </c>
      <c r="F2">
        <v>60.886749999999999</v>
      </c>
      <c r="G2">
        <v>95.3863846153846</v>
      </c>
      <c r="H2">
        <v>97.169333333333299</v>
      </c>
      <c r="I2">
        <v>92.111249999999998</v>
      </c>
      <c r="J2">
        <v>94.327600000000004</v>
      </c>
      <c r="K2">
        <v>93.013499999999993</v>
      </c>
      <c r="L2">
        <v>86.789000000000001</v>
      </c>
      <c r="M2">
        <v>95.9957142857143</v>
      </c>
      <c r="N2">
        <v>98.468500000000006</v>
      </c>
      <c r="O2">
        <v>91.233750000000001</v>
      </c>
      <c r="P2">
        <v>60.059571428571402</v>
      </c>
      <c r="Q2">
        <v>68.793666666666695</v>
      </c>
      <c r="R2">
        <v>87.927999999999997</v>
      </c>
      <c r="S2">
        <v>85.07</v>
      </c>
      <c r="T2">
        <v>92.521090909090901</v>
      </c>
      <c r="U2">
        <v>75.600999999999999</v>
      </c>
    </row>
    <row r="3" spans="1:21" x14ac:dyDescent="0.2">
      <c r="A3" t="s">
        <v>23</v>
      </c>
      <c r="B3" t="s">
        <v>24</v>
      </c>
      <c r="C3">
        <v>85.981396976063195</v>
      </c>
      <c r="D3">
        <v>2</v>
      </c>
      <c r="E3">
        <v>98.888499999999993</v>
      </c>
      <c r="F3">
        <v>63.074125000000002</v>
      </c>
      <c r="G3">
        <v>96.903999999999996</v>
      </c>
      <c r="H3">
        <v>99.761666666666699</v>
      </c>
      <c r="I3">
        <v>91.440250000000006</v>
      </c>
      <c r="J3">
        <v>95.057599999999994</v>
      </c>
      <c r="K3">
        <v>97.973500000000001</v>
      </c>
      <c r="L3">
        <v>84.966428571428594</v>
      </c>
      <c r="M3">
        <v>97.586285714285694</v>
      </c>
      <c r="N3">
        <v>94.965000000000003</v>
      </c>
      <c r="O3">
        <v>90.389250000000004</v>
      </c>
      <c r="P3">
        <v>56.830571428571403</v>
      </c>
      <c r="Q3">
        <v>70.031000000000006</v>
      </c>
      <c r="R3">
        <v>69.348666666666702</v>
      </c>
      <c r="S3">
        <v>80.188199999999995</v>
      </c>
      <c r="T3">
        <v>88.508454545454498</v>
      </c>
      <c r="U3">
        <v>85.770250000000004</v>
      </c>
    </row>
    <row r="4" spans="1:21" x14ac:dyDescent="0.2">
      <c r="A4" t="s">
        <v>25</v>
      </c>
      <c r="B4" t="s">
        <v>26</v>
      </c>
      <c r="C4">
        <v>85.683636809269203</v>
      </c>
      <c r="D4">
        <v>3</v>
      </c>
      <c r="E4">
        <v>99.215500000000006</v>
      </c>
      <c r="F4">
        <v>71.02525</v>
      </c>
      <c r="G4">
        <v>95.398499999999999</v>
      </c>
      <c r="H4">
        <v>99.339666666666702</v>
      </c>
      <c r="I4">
        <v>86.998000000000005</v>
      </c>
      <c r="J4">
        <v>90.7316</v>
      </c>
      <c r="K4">
        <v>87.730500000000006</v>
      </c>
      <c r="L4">
        <v>87.562428571428597</v>
      </c>
      <c r="M4">
        <v>96.984857142857095</v>
      </c>
      <c r="N4">
        <v>98.156000000000006</v>
      </c>
      <c r="O4">
        <v>93.038499999999999</v>
      </c>
      <c r="P4">
        <v>44.5717142857143</v>
      </c>
      <c r="Q4">
        <v>60.780666666666697</v>
      </c>
      <c r="R4">
        <v>76.303333333333299</v>
      </c>
      <c r="S4">
        <v>92.792400000000001</v>
      </c>
      <c r="T4">
        <v>93.844909090909098</v>
      </c>
      <c r="U4">
        <v>82.147999999999996</v>
      </c>
    </row>
    <row r="5" spans="1:21" x14ac:dyDescent="0.2">
      <c r="A5" t="s">
        <v>27</v>
      </c>
      <c r="B5" t="s">
        <v>28</v>
      </c>
      <c r="C5">
        <v>83.358446511331806</v>
      </c>
      <c r="D5">
        <v>4</v>
      </c>
      <c r="E5">
        <v>99.510499999999993</v>
      </c>
      <c r="F5">
        <v>72.366</v>
      </c>
      <c r="G5">
        <v>93.039357142857099</v>
      </c>
      <c r="H5">
        <v>97.162666666666695</v>
      </c>
      <c r="I5">
        <v>81.920249999999996</v>
      </c>
      <c r="J5">
        <v>88.443399999999997</v>
      </c>
      <c r="K5">
        <v>77.161749999999998</v>
      </c>
      <c r="L5">
        <v>86.967285714285694</v>
      </c>
      <c r="M5">
        <v>95.788428571428597</v>
      </c>
      <c r="N5">
        <v>88.147000000000006</v>
      </c>
      <c r="O5">
        <v>90.096500000000006</v>
      </c>
      <c r="P5">
        <v>55.412857142857099</v>
      </c>
      <c r="Q5">
        <v>64.001999999999995</v>
      </c>
      <c r="R5">
        <v>73.995999999999995</v>
      </c>
      <c r="S5">
        <v>79.231800000000007</v>
      </c>
      <c r="T5">
        <v>89.457545454545397</v>
      </c>
      <c r="U5">
        <v>84.390249999999995</v>
      </c>
    </row>
    <row r="6" spans="1:21" x14ac:dyDescent="0.2">
      <c r="A6" t="s">
        <v>29</v>
      </c>
      <c r="B6" t="s">
        <v>30</v>
      </c>
      <c r="C6">
        <v>82.280189334256406</v>
      </c>
      <c r="D6">
        <v>5</v>
      </c>
      <c r="E6">
        <v>99.450999999999993</v>
      </c>
      <c r="F6">
        <v>73.067499999999995</v>
      </c>
      <c r="G6">
        <v>92.468000000000004</v>
      </c>
      <c r="H6">
        <v>97.914333333333303</v>
      </c>
      <c r="I6">
        <v>84.579250000000002</v>
      </c>
      <c r="J6">
        <v>92.163600000000002</v>
      </c>
      <c r="K6">
        <v>86.036500000000004</v>
      </c>
      <c r="L6">
        <v>83.274142857142905</v>
      </c>
      <c r="M6">
        <v>96.982142857142904</v>
      </c>
      <c r="N6">
        <v>94.634500000000003</v>
      </c>
      <c r="O6">
        <v>92.473666666666702</v>
      </c>
      <c r="P6">
        <v>49.6232857142857</v>
      </c>
      <c r="Q6">
        <v>57.332000000000001</v>
      </c>
      <c r="S6">
        <v>73.583600000000004</v>
      </c>
      <c r="T6">
        <v>87.911454545454504</v>
      </c>
      <c r="U6">
        <v>71.130250000000004</v>
      </c>
    </row>
    <row r="7" spans="1:21" x14ac:dyDescent="0.2">
      <c r="A7" t="s">
        <v>31</v>
      </c>
      <c r="B7" t="s">
        <v>32</v>
      </c>
      <c r="C7">
        <v>82.048342710720604</v>
      </c>
      <c r="D7">
        <v>6</v>
      </c>
      <c r="E7">
        <v>99.728499999999997</v>
      </c>
      <c r="F7">
        <v>72.390124999999998</v>
      </c>
      <c r="G7">
        <v>93.224571428571394</v>
      </c>
      <c r="H7">
        <v>99.63</v>
      </c>
      <c r="I7">
        <v>87.823250000000002</v>
      </c>
      <c r="J7">
        <v>89.269599999999997</v>
      </c>
      <c r="K7">
        <v>78.615499999999997</v>
      </c>
      <c r="L7">
        <v>85.305999999999997</v>
      </c>
      <c r="M7">
        <v>92.775857142857106</v>
      </c>
      <c r="N7">
        <v>87.473500000000001</v>
      </c>
      <c r="O7">
        <v>90.529499999999999</v>
      </c>
      <c r="P7">
        <v>60.5154285714286</v>
      </c>
      <c r="Q7">
        <v>73.834666666666706</v>
      </c>
      <c r="R7">
        <v>65.677499999999995</v>
      </c>
      <c r="S7">
        <v>68.824600000000004</v>
      </c>
      <c r="T7">
        <v>76.091727272727297</v>
      </c>
      <c r="U7">
        <v>73.111500000000007</v>
      </c>
    </row>
    <row r="8" spans="1:21" x14ac:dyDescent="0.2">
      <c r="A8" t="s">
        <v>33</v>
      </c>
      <c r="B8" t="s">
        <v>34</v>
      </c>
      <c r="C8">
        <v>82.004489145658297</v>
      </c>
      <c r="D8">
        <v>7</v>
      </c>
      <c r="E8">
        <v>99.222499999999997</v>
      </c>
      <c r="F8">
        <v>60.794874999999998</v>
      </c>
      <c r="G8">
        <v>97.1151428571428</v>
      </c>
      <c r="H8">
        <v>97.987333333333297</v>
      </c>
      <c r="I8">
        <v>92.879249999999999</v>
      </c>
      <c r="J8">
        <v>83.661799999999999</v>
      </c>
      <c r="K8">
        <v>98.538250000000005</v>
      </c>
      <c r="L8">
        <v>85.932428571428602</v>
      </c>
      <c r="M8">
        <v>92.442999999999998</v>
      </c>
      <c r="N8">
        <v>99.406000000000006</v>
      </c>
      <c r="O8">
        <v>91.164749999999998</v>
      </c>
      <c r="P8">
        <v>39.775285714285701</v>
      </c>
      <c r="Q8">
        <v>20.684999999999999</v>
      </c>
      <c r="R8">
        <v>74.578999999999994</v>
      </c>
      <c r="S8">
        <v>74.123199999999997</v>
      </c>
      <c r="T8">
        <v>91.742000000000004</v>
      </c>
      <c r="U8">
        <v>94.026499999999999</v>
      </c>
    </row>
    <row r="9" spans="1:21" x14ac:dyDescent="0.2">
      <c r="A9" t="s">
        <v>35</v>
      </c>
      <c r="B9" t="s">
        <v>36</v>
      </c>
      <c r="C9">
        <v>81.874552233122301</v>
      </c>
      <c r="D9">
        <v>8</v>
      </c>
      <c r="E9">
        <v>99.897499999999994</v>
      </c>
      <c r="F9">
        <v>62.0535</v>
      </c>
      <c r="G9">
        <v>90.150615384615406</v>
      </c>
      <c r="H9">
        <v>93.870333333333306</v>
      </c>
      <c r="I9">
        <v>74.321749999999994</v>
      </c>
      <c r="J9">
        <v>82.875799999999998</v>
      </c>
      <c r="K9">
        <v>75.962999999999994</v>
      </c>
      <c r="L9">
        <v>88.041285714285706</v>
      </c>
      <c r="M9">
        <v>83.795000000000002</v>
      </c>
      <c r="N9">
        <v>100</v>
      </c>
      <c r="O9">
        <v>94.517250000000004</v>
      </c>
      <c r="P9">
        <v>62.779571428571401</v>
      </c>
      <c r="Q9">
        <v>72.235666666666702</v>
      </c>
      <c r="S9">
        <v>92.465599999999995</v>
      </c>
      <c r="T9">
        <v>84.204272727272695</v>
      </c>
      <c r="U9">
        <v>68.558250000000001</v>
      </c>
    </row>
    <row r="10" spans="1:21" x14ac:dyDescent="0.2">
      <c r="A10" t="s">
        <v>37</v>
      </c>
      <c r="B10" t="s">
        <v>38</v>
      </c>
      <c r="C10">
        <v>81.800175557775603</v>
      </c>
      <c r="D10">
        <v>9</v>
      </c>
      <c r="E10">
        <v>99.040499999999994</v>
      </c>
      <c r="F10">
        <v>67.493499999999997</v>
      </c>
      <c r="G10">
        <v>85.169461538461505</v>
      </c>
      <c r="H10">
        <v>97.450500000000005</v>
      </c>
      <c r="I10">
        <v>73.145750000000007</v>
      </c>
      <c r="J10">
        <v>84.381600000000006</v>
      </c>
      <c r="K10">
        <v>71.185749999999999</v>
      </c>
      <c r="L10">
        <v>86.8642857142857</v>
      </c>
      <c r="M10">
        <v>80.272000000000006</v>
      </c>
      <c r="N10">
        <v>93.384500000000003</v>
      </c>
      <c r="O10">
        <v>87.799750000000003</v>
      </c>
      <c r="P10">
        <v>74.133285714285705</v>
      </c>
      <c r="Q10">
        <v>75.280333333333303</v>
      </c>
      <c r="R10">
        <v>72.136499999999998</v>
      </c>
      <c r="S10">
        <v>92.868200000000002</v>
      </c>
      <c r="T10">
        <v>77.372818181818204</v>
      </c>
      <c r="U10">
        <v>72.624250000000004</v>
      </c>
    </row>
    <row r="11" spans="1:21" x14ac:dyDescent="0.2">
      <c r="A11" t="s">
        <v>39</v>
      </c>
      <c r="B11" t="s">
        <v>40</v>
      </c>
      <c r="C11">
        <v>81.683346473134705</v>
      </c>
      <c r="D11">
        <v>10</v>
      </c>
      <c r="E11">
        <v>99.983500000000006</v>
      </c>
      <c r="F11">
        <v>63.176000000000002</v>
      </c>
      <c r="G11">
        <v>89.497</v>
      </c>
      <c r="H11">
        <v>96.052000000000007</v>
      </c>
      <c r="I11">
        <v>76.777749999999997</v>
      </c>
      <c r="J11">
        <v>84.073999999999998</v>
      </c>
      <c r="K11">
        <v>77.991249999999994</v>
      </c>
      <c r="L11">
        <v>82.155428571428601</v>
      </c>
      <c r="M11">
        <v>83.315142857142902</v>
      </c>
      <c r="N11">
        <v>89.102000000000004</v>
      </c>
      <c r="O11">
        <v>90.482249999999993</v>
      </c>
      <c r="P11">
        <v>52.608142857142902</v>
      </c>
      <c r="Q11">
        <v>61.460333333333303</v>
      </c>
      <c r="R11">
        <v>87.504833333333295</v>
      </c>
      <c r="S11">
        <v>96.145600000000002</v>
      </c>
      <c r="T11">
        <v>91.0239090909091</v>
      </c>
      <c r="U11">
        <v>67.267750000000007</v>
      </c>
    </row>
    <row r="12" spans="1:21" x14ac:dyDescent="0.2">
      <c r="A12" t="s">
        <v>41</v>
      </c>
      <c r="B12" t="s">
        <v>42</v>
      </c>
      <c r="C12">
        <v>81.653142717086794</v>
      </c>
      <c r="D12">
        <v>11</v>
      </c>
      <c r="E12">
        <v>98.956500000000005</v>
      </c>
      <c r="F12">
        <v>68.389499999999998</v>
      </c>
      <c r="G12">
        <v>93.076333333333295</v>
      </c>
      <c r="H12">
        <v>98.192999999999998</v>
      </c>
      <c r="I12">
        <v>84.104749999999996</v>
      </c>
      <c r="J12">
        <v>94.3934</v>
      </c>
      <c r="K12">
        <v>74.774749999999997</v>
      </c>
      <c r="L12">
        <v>83.990285714285704</v>
      </c>
      <c r="M12">
        <v>91.823857142857193</v>
      </c>
      <c r="N12">
        <v>71.483500000000006</v>
      </c>
      <c r="O12">
        <v>91.313500000000005</v>
      </c>
      <c r="P12">
        <v>63.475000000000001</v>
      </c>
      <c r="Q12">
        <v>70.944000000000003</v>
      </c>
      <c r="R12">
        <v>76.064999999999998</v>
      </c>
      <c r="S12">
        <v>86.174199999999999</v>
      </c>
      <c r="T12">
        <v>81.0501</v>
      </c>
      <c r="U12">
        <v>59.89575</v>
      </c>
    </row>
    <row r="13" spans="1:21" x14ac:dyDescent="0.2">
      <c r="A13" t="s">
        <v>43</v>
      </c>
      <c r="B13" t="s">
        <v>44</v>
      </c>
      <c r="C13">
        <v>81.495508823529406</v>
      </c>
      <c r="D13">
        <v>12</v>
      </c>
      <c r="E13">
        <v>99.990499999999997</v>
      </c>
      <c r="F13">
        <v>74.260000000000005</v>
      </c>
      <c r="G13">
        <v>86.3578571428571</v>
      </c>
      <c r="H13">
        <v>95.655000000000001</v>
      </c>
      <c r="I13">
        <v>71.105000000000004</v>
      </c>
      <c r="J13">
        <v>86.356999999999999</v>
      </c>
      <c r="K13">
        <v>83.199250000000006</v>
      </c>
      <c r="L13">
        <v>82.7444285714286</v>
      </c>
      <c r="M13">
        <v>74.679285714285697</v>
      </c>
      <c r="N13">
        <v>94.183999999999997</v>
      </c>
      <c r="O13">
        <v>80.735500000000002</v>
      </c>
      <c r="P13">
        <v>68.325428571428603</v>
      </c>
      <c r="Q13">
        <v>83.505666666666698</v>
      </c>
      <c r="R13">
        <v>84.611333333333306</v>
      </c>
      <c r="S13">
        <v>88.169799999999995</v>
      </c>
      <c r="T13">
        <v>72.106099999999998</v>
      </c>
      <c r="U13">
        <v>59.4375</v>
      </c>
    </row>
    <row r="14" spans="1:21" x14ac:dyDescent="0.2">
      <c r="A14" t="s">
        <v>45</v>
      </c>
      <c r="B14" t="s">
        <v>46</v>
      </c>
      <c r="C14">
        <v>81.006653660555102</v>
      </c>
      <c r="D14">
        <v>13</v>
      </c>
      <c r="E14">
        <v>99.400999999999996</v>
      </c>
      <c r="F14">
        <v>66.608874999999998</v>
      </c>
      <c r="G14">
        <v>92.355285714285699</v>
      </c>
      <c r="H14">
        <v>95.611249999999998</v>
      </c>
      <c r="I14">
        <v>77.041250000000005</v>
      </c>
      <c r="J14">
        <v>87.813800000000001</v>
      </c>
      <c r="K14">
        <v>80.156499999999994</v>
      </c>
      <c r="L14">
        <v>84.899142857142905</v>
      </c>
      <c r="M14">
        <v>80.810857142857202</v>
      </c>
      <c r="N14">
        <v>100</v>
      </c>
      <c r="O14">
        <v>85.646666666666704</v>
      </c>
      <c r="P14">
        <v>54.058999999999997</v>
      </c>
      <c r="Q14">
        <v>69.117666666666693</v>
      </c>
      <c r="R14">
        <v>71.294799999999995</v>
      </c>
      <c r="S14">
        <v>83.572199999999995</v>
      </c>
      <c r="T14">
        <v>80.513818181818195</v>
      </c>
      <c r="U14">
        <v>68.210999999999999</v>
      </c>
    </row>
    <row r="15" spans="1:21" x14ac:dyDescent="0.2">
      <c r="A15" t="s">
        <v>47</v>
      </c>
      <c r="B15" t="s">
        <v>48</v>
      </c>
      <c r="C15">
        <v>80.681642876241398</v>
      </c>
      <c r="D15">
        <v>14</v>
      </c>
      <c r="E15">
        <v>99.983500000000006</v>
      </c>
      <c r="F15">
        <v>64.230125000000001</v>
      </c>
      <c r="G15">
        <v>84.304642857142895</v>
      </c>
      <c r="H15">
        <v>97.832750000000004</v>
      </c>
      <c r="I15">
        <v>77.472250000000003</v>
      </c>
      <c r="J15">
        <v>89.184200000000004</v>
      </c>
      <c r="K15">
        <v>88.85275</v>
      </c>
      <c r="L15">
        <v>84.469857142857094</v>
      </c>
      <c r="M15">
        <v>77.0038571428571</v>
      </c>
      <c r="N15">
        <v>72.641000000000005</v>
      </c>
      <c r="O15">
        <v>86.691249999999997</v>
      </c>
      <c r="P15">
        <v>58.840428571428603</v>
      </c>
      <c r="Q15">
        <v>71.675333333333299</v>
      </c>
      <c r="R15">
        <v>84.026166666666697</v>
      </c>
      <c r="S15">
        <v>97.849000000000004</v>
      </c>
      <c r="T15">
        <v>82.1398181818182</v>
      </c>
      <c r="U15">
        <v>54.390999999999998</v>
      </c>
    </row>
    <row r="16" spans="1:21" x14ac:dyDescent="0.2">
      <c r="A16" t="s">
        <v>49</v>
      </c>
      <c r="B16" t="s">
        <v>50</v>
      </c>
      <c r="C16">
        <v>80.537389066876699</v>
      </c>
      <c r="D16">
        <v>15</v>
      </c>
      <c r="E16">
        <v>99.462999999999994</v>
      </c>
      <c r="F16">
        <v>67.914124999999999</v>
      </c>
      <c r="G16">
        <v>96.028642857142898</v>
      </c>
      <c r="H16">
        <v>98.525000000000006</v>
      </c>
      <c r="I16">
        <v>85.917000000000002</v>
      </c>
      <c r="J16">
        <v>90.523200000000003</v>
      </c>
      <c r="K16">
        <v>83.417249999999996</v>
      </c>
      <c r="L16">
        <v>81.591999999999999</v>
      </c>
      <c r="M16">
        <v>97.217714285714294</v>
      </c>
      <c r="N16">
        <v>82.424999999999997</v>
      </c>
      <c r="O16">
        <v>99.058250000000001</v>
      </c>
      <c r="P16">
        <v>58.241714285714302</v>
      </c>
      <c r="Q16">
        <v>60.973999999999997</v>
      </c>
      <c r="S16">
        <v>66.325599999999994</v>
      </c>
      <c r="T16">
        <v>81.003874999999994</v>
      </c>
      <c r="U16">
        <v>54.371250000000003</v>
      </c>
    </row>
    <row r="17" spans="1:21" x14ac:dyDescent="0.2">
      <c r="A17" t="s">
        <v>51</v>
      </c>
      <c r="B17" t="s">
        <v>52</v>
      </c>
      <c r="C17">
        <v>80.425091488413599</v>
      </c>
      <c r="D17">
        <v>16</v>
      </c>
      <c r="E17">
        <v>98.739000000000004</v>
      </c>
      <c r="F17">
        <v>65.396625</v>
      </c>
      <c r="G17">
        <v>94.237857142857195</v>
      </c>
      <c r="H17">
        <v>97.423500000000004</v>
      </c>
      <c r="I17">
        <v>86.866500000000002</v>
      </c>
      <c r="J17">
        <v>87.351399999999998</v>
      </c>
      <c r="K17">
        <v>78.074250000000006</v>
      </c>
      <c r="L17">
        <v>79.3655714285714</v>
      </c>
      <c r="M17">
        <v>90.246857142857095</v>
      </c>
      <c r="N17">
        <v>81.36</v>
      </c>
      <c r="O17">
        <v>91.884749999999997</v>
      </c>
      <c r="P17">
        <v>67.941714285714298</v>
      </c>
      <c r="Q17">
        <v>80.198666666666696</v>
      </c>
      <c r="R17">
        <v>59.524999999999999</v>
      </c>
      <c r="S17">
        <v>66.423000000000002</v>
      </c>
      <c r="T17">
        <v>79.239363636363606</v>
      </c>
      <c r="U17">
        <v>62.952500000000001</v>
      </c>
    </row>
    <row r="18" spans="1:21" x14ac:dyDescent="0.2">
      <c r="A18" t="s">
        <v>53</v>
      </c>
      <c r="B18" t="s">
        <v>54</v>
      </c>
      <c r="C18">
        <v>80.147938349885393</v>
      </c>
      <c r="D18">
        <v>17</v>
      </c>
      <c r="E18">
        <v>99.947000000000003</v>
      </c>
      <c r="F18">
        <v>67.661749999999998</v>
      </c>
      <c r="G18">
        <v>94.441000000000003</v>
      </c>
      <c r="H18">
        <v>98.984999999999999</v>
      </c>
      <c r="I18">
        <v>77.6815</v>
      </c>
      <c r="J18">
        <v>82.905199999999994</v>
      </c>
      <c r="K18">
        <v>74.776250000000005</v>
      </c>
      <c r="L18">
        <v>87.042428571428601</v>
      </c>
      <c r="M18">
        <v>86.473285714285694</v>
      </c>
      <c r="N18">
        <v>90.3215</v>
      </c>
      <c r="O18">
        <v>90.783749999999998</v>
      </c>
      <c r="P18">
        <v>45.858428571428597</v>
      </c>
      <c r="Q18">
        <v>54.052666666666703</v>
      </c>
      <c r="R18">
        <v>72.609333333333296</v>
      </c>
      <c r="S18">
        <v>88.649199999999993</v>
      </c>
      <c r="T18">
        <v>89.119909090909104</v>
      </c>
      <c r="U18">
        <v>61.20675</v>
      </c>
    </row>
    <row r="19" spans="1:21" x14ac:dyDescent="0.2">
      <c r="A19" t="s">
        <v>55</v>
      </c>
      <c r="B19" t="s">
        <v>56</v>
      </c>
      <c r="C19">
        <v>80.017487178507807</v>
      </c>
      <c r="D19">
        <v>18</v>
      </c>
      <c r="E19">
        <v>99.9375</v>
      </c>
      <c r="F19">
        <v>64.283000000000001</v>
      </c>
      <c r="G19">
        <v>92.073357142857105</v>
      </c>
      <c r="H19">
        <v>98.592250000000007</v>
      </c>
      <c r="I19">
        <v>84.220749999999995</v>
      </c>
      <c r="J19">
        <v>80.270200000000003</v>
      </c>
      <c r="K19">
        <v>83.458749999999995</v>
      </c>
      <c r="L19">
        <v>81.205571428571403</v>
      </c>
      <c r="M19">
        <v>82.216857142857194</v>
      </c>
      <c r="N19">
        <v>84.41</v>
      </c>
      <c r="O19">
        <v>88.016000000000005</v>
      </c>
      <c r="P19">
        <v>67.418285714285702</v>
      </c>
      <c r="Q19">
        <v>84.107666666666702</v>
      </c>
      <c r="R19">
        <v>49.389166666666704</v>
      </c>
      <c r="S19">
        <v>73.916200000000003</v>
      </c>
      <c r="T19">
        <v>80.882727272727294</v>
      </c>
      <c r="U19">
        <v>65.899000000000001</v>
      </c>
    </row>
    <row r="20" spans="1:21" x14ac:dyDescent="0.2">
      <c r="A20" t="s">
        <v>57</v>
      </c>
      <c r="B20" t="s">
        <v>58</v>
      </c>
      <c r="C20">
        <v>79.455058441558407</v>
      </c>
      <c r="D20">
        <v>19</v>
      </c>
      <c r="E20">
        <v>99.453000000000003</v>
      </c>
      <c r="F20">
        <v>71.220249999999993</v>
      </c>
      <c r="G20">
        <v>93.391833333333295</v>
      </c>
      <c r="H20">
        <v>95.316666666666706</v>
      </c>
      <c r="I20">
        <v>87.835750000000004</v>
      </c>
      <c r="J20">
        <v>70.596199999999996</v>
      </c>
      <c r="K20">
        <v>73.97</v>
      </c>
      <c r="L20">
        <v>84.280714285714296</v>
      </c>
      <c r="M20">
        <v>97.101285714285694</v>
      </c>
      <c r="N20">
        <v>100</v>
      </c>
      <c r="O20">
        <v>88.145750000000007</v>
      </c>
      <c r="P20">
        <v>44.938857142857202</v>
      </c>
      <c r="Q20">
        <v>52.887999999999998</v>
      </c>
      <c r="R20">
        <v>56.673999999999999</v>
      </c>
      <c r="S20">
        <v>81.7988</v>
      </c>
      <c r="T20">
        <v>85.762636363636403</v>
      </c>
      <c r="U20">
        <v>67.362250000000003</v>
      </c>
    </row>
    <row r="21" spans="1:21" x14ac:dyDescent="0.2">
      <c r="A21" t="s">
        <v>59</v>
      </c>
      <c r="B21" t="s">
        <v>60</v>
      </c>
      <c r="C21">
        <v>79.421189152024496</v>
      </c>
      <c r="D21">
        <v>20</v>
      </c>
      <c r="E21">
        <v>99.265000000000001</v>
      </c>
      <c r="F21">
        <v>67.652249999999995</v>
      </c>
      <c r="G21">
        <v>95.670857142857102</v>
      </c>
      <c r="H21">
        <v>99.293000000000006</v>
      </c>
      <c r="I21">
        <v>85.1</v>
      </c>
      <c r="J21">
        <v>87.189599999999999</v>
      </c>
      <c r="K21">
        <v>72.017250000000004</v>
      </c>
      <c r="L21">
        <v>86.262571428571405</v>
      </c>
      <c r="M21">
        <v>93.410571428571401</v>
      </c>
      <c r="N21">
        <v>89.793000000000006</v>
      </c>
      <c r="O21">
        <v>92.89725</v>
      </c>
      <c r="P21">
        <v>47.652142857142898</v>
      </c>
      <c r="Q21">
        <v>43.279000000000003</v>
      </c>
      <c r="R21">
        <v>55.329000000000001</v>
      </c>
      <c r="S21">
        <v>77.863200000000006</v>
      </c>
      <c r="T21">
        <v>86.666272727272698</v>
      </c>
      <c r="U21">
        <v>70.819249999999997</v>
      </c>
    </row>
    <row r="22" spans="1:21" x14ac:dyDescent="0.2">
      <c r="A22" t="s">
        <v>61</v>
      </c>
      <c r="B22" t="s">
        <v>62</v>
      </c>
      <c r="C22">
        <v>79.414127742355703</v>
      </c>
      <c r="D22">
        <v>21</v>
      </c>
      <c r="E22">
        <v>99.295500000000004</v>
      </c>
      <c r="F22">
        <v>75.177625000000006</v>
      </c>
      <c r="G22">
        <v>94.574076923076902</v>
      </c>
      <c r="H22">
        <v>93.934333333333299</v>
      </c>
      <c r="I22">
        <v>61.6995</v>
      </c>
      <c r="J22">
        <v>84.9298</v>
      </c>
      <c r="K22">
        <v>72.632499999999993</v>
      </c>
      <c r="L22">
        <v>88.196142857142902</v>
      </c>
      <c r="M22">
        <v>94.400285714285701</v>
      </c>
      <c r="N22">
        <v>80.519499999999994</v>
      </c>
      <c r="O22">
        <v>84.209666666666706</v>
      </c>
      <c r="P22">
        <v>66.059571428571402</v>
      </c>
      <c r="Q22">
        <v>73.465000000000003</v>
      </c>
      <c r="R22">
        <v>55.8378333333333</v>
      </c>
      <c r="S22">
        <v>63.1462</v>
      </c>
      <c r="T22">
        <v>86.321636363636401</v>
      </c>
      <c r="U22">
        <v>75.641000000000005</v>
      </c>
    </row>
    <row r="23" spans="1:21" x14ac:dyDescent="0.2">
      <c r="A23" t="s">
        <v>63</v>
      </c>
      <c r="B23" t="s">
        <v>64</v>
      </c>
      <c r="C23">
        <v>79.3934453385463</v>
      </c>
      <c r="D23">
        <v>22</v>
      </c>
      <c r="E23">
        <v>98.929000000000002</v>
      </c>
      <c r="F23">
        <v>70.321624999999997</v>
      </c>
      <c r="G23">
        <v>83.639615384615396</v>
      </c>
      <c r="H23">
        <v>92.756500000000003</v>
      </c>
      <c r="I23">
        <v>66.798749999999998</v>
      </c>
      <c r="J23">
        <v>86.5822</v>
      </c>
      <c r="K23">
        <v>73.935249999999996</v>
      </c>
      <c r="L23">
        <v>84.649571428571406</v>
      </c>
      <c r="M23">
        <v>80.279142857142901</v>
      </c>
      <c r="N23">
        <v>92.728999999999999</v>
      </c>
      <c r="O23">
        <v>89.306749999999994</v>
      </c>
      <c r="P23">
        <v>76.066714285714298</v>
      </c>
      <c r="Q23">
        <v>77.906999999999996</v>
      </c>
      <c r="S23">
        <v>86.480800000000002</v>
      </c>
      <c r="T23">
        <v>69.108909090909094</v>
      </c>
      <c r="U23">
        <v>54.059750000000001</v>
      </c>
    </row>
    <row r="24" spans="1:21" x14ac:dyDescent="0.2">
      <c r="A24" t="s">
        <v>65</v>
      </c>
      <c r="B24" t="s">
        <v>66</v>
      </c>
      <c r="C24">
        <v>79.120326118060902</v>
      </c>
      <c r="D24">
        <v>23</v>
      </c>
      <c r="E24">
        <v>99.153000000000006</v>
      </c>
      <c r="F24">
        <v>72.338250000000002</v>
      </c>
      <c r="G24">
        <v>87.782714285714306</v>
      </c>
      <c r="H24">
        <v>81.983666666666693</v>
      </c>
      <c r="I24">
        <v>73.665000000000006</v>
      </c>
      <c r="J24">
        <v>81.768799999999999</v>
      </c>
      <c r="K24">
        <v>77.239500000000007</v>
      </c>
      <c r="L24">
        <v>81.491285714285695</v>
      </c>
      <c r="M24">
        <v>73.572857142857103</v>
      </c>
      <c r="N24">
        <v>100</v>
      </c>
      <c r="O24">
        <v>83.957499999999996</v>
      </c>
      <c r="P24">
        <v>69.393571428571406</v>
      </c>
      <c r="Q24">
        <v>70.565333333333299</v>
      </c>
      <c r="S24">
        <v>89.204800000000006</v>
      </c>
      <c r="T24">
        <v>77.822272727272704</v>
      </c>
      <c r="U24">
        <v>58.969000000000001</v>
      </c>
    </row>
    <row r="25" spans="1:21" x14ac:dyDescent="0.2">
      <c r="A25" t="s">
        <v>67</v>
      </c>
      <c r="B25" t="s">
        <v>68</v>
      </c>
      <c r="C25">
        <v>78.786836070791907</v>
      </c>
      <c r="D25">
        <v>24</v>
      </c>
      <c r="E25">
        <v>97.503500000000003</v>
      </c>
      <c r="F25">
        <v>69.827250000000006</v>
      </c>
      <c r="G25">
        <v>93.863428571428599</v>
      </c>
      <c r="H25">
        <v>94.19</v>
      </c>
      <c r="I25">
        <v>74.34975</v>
      </c>
      <c r="J25">
        <v>80.812799999999996</v>
      </c>
      <c r="K25">
        <v>76.862250000000003</v>
      </c>
      <c r="L25">
        <v>79.862857142857095</v>
      </c>
      <c r="M25">
        <v>87.504999999999995</v>
      </c>
      <c r="N25">
        <v>77.905000000000001</v>
      </c>
      <c r="O25">
        <v>74.64</v>
      </c>
      <c r="P25">
        <v>71.550571428571402</v>
      </c>
      <c r="Q25">
        <v>79.868333333333297</v>
      </c>
      <c r="R25">
        <v>62.645000000000003</v>
      </c>
      <c r="S25">
        <v>79.910200000000003</v>
      </c>
      <c r="T25">
        <v>72.921272727272694</v>
      </c>
      <c r="U25">
        <v>65.159000000000006</v>
      </c>
    </row>
    <row r="26" spans="1:21" x14ac:dyDescent="0.2">
      <c r="A26" t="s">
        <v>69</v>
      </c>
      <c r="B26" t="s">
        <v>70</v>
      </c>
      <c r="C26">
        <v>78.634375617519694</v>
      </c>
      <c r="D26">
        <v>25</v>
      </c>
      <c r="E26">
        <v>98.668499999999995</v>
      </c>
      <c r="F26">
        <v>63.039499999999997</v>
      </c>
      <c r="G26">
        <v>76.634</v>
      </c>
      <c r="H26">
        <v>99.626750000000001</v>
      </c>
      <c r="I26">
        <v>76.760000000000005</v>
      </c>
      <c r="J26">
        <v>70.392399999999995</v>
      </c>
      <c r="K26">
        <v>78.999499999999998</v>
      </c>
      <c r="L26">
        <v>75.864000000000004</v>
      </c>
      <c r="M26">
        <v>40.208142857142903</v>
      </c>
      <c r="N26">
        <v>99.593999999999994</v>
      </c>
      <c r="O26">
        <v>87.470749999999995</v>
      </c>
      <c r="P26">
        <v>79.090571428571394</v>
      </c>
      <c r="Q26">
        <v>90.578000000000003</v>
      </c>
      <c r="S26">
        <v>89.298199999999994</v>
      </c>
      <c r="T26">
        <v>68.079800000000006</v>
      </c>
      <c r="U26">
        <v>77.166250000000005</v>
      </c>
    </row>
    <row r="27" spans="1:21" x14ac:dyDescent="0.2">
      <c r="A27" t="s">
        <v>71</v>
      </c>
      <c r="B27" t="s">
        <v>72</v>
      </c>
      <c r="C27">
        <v>78.496779682082604</v>
      </c>
      <c r="D27">
        <v>26</v>
      </c>
      <c r="E27">
        <v>99.600499999999997</v>
      </c>
      <c r="F27">
        <v>63.534999999999997</v>
      </c>
      <c r="G27">
        <v>93.873846153846202</v>
      </c>
      <c r="H27">
        <v>99.399666666666704</v>
      </c>
      <c r="I27">
        <v>83.909000000000006</v>
      </c>
      <c r="J27">
        <v>86.118600000000001</v>
      </c>
      <c r="K27">
        <v>80.280249999999995</v>
      </c>
      <c r="L27">
        <v>84.588999999999999</v>
      </c>
      <c r="M27">
        <v>87.275142857142896</v>
      </c>
      <c r="N27">
        <v>89.331000000000003</v>
      </c>
      <c r="O27">
        <v>90.629750000000001</v>
      </c>
      <c r="P27">
        <v>51.692142857142898</v>
      </c>
      <c r="Q27">
        <v>39.618333333333297</v>
      </c>
      <c r="R27">
        <v>62.104500000000002</v>
      </c>
      <c r="S27">
        <v>60.78</v>
      </c>
      <c r="T27">
        <v>81.784272727272693</v>
      </c>
      <c r="U27">
        <v>79.924250000000001</v>
      </c>
    </row>
    <row r="28" spans="1:21" x14ac:dyDescent="0.2">
      <c r="A28" t="s">
        <v>73</v>
      </c>
      <c r="B28" t="s">
        <v>74</v>
      </c>
      <c r="C28">
        <v>78.433330654718901</v>
      </c>
      <c r="D28">
        <v>27</v>
      </c>
      <c r="F28">
        <v>59.524999999999999</v>
      </c>
      <c r="G28">
        <v>92.482500000000002</v>
      </c>
      <c r="H28">
        <v>94.140333333333302</v>
      </c>
      <c r="I28">
        <v>91.374250000000004</v>
      </c>
      <c r="J28">
        <v>89.616600000000005</v>
      </c>
      <c r="K28">
        <v>84.318250000000006</v>
      </c>
      <c r="L28">
        <v>87.750142857142905</v>
      </c>
      <c r="M28">
        <v>89.893000000000001</v>
      </c>
      <c r="N28">
        <v>81.25</v>
      </c>
      <c r="O28">
        <v>87.581249999999997</v>
      </c>
      <c r="P28">
        <v>49.025857142857198</v>
      </c>
      <c r="Q28">
        <v>66.055333333333294</v>
      </c>
      <c r="R28">
        <v>53.181333333333299</v>
      </c>
      <c r="S28">
        <v>48.964799999999997</v>
      </c>
      <c r="T28">
        <v>87.410545454545499</v>
      </c>
      <c r="U28">
        <v>72.642250000000004</v>
      </c>
    </row>
    <row r="29" spans="1:21" x14ac:dyDescent="0.2">
      <c r="A29" t="s">
        <v>75</v>
      </c>
      <c r="B29" t="s">
        <v>76</v>
      </c>
      <c r="C29">
        <v>78.368834460147696</v>
      </c>
      <c r="D29">
        <v>28</v>
      </c>
      <c r="E29">
        <v>99.231499999999997</v>
      </c>
      <c r="F29">
        <v>66.624875000000003</v>
      </c>
      <c r="G29">
        <v>90.324857142857098</v>
      </c>
      <c r="H29">
        <v>97.135750000000002</v>
      </c>
      <c r="I29">
        <v>65.436499999999995</v>
      </c>
      <c r="J29">
        <v>87.650999999999996</v>
      </c>
      <c r="K29">
        <v>76.401250000000005</v>
      </c>
      <c r="L29">
        <v>73.793142857142897</v>
      </c>
      <c r="M29">
        <v>81.570999999999998</v>
      </c>
      <c r="N29">
        <v>84.612499999999997</v>
      </c>
      <c r="O29">
        <v>85.577749999999995</v>
      </c>
      <c r="P29">
        <v>64.809571428571402</v>
      </c>
      <c r="Q29">
        <v>80.218000000000004</v>
      </c>
      <c r="R29">
        <v>65.819166666666703</v>
      </c>
      <c r="S29">
        <v>81.172799999999995</v>
      </c>
      <c r="T29">
        <v>71.081272727272705</v>
      </c>
      <c r="U29">
        <v>60.809249999999999</v>
      </c>
    </row>
    <row r="30" spans="1:21" x14ac:dyDescent="0.2">
      <c r="A30" t="s">
        <v>77</v>
      </c>
      <c r="B30" t="s">
        <v>78</v>
      </c>
      <c r="C30">
        <v>78.266441806722696</v>
      </c>
      <c r="D30">
        <v>29</v>
      </c>
      <c r="E30">
        <v>99.864500000000007</v>
      </c>
      <c r="F30">
        <v>53.484285714285697</v>
      </c>
      <c r="G30">
        <v>96.408071428571404</v>
      </c>
      <c r="H30">
        <v>98.093333333333305</v>
      </c>
      <c r="I30">
        <v>94.021666666666704</v>
      </c>
      <c r="J30">
        <v>59.7898</v>
      </c>
      <c r="K30">
        <v>99.550749999999994</v>
      </c>
      <c r="L30">
        <v>77.667666666666705</v>
      </c>
      <c r="M30">
        <v>87.427000000000007</v>
      </c>
      <c r="N30">
        <v>100</v>
      </c>
      <c r="O30">
        <v>86.769499999999994</v>
      </c>
      <c r="P30">
        <v>37.729428571428599</v>
      </c>
      <c r="Q30">
        <v>51.423333333333296</v>
      </c>
      <c r="R30">
        <v>62.777799999999999</v>
      </c>
      <c r="S30">
        <v>54.363500000000002</v>
      </c>
      <c r="T30">
        <v>93.836624999999998</v>
      </c>
      <c r="U30">
        <v>77.322249999999997</v>
      </c>
    </row>
    <row r="31" spans="1:21" x14ac:dyDescent="0.2">
      <c r="A31" t="s">
        <v>79</v>
      </c>
      <c r="B31" t="s">
        <v>80</v>
      </c>
      <c r="C31">
        <v>78.2237712184874</v>
      </c>
      <c r="D31">
        <v>30</v>
      </c>
      <c r="E31">
        <v>96.352000000000004</v>
      </c>
      <c r="F31">
        <v>71.542874999999995</v>
      </c>
      <c r="G31">
        <v>88.395142857142901</v>
      </c>
      <c r="H31">
        <v>97.766249999999999</v>
      </c>
      <c r="I31">
        <v>77.73075</v>
      </c>
      <c r="J31">
        <v>89.379800000000003</v>
      </c>
      <c r="K31">
        <v>81.280500000000004</v>
      </c>
      <c r="L31">
        <v>84.069142857142893</v>
      </c>
      <c r="M31">
        <v>75.331999999999994</v>
      </c>
      <c r="N31">
        <v>25.492999999999999</v>
      </c>
      <c r="O31">
        <v>85.524249999999995</v>
      </c>
      <c r="P31">
        <v>77.751000000000005</v>
      </c>
      <c r="Q31">
        <v>82.278999999999996</v>
      </c>
      <c r="R31">
        <v>80.182599999999994</v>
      </c>
      <c r="S31">
        <v>61.147799999999997</v>
      </c>
      <c r="T31">
        <v>69.784999999999997</v>
      </c>
      <c r="U31">
        <v>85.793000000000006</v>
      </c>
    </row>
    <row r="32" spans="1:21" x14ac:dyDescent="0.2">
      <c r="A32" t="s">
        <v>81</v>
      </c>
      <c r="B32" t="s">
        <v>82</v>
      </c>
      <c r="C32">
        <v>78.061950274725305</v>
      </c>
      <c r="D32">
        <v>31</v>
      </c>
      <c r="E32">
        <v>99.478499999999997</v>
      </c>
      <c r="F32">
        <v>82.902124999999998</v>
      </c>
      <c r="G32">
        <v>92.783615384615402</v>
      </c>
      <c r="H32">
        <v>92.331249999999997</v>
      </c>
      <c r="I32">
        <v>66.303250000000006</v>
      </c>
      <c r="J32">
        <v>74.022800000000004</v>
      </c>
      <c r="K32">
        <v>70.573499999999996</v>
      </c>
      <c r="L32">
        <v>85.521142857142905</v>
      </c>
      <c r="M32">
        <v>99.1288571428571</v>
      </c>
      <c r="N32">
        <v>82.632000000000005</v>
      </c>
      <c r="O32">
        <v>87.032333333333298</v>
      </c>
      <c r="P32">
        <v>73.103714285714304</v>
      </c>
      <c r="Q32">
        <v>69.745000000000005</v>
      </c>
      <c r="R32">
        <v>55.428166666666698</v>
      </c>
      <c r="S32">
        <v>54.129800000000003</v>
      </c>
      <c r="T32">
        <v>77.875600000000006</v>
      </c>
      <c r="U32">
        <v>64.061499999999995</v>
      </c>
    </row>
    <row r="33" spans="1:21" x14ac:dyDescent="0.2">
      <c r="A33" t="s">
        <v>83</v>
      </c>
      <c r="B33" t="s">
        <v>84</v>
      </c>
      <c r="C33">
        <v>77.738373605806004</v>
      </c>
      <c r="D33">
        <v>32</v>
      </c>
      <c r="E33">
        <v>98.462500000000006</v>
      </c>
      <c r="F33">
        <v>67.562250000000006</v>
      </c>
      <c r="G33">
        <v>84.733928571428606</v>
      </c>
      <c r="H33">
        <v>90.707750000000004</v>
      </c>
      <c r="I33">
        <v>76.375500000000002</v>
      </c>
      <c r="J33">
        <v>75.793000000000006</v>
      </c>
      <c r="K33">
        <v>97.52225</v>
      </c>
      <c r="L33">
        <v>84.241714285714295</v>
      </c>
      <c r="M33">
        <v>59.871714285714297</v>
      </c>
      <c r="N33">
        <v>51.831499999999998</v>
      </c>
      <c r="O33">
        <v>92.534999999999997</v>
      </c>
      <c r="P33">
        <v>70.791571428571402</v>
      </c>
      <c r="Q33">
        <v>92.452666666666701</v>
      </c>
      <c r="R33">
        <v>60.000666666666703</v>
      </c>
      <c r="S33">
        <v>59.050400000000003</v>
      </c>
      <c r="T33">
        <v>78.127272727272697</v>
      </c>
      <c r="U33">
        <v>81.492666666666693</v>
      </c>
    </row>
    <row r="34" spans="1:21" x14ac:dyDescent="0.2">
      <c r="A34" t="s">
        <v>85</v>
      </c>
      <c r="B34" t="s">
        <v>86</v>
      </c>
      <c r="C34">
        <v>77.645349551979905</v>
      </c>
      <c r="D34">
        <v>33</v>
      </c>
      <c r="E34">
        <v>99.973500000000001</v>
      </c>
      <c r="F34">
        <v>58.858874999999998</v>
      </c>
      <c r="G34">
        <v>96.474428571428604</v>
      </c>
      <c r="H34">
        <v>98.281999999999996</v>
      </c>
      <c r="I34">
        <v>85.255666666666698</v>
      </c>
      <c r="J34">
        <v>81.592399999999998</v>
      </c>
      <c r="K34">
        <v>56.490499999999997</v>
      </c>
      <c r="L34">
        <v>85.683285714285702</v>
      </c>
      <c r="M34">
        <v>88.551714285714297</v>
      </c>
      <c r="N34">
        <v>84.001000000000005</v>
      </c>
      <c r="O34">
        <v>99.014250000000004</v>
      </c>
      <c r="P34">
        <v>39.521714285714303</v>
      </c>
      <c r="Q34">
        <v>49.365333333333297</v>
      </c>
      <c r="S34">
        <v>67.693600000000004</v>
      </c>
      <c r="T34">
        <v>89.694181818181804</v>
      </c>
      <c r="U34">
        <v>73.380499999999998</v>
      </c>
    </row>
    <row r="35" spans="1:21" x14ac:dyDescent="0.2">
      <c r="A35" t="s">
        <v>87</v>
      </c>
      <c r="B35" t="s">
        <v>88</v>
      </c>
      <c r="C35">
        <v>77.495291399286998</v>
      </c>
      <c r="D35">
        <v>34</v>
      </c>
      <c r="E35">
        <v>99.081000000000003</v>
      </c>
      <c r="F35">
        <v>63.578625000000002</v>
      </c>
      <c r="G35">
        <v>83.562714285714307</v>
      </c>
      <c r="H35">
        <v>94.941999999999993</v>
      </c>
      <c r="I35">
        <v>78.960499999999996</v>
      </c>
      <c r="J35">
        <v>83.313000000000002</v>
      </c>
      <c r="K35">
        <v>70.290499999999994</v>
      </c>
      <c r="L35">
        <v>66.609142857142899</v>
      </c>
      <c r="M35">
        <v>55.486428571428597</v>
      </c>
      <c r="N35">
        <v>100</v>
      </c>
      <c r="O35">
        <v>84.996250000000003</v>
      </c>
      <c r="P35">
        <v>71.070714285714303</v>
      </c>
      <c r="Q35">
        <v>68.595666666666702</v>
      </c>
      <c r="S35">
        <v>94.338800000000006</v>
      </c>
      <c r="T35">
        <v>61.233090909090897</v>
      </c>
      <c r="U35">
        <v>76.047499999999999</v>
      </c>
    </row>
    <row r="36" spans="1:21" x14ac:dyDescent="0.2">
      <c r="A36" t="s">
        <v>89</v>
      </c>
      <c r="B36" t="s">
        <v>90</v>
      </c>
      <c r="C36">
        <v>77.460526330532204</v>
      </c>
      <c r="D36">
        <v>35</v>
      </c>
      <c r="E36">
        <v>98.581000000000003</v>
      </c>
      <c r="F36">
        <v>72.9345</v>
      </c>
      <c r="G36">
        <v>80.580428571428598</v>
      </c>
      <c r="H36">
        <v>84.569500000000005</v>
      </c>
      <c r="I36">
        <v>55.134999999999998</v>
      </c>
      <c r="J36">
        <v>76.258200000000002</v>
      </c>
      <c r="K36">
        <v>76.433999999999997</v>
      </c>
      <c r="L36">
        <v>83.168571428571397</v>
      </c>
      <c r="M36">
        <v>69.406714285714301</v>
      </c>
      <c r="N36">
        <v>77.218500000000006</v>
      </c>
      <c r="O36">
        <v>85.270250000000004</v>
      </c>
      <c r="P36">
        <v>79.174000000000007</v>
      </c>
      <c r="Q36">
        <v>87.217333333333301</v>
      </c>
      <c r="R36">
        <v>86.662400000000005</v>
      </c>
      <c r="S36">
        <v>79.509600000000006</v>
      </c>
      <c r="T36">
        <v>73.445700000000002</v>
      </c>
      <c r="U36">
        <v>51.263249999999999</v>
      </c>
    </row>
    <row r="37" spans="1:21" x14ac:dyDescent="0.2">
      <c r="A37" t="s">
        <v>91</v>
      </c>
      <c r="B37" t="s">
        <v>92</v>
      </c>
      <c r="C37">
        <v>77.336971746880593</v>
      </c>
      <c r="D37">
        <v>36</v>
      </c>
      <c r="E37">
        <v>99.983500000000006</v>
      </c>
      <c r="F37">
        <v>75.804749999999999</v>
      </c>
      <c r="G37">
        <v>82.455285714285694</v>
      </c>
      <c r="H37">
        <v>93.613749999999996</v>
      </c>
      <c r="I37">
        <v>64.917500000000004</v>
      </c>
      <c r="J37">
        <v>75.0428</v>
      </c>
      <c r="K37">
        <v>71.410749999999993</v>
      </c>
      <c r="L37">
        <v>81.746428571428595</v>
      </c>
      <c r="M37">
        <v>71.889571428571401</v>
      </c>
      <c r="N37">
        <v>75.266000000000005</v>
      </c>
      <c r="O37">
        <v>73.221333333333405</v>
      </c>
      <c r="P37">
        <v>85.386714285714305</v>
      </c>
      <c r="Q37">
        <v>88.529333333333298</v>
      </c>
      <c r="S37">
        <v>60.751600000000003</v>
      </c>
      <c r="T37">
        <v>65.923181818181803</v>
      </c>
      <c r="U37">
        <v>83.471999999999994</v>
      </c>
    </row>
    <row r="38" spans="1:21" x14ac:dyDescent="0.2">
      <c r="A38" t="s">
        <v>93</v>
      </c>
      <c r="B38" t="s">
        <v>94</v>
      </c>
      <c r="C38">
        <v>76.805112032085603</v>
      </c>
      <c r="D38">
        <v>37</v>
      </c>
      <c r="E38">
        <v>99.983500000000006</v>
      </c>
      <c r="F38">
        <v>59.637999999999998</v>
      </c>
      <c r="G38">
        <v>86.083642857142905</v>
      </c>
      <c r="H38">
        <v>98.138499999999993</v>
      </c>
      <c r="I38">
        <v>75.914000000000001</v>
      </c>
      <c r="J38">
        <v>78.831400000000002</v>
      </c>
      <c r="K38">
        <v>69.943250000000006</v>
      </c>
      <c r="L38">
        <v>81.098571428571404</v>
      </c>
      <c r="M38">
        <v>75.529285714285706</v>
      </c>
      <c r="N38">
        <v>70.888999999999996</v>
      </c>
      <c r="O38">
        <v>82.819749999999999</v>
      </c>
      <c r="P38">
        <v>46.878999999999998</v>
      </c>
      <c r="Q38">
        <v>58.387999999999998</v>
      </c>
      <c r="R38">
        <v>81.986199999999997</v>
      </c>
      <c r="S38">
        <v>95.283600000000007</v>
      </c>
      <c r="T38">
        <v>84.764454545454598</v>
      </c>
      <c r="U38">
        <v>59.516750000000002</v>
      </c>
    </row>
    <row r="39" spans="1:21" x14ac:dyDescent="0.2">
      <c r="A39" t="s">
        <v>95</v>
      </c>
      <c r="B39" t="s">
        <v>96</v>
      </c>
      <c r="C39">
        <v>76.517697905525907</v>
      </c>
      <c r="D39">
        <v>38</v>
      </c>
      <c r="F39">
        <v>67.898124999999993</v>
      </c>
      <c r="G39">
        <v>75.404642857142903</v>
      </c>
      <c r="H39">
        <v>91.875333333333302</v>
      </c>
      <c r="I39">
        <v>67.697249999999997</v>
      </c>
      <c r="J39">
        <v>76.055999999999997</v>
      </c>
      <c r="K39">
        <v>70.716999999999999</v>
      </c>
      <c r="L39">
        <v>78.369142857142904</v>
      </c>
      <c r="M39">
        <v>49.939833333333297</v>
      </c>
      <c r="N39">
        <v>100</v>
      </c>
      <c r="O39">
        <v>80.185749999999999</v>
      </c>
      <c r="P39">
        <v>84.511714285714305</v>
      </c>
      <c r="Q39">
        <v>85.793499999999995</v>
      </c>
      <c r="R39">
        <v>61.366</v>
      </c>
      <c r="S39">
        <v>79.627799999999993</v>
      </c>
      <c r="T39">
        <v>62.795999999999999</v>
      </c>
      <c r="U39">
        <v>76.773750000000007</v>
      </c>
    </row>
    <row r="40" spans="1:21" x14ac:dyDescent="0.2">
      <c r="A40" t="s">
        <v>97</v>
      </c>
      <c r="B40" t="s">
        <v>98</v>
      </c>
      <c r="C40">
        <v>75.914397052457403</v>
      </c>
      <c r="D40">
        <v>39</v>
      </c>
      <c r="E40">
        <v>98.863500000000002</v>
      </c>
      <c r="F40">
        <v>68.605374999999995</v>
      </c>
      <c r="G40">
        <v>88.6767857142857</v>
      </c>
      <c r="H40">
        <v>93.912333333333294</v>
      </c>
      <c r="I40">
        <v>76.790999999999997</v>
      </c>
      <c r="J40">
        <v>83.626199999999997</v>
      </c>
      <c r="K40">
        <v>73.511250000000004</v>
      </c>
      <c r="L40">
        <v>81.903999999999996</v>
      </c>
      <c r="M40">
        <v>97.83</v>
      </c>
      <c r="N40">
        <v>57.469000000000001</v>
      </c>
      <c r="O40">
        <v>89.346249999999998</v>
      </c>
      <c r="P40">
        <v>59.907428571428603</v>
      </c>
      <c r="Q40">
        <v>52.518333333333302</v>
      </c>
      <c r="R40">
        <v>65.659166666666707</v>
      </c>
      <c r="S40">
        <v>60.409399999999998</v>
      </c>
      <c r="T40">
        <v>68.584727272727307</v>
      </c>
      <c r="U40">
        <v>72.930000000000007</v>
      </c>
    </row>
    <row r="41" spans="1:21" x14ac:dyDescent="0.2">
      <c r="A41" t="s">
        <v>99</v>
      </c>
      <c r="B41" t="s">
        <v>100</v>
      </c>
      <c r="C41">
        <v>75.904118512859696</v>
      </c>
      <c r="D41">
        <v>40</v>
      </c>
      <c r="E41">
        <v>99.348500000000001</v>
      </c>
      <c r="F41">
        <v>58.370249999999999</v>
      </c>
      <c r="G41">
        <v>95.216285714285704</v>
      </c>
      <c r="H41">
        <v>89.5683333333333</v>
      </c>
      <c r="I41">
        <v>82.010499999999993</v>
      </c>
      <c r="J41">
        <v>93.898399999999995</v>
      </c>
      <c r="K41">
        <v>72.201750000000004</v>
      </c>
      <c r="L41">
        <v>86.671571428571397</v>
      </c>
      <c r="M41">
        <v>92.226714285714294</v>
      </c>
      <c r="N41">
        <v>79.172499999999999</v>
      </c>
      <c r="O41">
        <v>88.231999999999999</v>
      </c>
      <c r="P41">
        <v>52.336285714285701</v>
      </c>
      <c r="Q41">
        <v>16.858333333333299</v>
      </c>
      <c r="R41">
        <v>65.944000000000003</v>
      </c>
      <c r="S41">
        <v>62.621000000000002</v>
      </c>
      <c r="T41">
        <v>83.128090909090901</v>
      </c>
      <c r="U41">
        <v>72.5655</v>
      </c>
    </row>
    <row r="42" spans="1:21" x14ac:dyDescent="0.2">
      <c r="A42" t="s">
        <v>101</v>
      </c>
      <c r="B42" t="s">
        <v>102</v>
      </c>
      <c r="C42">
        <v>75.529445792932606</v>
      </c>
      <c r="D42">
        <v>41</v>
      </c>
      <c r="E42">
        <v>99.762</v>
      </c>
      <c r="F42">
        <v>66.262375000000006</v>
      </c>
      <c r="G42">
        <v>91.153615384615406</v>
      </c>
      <c r="H42">
        <v>99.111750000000001</v>
      </c>
      <c r="I42">
        <v>64.724249999999998</v>
      </c>
      <c r="J42">
        <v>48.706600000000002</v>
      </c>
      <c r="K42">
        <v>72.072999999999993</v>
      </c>
      <c r="L42">
        <v>87.280166666666702</v>
      </c>
      <c r="M42">
        <v>71.7397142857143</v>
      </c>
      <c r="N42">
        <v>86.632999999999996</v>
      </c>
      <c r="O42">
        <v>88.250749999999996</v>
      </c>
      <c r="P42">
        <v>58.104857142857199</v>
      </c>
      <c r="Q42">
        <v>79.181333333333299</v>
      </c>
      <c r="R42">
        <v>69.424999999999997</v>
      </c>
      <c r="S42">
        <v>82.684666666666701</v>
      </c>
      <c r="T42">
        <v>64.851500000000001</v>
      </c>
      <c r="U42">
        <v>54.055999999999997</v>
      </c>
    </row>
    <row r="43" spans="1:21" x14ac:dyDescent="0.2">
      <c r="A43" t="s">
        <v>103</v>
      </c>
      <c r="B43" t="s">
        <v>104</v>
      </c>
      <c r="C43">
        <v>75.017137891520207</v>
      </c>
      <c r="D43">
        <v>42</v>
      </c>
      <c r="E43">
        <v>88.063500000000005</v>
      </c>
      <c r="F43">
        <v>55.537857142857099</v>
      </c>
      <c r="G43">
        <v>75.136214285714303</v>
      </c>
      <c r="H43">
        <v>96.887</v>
      </c>
      <c r="I43">
        <v>61.829250000000002</v>
      </c>
      <c r="J43">
        <v>80.308999999999997</v>
      </c>
      <c r="K43">
        <v>79.795000000000002</v>
      </c>
      <c r="L43">
        <v>74.198571428571398</v>
      </c>
      <c r="M43">
        <v>53.1095714285714</v>
      </c>
      <c r="N43">
        <v>75.172499999999999</v>
      </c>
      <c r="O43">
        <v>83.944749999999999</v>
      </c>
      <c r="P43">
        <v>85.6288571428571</v>
      </c>
      <c r="Q43">
        <v>90.978999999999999</v>
      </c>
      <c r="R43">
        <v>61.103200000000001</v>
      </c>
      <c r="S43">
        <v>69.345799999999997</v>
      </c>
      <c r="T43">
        <v>74.304272727272703</v>
      </c>
      <c r="U43">
        <v>69.947000000000003</v>
      </c>
    </row>
    <row r="44" spans="1:21" x14ac:dyDescent="0.2">
      <c r="A44" t="s">
        <v>105</v>
      </c>
      <c r="B44" t="s">
        <v>106</v>
      </c>
      <c r="C44">
        <v>74.738629131652701</v>
      </c>
      <c r="D44">
        <v>43</v>
      </c>
      <c r="E44">
        <v>98.602000000000004</v>
      </c>
      <c r="F44">
        <v>58.642000000000003</v>
      </c>
      <c r="G44">
        <v>79.684642857142904</v>
      </c>
      <c r="H44">
        <v>97.978250000000003</v>
      </c>
      <c r="I44">
        <v>70.688000000000002</v>
      </c>
      <c r="J44">
        <v>76.008799999999994</v>
      </c>
      <c r="K44">
        <v>72.742999999999995</v>
      </c>
      <c r="L44">
        <v>77.198999999999998</v>
      </c>
      <c r="M44">
        <v>67.409428571428606</v>
      </c>
      <c r="N44">
        <v>73.155500000000004</v>
      </c>
      <c r="O44">
        <v>86.568749999999994</v>
      </c>
      <c r="P44">
        <v>80.630857142857195</v>
      </c>
      <c r="Q44">
        <v>81.625500000000002</v>
      </c>
      <c r="R44">
        <v>64.217666666666702</v>
      </c>
      <c r="S44">
        <v>60.218800000000002</v>
      </c>
      <c r="T44">
        <v>62.844999999999999</v>
      </c>
      <c r="U44">
        <v>62.339500000000001</v>
      </c>
    </row>
    <row r="45" spans="1:21" x14ac:dyDescent="0.2">
      <c r="A45" t="s">
        <v>107</v>
      </c>
      <c r="B45" t="s">
        <v>108</v>
      </c>
      <c r="C45">
        <v>74.620047549019603</v>
      </c>
      <c r="D45">
        <v>44</v>
      </c>
      <c r="E45">
        <v>99.983500000000006</v>
      </c>
      <c r="F45">
        <v>68.189625000000007</v>
      </c>
      <c r="G45">
        <v>79.283000000000001</v>
      </c>
      <c r="H45">
        <v>79.548000000000002</v>
      </c>
      <c r="I45">
        <v>71.632499999999993</v>
      </c>
      <c r="J45">
        <v>66.293000000000006</v>
      </c>
      <c r="K45">
        <v>71.287666666666695</v>
      </c>
      <c r="L45">
        <v>82.2637142857143</v>
      </c>
      <c r="M45">
        <v>66.188571428571393</v>
      </c>
      <c r="N45">
        <v>51.034500000000001</v>
      </c>
      <c r="O45">
        <v>73.373000000000005</v>
      </c>
      <c r="P45">
        <v>75.083714285714294</v>
      </c>
      <c r="Q45">
        <v>84.1726666666667</v>
      </c>
      <c r="R45">
        <v>65.668400000000005</v>
      </c>
      <c r="S45">
        <v>94.142600000000002</v>
      </c>
      <c r="T45">
        <v>68.504599999999996</v>
      </c>
      <c r="U45">
        <v>71.891750000000002</v>
      </c>
    </row>
    <row r="46" spans="1:21" x14ac:dyDescent="0.2">
      <c r="A46" t="s">
        <v>109</v>
      </c>
      <c r="B46" t="s">
        <v>110</v>
      </c>
      <c r="C46">
        <v>74.405434300993093</v>
      </c>
      <c r="D46">
        <v>45</v>
      </c>
      <c r="E46">
        <v>92.081000000000003</v>
      </c>
      <c r="F46">
        <v>60.3831428571429</v>
      </c>
      <c r="G46">
        <v>74.912928571428594</v>
      </c>
      <c r="H46">
        <v>92.578249999999997</v>
      </c>
      <c r="I46">
        <v>61.652250000000002</v>
      </c>
      <c r="J46">
        <v>66.422799999999995</v>
      </c>
      <c r="K46">
        <v>78.085499999999996</v>
      </c>
      <c r="L46">
        <v>69.6202857142857</v>
      </c>
      <c r="M46">
        <v>37.527000000000001</v>
      </c>
      <c r="N46">
        <v>92.668999999999997</v>
      </c>
      <c r="O46">
        <v>89.225999999999999</v>
      </c>
      <c r="P46">
        <v>91.934571428571402</v>
      </c>
      <c r="Q46">
        <v>94.814333333333295</v>
      </c>
      <c r="S46">
        <v>70.873000000000005</v>
      </c>
      <c r="T46">
        <v>55.205300000000001</v>
      </c>
      <c r="U46">
        <v>71.593000000000004</v>
      </c>
    </row>
    <row r="47" spans="1:21" x14ac:dyDescent="0.2">
      <c r="A47" t="s">
        <v>111</v>
      </c>
      <c r="B47" t="s">
        <v>112</v>
      </c>
      <c r="C47">
        <v>74.135616262162799</v>
      </c>
      <c r="D47">
        <v>46</v>
      </c>
      <c r="F47">
        <v>60.8578571428571</v>
      </c>
      <c r="G47">
        <v>84.555857142857107</v>
      </c>
      <c r="H47">
        <v>92.384249999999994</v>
      </c>
      <c r="I47">
        <v>83.437250000000006</v>
      </c>
      <c r="J47">
        <v>73.164199999999994</v>
      </c>
      <c r="K47">
        <v>76.556749999999994</v>
      </c>
      <c r="L47">
        <v>93.382750000000001</v>
      </c>
      <c r="M47">
        <v>40.384999999999998</v>
      </c>
      <c r="O47">
        <v>64.673249999999996</v>
      </c>
      <c r="P47">
        <v>88.390199999999993</v>
      </c>
      <c r="Q47">
        <v>91.595500000000001</v>
      </c>
      <c r="R47">
        <v>75.219666666666697</v>
      </c>
      <c r="S47">
        <v>71.664400000000001</v>
      </c>
      <c r="T47">
        <v>60.4598333333333</v>
      </c>
      <c r="U47">
        <v>87.9</v>
      </c>
    </row>
    <row r="48" spans="1:21" x14ac:dyDescent="0.2">
      <c r="A48" t="s">
        <v>113</v>
      </c>
      <c r="B48" t="s">
        <v>114</v>
      </c>
      <c r="C48">
        <v>74.019860956690394</v>
      </c>
      <c r="D48">
        <v>47</v>
      </c>
      <c r="E48">
        <v>99.863</v>
      </c>
      <c r="F48">
        <v>63.803142857142902</v>
      </c>
      <c r="G48">
        <v>76.8783076923077</v>
      </c>
      <c r="H48">
        <v>64.143333333333302</v>
      </c>
      <c r="I48">
        <v>47.127000000000002</v>
      </c>
      <c r="J48">
        <v>73.244</v>
      </c>
      <c r="K48">
        <v>71.337000000000003</v>
      </c>
      <c r="L48">
        <v>76.867999999999995</v>
      </c>
      <c r="M48">
        <v>47.321857142857098</v>
      </c>
      <c r="N48">
        <v>80.753500000000003</v>
      </c>
      <c r="O48">
        <v>74.637</v>
      </c>
      <c r="P48">
        <v>78.261428571428596</v>
      </c>
      <c r="Q48">
        <v>88.206666666666706</v>
      </c>
      <c r="R48">
        <v>83.721999999999994</v>
      </c>
      <c r="S48">
        <v>81.323599999999999</v>
      </c>
      <c r="T48">
        <v>66.1678</v>
      </c>
      <c r="U48">
        <v>84.68</v>
      </c>
    </row>
    <row r="49" spans="1:21" x14ac:dyDescent="0.2">
      <c r="A49" t="s">
        <v>115</v>
      </c>
      <c r="B49" t="s">
        <v>116</v>
      </c>
      <c r="C49">
        <v>73.970339075630307</v>
      </c>
      <c r="D49">
        <v>48</v>
      </c>
      <c r="E49">
        <v>98.626000000000005</v>
      </c>
      <c r="F49">
        <v>55.391714285714301</v>
      </c>
      <c r="G49">
        <v>96.335166666666694</v>
      </c>
      <c r="H49">
        <v>99.584333333333305</v>
      </c>
      <c r="I49">
        <v>76.097999999999999</v>
      </c>
      <c r="J49">
        <v>68.208200000000005</v>
      </c>
      <c r="K49">
        <v>71.721249999999998</v>
      </c>
      <c r="L49">
        <v>84.289333333333403</v>
      </c>
      <c r="M49">
        <v>94.729571428571404</v>
      </c>
      <c r="N49">
        <v>71.5535</v>
      </c>
      <c r="O49">
        <v>84.626000000000005</v>
      </c>
      <c r="P49">
        <v>66.557428571428602</v>
      </c>
      <c r="Q49">
        <v>67.152666666666704</v>
      </c>
      <c r="R49">
        <v>37.539200000000001</v>
      </c>
      <c r="S49">
        <v>49.356400000000001</v>
      </c>
      <c r="T49">
        <v>69.597250000000003</v>
      </c>
      <c r="U49">
        <v>66.129750000000001</v>
      </c>
    </row>
    <row r="50" spans="1:21" x14ac:dyDescent="0.2">
      <c r="A50" t="s">
        <v>117</v>
      </c>
      <c r="B50" t="s">
        <v>118</v>
      </c>
      <c r="C50">
        <v>73.786280015082994</v>
      </c>
      <c r="D50">
        <v>49</v>
      </c>
      <c r="E50">
        <v>98.843000000000004</v>
      </c>
      <c r="F50">
        <v>59.072571428571401</v>
      </c>
      <c r="G50">
        <v>80.256076923076904</v>
      </c>
      <c r="H50">
        <v>97.117000000000004</v>
      </c>
      <c r="I50">
        <v>67.294749999999993</v>
      </c>
      <c r="J50">
        <v>75.115399999999994</v>
      </c>
      <c r="K50">
        <v>64.423249999999996</v>
      </c>
      <c r="L50">
        <v>81.612857142857095</v>
      </c>
      <c r="M50">
        <v>75.945714285714303</v>
      </c>
      <c r="N50">
        <v>78.965500000000006</v>
      </c>
      <c r="O50">
        <v>83.355666666666707</v>
      </c>
      <c r="P50">
        <v>80.560857142857103</v>
      </c>
      <c r="Q50">
        <v>69.881</v>
      </c>
      <c r="R50">
        <v>53.436166666666701</v>
      </c>
      <c r="S50">
        <v>66.098200000000006</v>
      </c>
      <c r="T50">
        <v>47.7605</v>
      </c>
      <c r="U50">
        <v>74.628249999999994</v>
      </c>
    </row>
    <row r="51" spans="1:21" x14ac:dyDescent="0.2">
      <c r="A51" t="s">
        <v>119</v>
      </c>
      <c r="B51" t="s">
        <v>120</v>
      </c>
      <c r="C51">
        <v>73.689393035395995</v>
      </c>
      <c r="D51">
        <v>50</v>
      </c>
      <c r="E51">
        <v>93.3005</v>
      </c>
      <c r="F51">
        <v>68.717500000000001</v>
      </c>
      <c r="G51">
        <v>77.652142857142906</v>
      </c>
      <c r="H51">
        <v>85.932500000000005</v>
      </c>
      <c r="I51">
        <v>70.367999999999995</v>
      </c>
      <c r="J51">
        <v>86.071200000000005</v>
      </c>
      <c r="K51">
        <v>90.611750000000001</v>
      </c>
      <c r="L51">
        <v>76.011571428571401</v>
      </c>
      <c r="M51">
        <v>68.968999999999994</v>
      </c>
      <c r="N51">
        <v>19.859000000000002</v>
      </c>
      <c r="O51">
        <v>80.866500000000002</v>
      </c>
      <c r="P51">
        <v>83.522714285714301</v>
      </c>
      <c r="Q51">
        <v>93.861333333333306</v>
      </c>
      <c r="R51">
        <v>63.779833333333301</v>
      </c>
      <c r="S51">
        <v>61.652999999999999</v>
      </c>
      <c r="T51">
        <v>56.906636363636402</v>
      </c>
      <c r="U51">
        <v>74.636499999999998</v>
      </c>
    </row>
    <row r="52" spans="1:21" x14ac:dyDescent="0.2">
      <c r="A52" t="s">
        <v>121</v>
      </c>
      <c r="B52" t="s">
        <v>122</v>
      </c>
      <c r="C52">
        <v>73.685218767506996</v>
      </c>
      <c r="D52">
        <v>51</v>
      </c>
      <c r="E52">
        <v>96.825999999999993</v>
      </c>
      <c r="F52">
        <v>68.669250000000005</v>
      </c>
      <c r="G52">
        <v>81.010928571428593</v>
      </c>
      <c r="H52">
        <v>97.85</v>
      </c>
      <c r="I52">
        <v>82.611249999999998</v>
      </c>
      <c r="J52">
        <v>77.941199999999995</v>
      </c>
      <c r="K52">
        <v>73.034750000000003</v>
      </c>
      <c r="L52">
        <v>79.164285714285697</v>
      </c>
      <c r="M52">
        <v>54.577285714285701</v>
      </c>
      <c r="N52">
        <v>41.061</v>
      </c>
      <c r="O52">
        <v>83.35</v>
      </c>
      <c r="P52">
        <v>78.1352857142857</v>
      </c>
      <c r="Q52">
        <v>88.774666666666704</v>
      </c>
      <c r="R52">
        <v>61.724166666666697</v>
      </c>
      <c r="S52">
        <v>60.020400000000002</v>
      </c>
      <c r="T52">
        <v>61.673999999999999</v>
      </c>
      <c r="U52">
        <v>66.224249999999998</v>
      </c>
    </row>
    <row r="53" spans="1:21" x14ac:dyDescent="0.2">
      <c r="A53" t="s">
        <v>123</v>
      </c>
      <c r="B53" t="s">
        <v>124</v>
      </c>
      <c r="C53">
        <v>73.556893258212398</v>
      </c>
      <c r="D53">
        <v>52</v>
      </c>
      <c r="E53">
        <v>93.772999999999996</v>
      </c>
      <c r="F53">
        <v>53.907375000000002</v>
      </c>
      <c r="G53">
        <v>88.287714285714301</v>
      </c>
      <c r="H53">
        <v>99.168499999999995</v>
      </c>
      <c r="I53">
        <v>82.036749999999998</v>
      </c>
      <c r="J53">
        <v>74.546599999999998</v>
      </c>
      <c r="K53">
        <v>85.460250000000002</v>
      </c>
      <c r="L53">
        <v>74.445714285714303</v>
      </c>
      <c r="M53">
        <v>59.6198571428571</v>
      </c>
      <c r="N53">
        <v>19.295999999999999</v>
      </c>
      <c r="O53">
        <v>90.876750000000001</v>
      </c>
      <c r="P53">
        <v>77.041142857142901</v>
      </c>
      <c r="Q53">
        <v>89.790999999999997</v>
      </c>
      <c r="R53">
        <v>56.319000000000003</v>
      </c>
      <c r="S53">
        <v>65.113600000000005</v>
      </c>
      <c r="T53">
        <v>73.806181818181798</v>
      </c>
      <c r="U53">
        <v>66.97775</v>
      </c>
    </row>
    <row r="54" spans="1:21" x14ac:dyDescent="0.2">
      <c r="A54" t="s">
        <v>125</v>
      </c>
      <c r="B54" t="s">
        <v>126</v>
      </c>
      <c r="C54">
        <v>73.527472816399296</v>
      </c>
      <c r="D54">
        <v>53</v>
      </c>
      <c r="E54">
        <v>100</v>
      </c>
      <c r="F54">
        <v>62.729571428571397</v>
      </c>
      <c r="G54">
        <v>72.943357142857096</v>
      </c>
      <c r="H54">
        <v>87.666749999999993</v>
      </c>
      <c r="I54">
        <v>54.683</v>
      </c>
      <c r="J54">
        <v>66.269199999999998</v>
      </c>
      <c r="K54">
        <v>67.844750000000005</v>
      </c>
      <c r="L54">
        <v>73.756500000000003</v>
      </c>
      <c r="M54">
        <v>41.183</v>
      </c>
      <c r="N54">
        <v>97.5</v>
      </c>
      <c r="O54">
        <v>82.194000000000003</v>
      </c>
      <c r="P54">
        <v>86.302428571428607</v>
      </c>
      <c r="Q54">
        <v>82.679666666666705</v>
      </c>
      <c r="S54">
        <v>65.722399999999993</v>
      </c>
      <c r="T54">
        <v>67.145142857142901</v>
      </c>
      <c r="U54">
        <v>76.033249999999995</v>
      </c>
    </row>
    <row r="55" spans="1:21" x14ac:dyDescent="0.2">
      <c r="A55" t="s">
        <v>127</v>
      </c>
      <c r="B55" t="s">
        <v>128</v>
      </c>
      <c r="C55">
        <v>73.506097364400304</v>
      </c>
      <c r="D55">
        <v>54</v>
      </c>
      <c r="E55">
        <v>98.628500000000003</v>
      </c>
      <c r="F55">
        <v>59.251857142857197</v>
      </c>
      <c r="G55">
        <v>81.918642857142899</v>
      </c>
      <c r="H55">
        <v>86.8065</v>
      </c>
      <c r="I55">
        <v>60.848500000000001</v>
      </c>
      <c r="J55">
        <v>73.745800000000003</v>
      </c>
      <c r="K55">
        <v>84.338499999999996</v>
      </c>
      <c r="L55">
        <v>66.187428571428597</v>
      </c>
      <c r="M55">
        <v>43.613</v>
      </c>
      <c r="N55">
        <v>88.070999999999998</v>
      </c>
      <c r="O55">
        <v>77.366</v>
      </c>
      <c r="P55">
        <v>81.697285714285698</v>
      </c>
      <c r="Q55">
        <v>90.575999999999993</v>
      </c>
      <c r="R55">
        <v>50.171999999999997</v>
      </c>
      <c r="S55">
        <v>79.600800000000007</v>
      </c>
      <c r="T55">
        <v>60.698090909090901</v>
      </c>
      <c r="U55">
        <v>66.083749999999995</v>
      </c>
    </row>
    <row r="56" spans="1:21" x14ac:dyDescent="0.2">
      <c r="A56" t="s">
        <v>129</v>
      </c>
      <c r="B56" t="s">
        <v>130</v>
      </c>
      <c r="C56">
        <v>73.322322650878604</v>
      </c>
      <c r="D56">
        <v>55</v>
      </c>
      <c r="E56">
        <v>97.007499999999993</v>
      </c>
      <c r="F56">
        <v>73.629750000000001</v>
      </c>
      <c r="G56">
        <v>69.863357142857097</v>
      </c>
      <c r="H56">
        <v>97.380499999999998</v>
      </c>
      <c r="I56">
        <v>74.382499999999993</v>
      </c>
      <c r="J56">
        <v>74.255799999999994</v>
      </c>
      <c r="K56">
        <v>69.012</v>
      </c>
      <c r="L56">
        <v>76.199142857142903</v>
      </c>
      <c r="M56">
        <v>58.105285714285699</v>
      </c>
      <c r="N56">
        <v>70.388000000000005</v>
      </c>
      <c r="O56">
        <v>87.811999999999998</v>
      </c>
      <c r="P56">
        <v>90.188285714285698</v>
      </c>
      <c r="Q56">
        <v>92.233000000000004</v>
      </c>
      <c r="R56">
        <v>47.661000000000001</v>
      </c>
      <c r="S56">
        <v>44.573999999999998</v>
      </c>
      <c r="T56">
        <v>64.377363636363597</v>
      </c>
      <c r="U56">
        <v>59.41</v>
      </c>
    </row>
    <row r="57" spans="1:21" x14ac:dyDescent="0.2">
      <c r="A57" t="s">
        <v>131</v>
      </c>
      <c r="B57" t="s">
        <v>132</v>
      </c>
      <c r="C57">
        <v>73.258052222777195</v>
      </c>
      <c r="D57">
        <v>56</v>
      </c>
      <c r="E57">
        <v>96.298500000000004</v>
      </c>
      <c r="F57">
        <v>53.636285714285698</v>
      </c>
      <c r="G57">
        <v>76.966615384615395</v>
      </c>
      <c r="H57">
        <v>66.664500000000004</v>
      </c>
      <c r="I57">
        <v>68.443749999999994</v>
      </c>
      <c r="J57">
        <v>65.622399999999999</v>
      </c>
      <c r="K57">
        <v>74.427250000000001</v>
      </c>
      <c r="L57">
        <v>73.389499999999998</v>
      </c>
      <c r="M57">
        <v>46.703857142857103</v>
      </c>
      <c r="N57">
        <v>100</v>
      </c>
      <c r="O57">
        <v>75.577250000000006</v>
      </c>
      <c r="P57">
        <v>88.38</v>
      </c>
      <c r="Q57">
        <v>91.865333333333297</v>
      </c>
      <c r="S57">
        <v>61.942</v>
      </c>
      <c r="T57">
        <v>75.554374999999993</v>
      </c>
      <c r="U57">
        <v>64.601249999999993</v>
      </c>
    </row>
    <row r="58" spans="1:21" x14ac:dyDescent="0.2">
      <c r="A58" t="s">
        <v>133</v>
      </c>
      <c r="B58" t="s">
        <v>134</v>
      </c>
      <c r="C58">
        <v>72.877044155354398</v>
      </c>
      <c r="D58">
        <v>57</v>
      </c>
      <c r="E58">
        <v>89.651499999999999</v>
      </c>
      <c r="F58">
        <v>61.233375000000002</v>
      </c>
      <c r="G58">
        <v>71.167692307692306</v>
      </c>
      <c r="H58">
        <v>93.642333333333397</v>
      </c>
      <c r="I58">
        <v>59.031500000000001</v>
      </c>
      <c r="J58">
        <v>72.393249999999995</v>
      </c>
      <c r="K58">
        <v>63.353000000000002</v>
      </c>
      <c r="L58">
        <v>53.262500000000003</v>
      </c>
      <c r="M58">
        <v>60.350833333333298</v>
      </c>
      <c r="N58">
        <v>88.117999999999995</v>
      </c>
      <c r="O58">
        <v>93.975666666666697</v>
      </c>
      <c r="P58">
        <v>84.620333333333306</v>
      </c>
      <c r="Q58">
        <v>96.017499999999998</v>
      </c>
      <c r="R58">
        <v>73.079666666666697</v>
      </c>
      <c r="S58">
        <v>45.782600000000002</v>
      </c>
      <c r="T58">
        <v>71.831000000000003</v>
      </c>
      <c r="U58">
        <v>61.399000000000001</v>
      </c>
    </row>
    <row r="59" spans="1:21" x14ac:dyDescent="0.2">
      <c r="A59" t="s">
        <v>135</v>
      </c>
      <c r="B59" t="s">
        <v>136</v>
      </c>
      <c r="C59">
        <v>72.503497453526904</v>
      </c>
      <c r="D59">
        <v>58</v>
      </c>
      <c r="E59">
        <v>97.912499999999994</v>
      </c>
      <c r="F59">
        <v>61.53875</v>
      </c>
      <c r="G59">
        <v>78.918714285714302</v>
      </c>
      <c r="H59">
        <v>93.118666666666698</v>
      </c>
      <c r="I59">
        <v>50.97175</v>
      </c>
      <c r="J59">
        <v>63.937600000000003</v>
      </c>
      <c r="K59">
        <v>70.203249999999997</v>
      </c>
      <c r="L59">
        <v>62.535571428571401</v>
      </c>
      <c r="M59">
        <v>55.9394285714286</v>
      </c>
      <c r="N59">
        <v>80.847499999999997</v>
      </c>
      <c r="O59">
        <v>65.401250000000005</v>
      </c>
      <c r="P59">
        <v>86.688999999999993</v>
      </c>
      <c r="Q59">
        <v>93.075999999999993</v>
      </c>
      <c r="R59">
        <v>63.312166666666698</v>
      </c>
      <c r="S59">
        <v>70.9024</v>
      </c>
      <c r="T59">
        <v>60.5759090909091</v>
      </c>
      <c r="U59">
        <v>76.679000000000002</v>
      </c>
    </row>
    <row r="60" spans="1:21" x14ac:dyDescent="0.2">
      <c r="A60" t="s">
        <v>137</v>
      </c>
      <c r="B60" t="s">
        <v>138</v>
      </c>
      <c r="C60">
        <v>72.491663585434196</v>
      </c>
      <c r="D60">
        <v>59</v>
      </c>
      <c r="E60">
        <v>99.914000000000001</v>
      </c>
      <c r="F60">
        <v>53.661142857142899</v>
      </c>
      <c r="G60">
        <v>91.081500000000005</v>
      </c>
      <c r="H60">
        <v>93.936750000000004</v>
      </c>
      <c r="I60">
        <v>68.083666666666701</v>
      </c>
      <c r="J60">
        <v>67.876599999999996</v>
      </c>
      <c r="K60">
        <v>74.06</v>
      </c>
      <c r="L60">
        <v>74.777285714285696</v>
      </c>
      <c r="M60">
        <v>75.838428571428594</v>
      </c>
      <c r="N60">
        <v>85.507499999999993</v>
      </c>
      <c r="O60">
        <v>77.825500000000005</v>
      </c>
      <c r="P60">
        <v>50.849857142857097</v>
      </c>
      <c r="Q60">
        <v>68.113666666666703</v>
      </c>
      <c r="R60">
        <v>50.190333333333299</v>
      </c>
      <c r="S60">
        <v>79.011200000000002</v>
      </c>
      <c r="T60">
        <v>74.712599999999995</v>
      </c>
      <c r="U60">
        <v>46.91825</v>
      </c>
    </row>
    <row r="61" spans="1:21" x14ac:dyDescent="0.2">
      <c r="A61" t="s">
        <v>139</v>
      </c>
      <c r="B61" t="s">
        <v>140</v>
      </c>
      <c r="C61">
        <v>72.469017270964301</v>
      </c>
      <c r="D61">
        <v>60</v>
      </c>
      <c r="E61">
        <v>96.165000000000006</v>
      </c>
      <c r="F61">
        <v>62.590428571428603</v>
      </c>
      <c r="G61">
        <v>76.885692307692295</v>
      </c>
      <c r="H61">
        <v>66.581500000000005</v>
      </c>
      <c r="I61">
        <v>59.038249999999998</v>
      </c>
      <c r="J61">
        <v>71.831199999999995</v>
      </c>
      <c r="K61">
        <v>69.900750000000002</v>
      </c>
      <c r="L61">
        <v>69.974999999999994</v>
      </c>
      <c r="M61">
        <v>46.706571428571401</v>
      </c>
      <c r="N61">
        <v>81.534499999999994</v>
      </c>
      <c r="O61">
        <v>65.585333333333296</v>
      </c>
      <c r="P61">
        <v>81.205428571428598</v>
      </c>
      <c r="Q61">
        <v>90.826999999999998</v>
      </c>
      <c r="S61">
        <v>81.238799999999998</v>
      </c>
      <c r="T61">
        <v>73.925818181818201</v>
      </c>
      <c r="U61">
        <v>72.668000000000006</v>
      </c>
    </row>
    <row r="62" spans="1:21" x14ac:dyDescent="0.2">
      <c r="A62" t="s">
        <v>141</v>
      </c>
      <c r="B62" t="s">
        <v>142</v>
      </c>
      <c r="C62">
        <v>72.339075779645199</v>
      </c>
      <c r="D62">
        <v>61</v>
      </c>
      <c r="E62">
        <v>94.762500000000003</v>
      </c>
      <c r="F62">
        <v>57.945599999999999</v>
      </c>
      <c r="G62">
        <v>73.537642857142899</v>
      </c>
      <c r="H62">
        <v>87.157499999999999</v>
      </c>
      <c r="I62">
        <v>61.640999999999998</v>
      </c>
      <c r="J62">
        <v>69.579800000000006</v>
      </c>
      <c r="K62">
        <v>73.883250000000004</v>
      </c>
      <c r="L62">
        <v>72.103800000000007</v>
      </c>
      <c r="M62">
        <v>42.479666666666702</v>
      </c>
      <c r="N62">
        <v>64.369</v>
      </c>
      <c r="O62">
        <v>84.553333333333299</v>
      </c>
      <c r="P62">
        <v>88.101714285714294</v>
      </c>
      <c r="Q62">
        <v>89.945499999999996</v>
      </c>
      <c r="S62">
        <v>65.721000000000004</v>
      </c>
      <c r="T62">
        <v>80.022499999999994</v>
      </c>
      <c r="U62">
        <v>63.193249999999999</v>
      </c>
    </row>
    <row r="63" spans="1:21" x14ac:dyDescent="0.2">
      <c r="A63" t="s">
        <v>143</v>
      </c>
      <c r="B63" t="s">
        <v>144</v>
      </c>
      <c r="C63">
        <v>72.135193143621095</v>
      </c>
      <c r="D63">
        <v>62</v>
      </c>
      <c r="E63">
        <v>95.927000000000007</v>
      </c>
      <c r="F63">
        <v>75.679374999999993</v>
      </c>
      <c r="G63">
        <v>66.621285714285705</v>
      </c>
      <c r="H63">
        <v>74.229500000000002</v>
      </c>
      <c r="I63">
        <v>71.833500000000001</v>
      </c>
      <c r="J63">
        <v>67.639399999999995</v>
      </c>
      <c r="K63">
        <v>69.137249999999995</v>
      </c>
      <c r="L63">
        <v>74.393000000000001</v>
      </c>
      <c r="M63">
        <v>46.752833333333299</v>
      </c>
      <c r="N63">
        <v>54.676499999999997</v>
      </c>
      <c r="O63">
        <v>84.3185</v>
      </c>
      <c r="P63">
        <v>83.128</v>
      </c>
      <c r="Q63">
        <v>91.826999999999998</v>
      </c>
      <c r="R63">
        <v>83.899166666666702</v>
      </c>
      <c r="S63">
        <v>75.144199999999998</v>
      </c>
      <c r="T63">
        <v>53.302272727272701</v>
      </c>
      <c r="U63">
        <v>57.789499999999997</v>
      </c>
    </row>
    <row r="64" spans="1:21" x14ac:dyDescent="0.2">
      <c r="A64" t="s">
        <v>145</v>
      </c>
      <c r="B64" t="s">
        <v>146</v>
      </c>
      <c r="C64">
        <v>72.008167485455701</v>
      </c>
      <c r="D64">
        <v>63</v>
      </c>
      <c r="E64">
        <v>98.052000000000007</v>
      </c>
      <c r="F64">
        <v>83.401124999999993</v>
      </c>
      <c r="G64">
        <v>83.398461538461603</v>
      </c>
      <c r="H64">
        <v>99.531000000000006</v>
      </c>
      <c r="I64">
        <v>78.185500000000005</v>
      </c>
      <c r="J64">
        <v>68.998599999999996</v>
      </c>
      <c r="K64">
        <v>67.716499999999996</v>
      </c>
      <c r="L64">
        <v>78.897285714285701</v>
      </c>
      <c r="M64">
        <v>80.273714285714306</v>
      </c>
      <c r="N64">
        <v>34.929499999999997</v>
      </c>
      <c r="O64">
        <v>79.459000000000003</v>
      </c>
      <c r="P64">
        <v>86.999285714285705</v>
      </c>
      <c r="Q64">
        <v>77.640500000000003</v>
      </c>
      <c r="R64">
        <v>55.734499999999997</v>
      </c>
      <c r="S64">
        <v>48.935000000000002</v>
      </c>
      <c r="T64">
        <v>60.582124999999998</v>
      </c>
      <c r="U64">
        <v>41.40475</v>
      </c>
    </row>
    <row r="65" spans="1:21" x14ac:dyDescent="0.2">
      <c r="A65" t="s">
        <v>147</v>
      </c>
      <c r="B65" t="s">
        <v>148</v>
      </c>
      <c r="C65">
        <v>71.777033823529393</v>
      </c>
      <c r="D65">
        <v>64</v>
      </c>
      <c r="F65">
        <v>76.170666666666705</v>
      </c>
      <c r="G65">
        <v>94.410857142857196</v>
      </c>
      <c r="H65">
        <v>98.616</v>
      </c>
      <c r="I65">
        <v>75.117500000000007</v>
      </c>
      <c r="J65">
        <v>74.1524</v>
      </c>
      <c r="K65">
        <v>71.961749999999995</v>
      </c>
      <c r="L65">
        <v>74.816571428571393</v>
      </c>
      <c r="M65">
        <v>91.355857142857104</v>
      </c>
      <c r="O65">
        <v>96.052750000000003</v>
      </c>
      <c r="P65">
        <v>51.642714285714298</v>
      </c>
      <c r="Q65">
        <v>57.524999999999999</v>
      </c>
      <c r="R65">
        <v>47.202399999999997</v>
      </c>
      <c r="S65">
        <v>26.477499999999999</v>
      </c>
      <c r="T65">
        <v>83.183400000000006</v>
      </c>
      <c r="U65">
        <v>48.972333333333303</v>
      </c>
    </row>
    <row r="66" spans="1:21" x14ac:dyDescent="0.2">
      <c r="A66" t="s">
        <v>149</v>
      </c>
      <c r="B66" t="s">
        <v>150</v>
      </c>
      <c r="C66">
        <v>71.659076432391103</v>
      </c>
      <c r="D66">
        <v>65</v>
      </c>
      <c r="E66">
        <v>86.018000000000001</v>
      </c>
      <c r="F66">
        <v>71.423749999999998</v>
      </c>
      <c r="G66">
        <v>80.8245</v>
      </c>
      <c r="H66">
        <v>98.786500000000004</v>
      </c>
      <c r="I66">
        <v>74.927000000000007</v>
      </c>
      <c r="J66">
        <v>77.980400000000003</v>
      </c>
      <c r="K66">
        <v>74.351249999999993</v>
      </c>
      <c r="L66">
        <v>74.638857142857105</v>
      </c>
      <c r="M66">
        <v>44.751142857142902</v>
      </c>
      <c r="N66">
        <v>33.761000000000003</v>
      </c>
      <c r="O66">
        <v>70.452749999999995</v>
      </c>
      <c r="P66">
        <v>87.839285714285694</v>
      </c>
      <c r="Q66">
        <v>93.512333333333402</v>
      </c>
      <c r="R66">
        <v>78.6756666666667</v>
      </c>
      <c r="S66">
        <v>55.277999999999999</v>
      </c>
      <c r="T66">
        <v>54.2663636363636</v>
      </c>
      <c r="U66">
        <v>60.717500000000001</v>
      </c>
    </row>
    <row r="67" spans="1:21" x14ac:dyDescent="0.2">
      <c r="A67" t="s">
        <v>151</v>
      </c>
      <c r="B67" t="s">
        <v>152</v>
      </c>
      <c r="C67">
        <v>71.648263152533701</v>
      </c>
      <c r="D67">
        <v>66</v>
      </c>
      <c r="E67">
        <v>98.655000000000001</v>
      </c>
      <c r="F67">
        <v>53.442</v>
      </c>
      <c r="G67">
        <v>79.997571428571405</v>
      </c>
      <c r="H67">
        <v>86.191249999999997</v>
      </c>
      <c r="I67">
        <v>75.896500000000003</v>
      </c>
      <c r="J67">
        <v>72.363399999999999</v>
      </c>
      <c r="K67">
        <v>61.764749999999999</v>
      </c>
      <c r="L67">
        <v>76.787428571428606</v>
      </c>
      <c r="M67">
        <v>48.536428571428601</v>
      </c>
      <c r="N67">
        <v>96.327500000000001</v>
      </c>
      <c r="O67">
        <v>85.942499999999995</v>
      </c>
      <c r="P67">
        <v>78.468857142857104</v>
      </c>
      <c r="Q67">
        <v>57.061666666666703</v>
      </c>
      <c r="S67">
        <v>62.503399999999999</v>
      </c>
      <c r="T67">
        <v>62.549700000000001</v>
      </c>
      <c r="U67">
        <v>56.218499999999999</v>
      </c>
    </row>
    <row r="68" spans="1:21" x14ac:dyDescent="0.2">
      <c r="A68" t="s">
        <v>153</v>
      </c>
      <c r="B68" t="s">
        <v>154</v>
      </c>
      <c r="C68">
        <v>71.4043838235294</v>
      </c>
      <c r="D68">
        <v>67</v>
      </c>
      <c r="E68">
        <v>98.944999999999993</v>
      </c>
      <c r="F68">
        <v>51.7611428571429</v>
      </c>
      <c r="G68">
        <v>75.668499999999995</v>
      </c>
      <c r="H68">
        <v>88.159000000000006</v>
      </c>
      <c r="I68">
        <v>56.856999999999999</v>
      </c>
      <c r="J68">
        <v>65.209333333333305</v>
      </c>
      <c r="K68">
        <v>79.084500000000006</v>
      </c>
      <c r="L68">
        <v>61.567</v>
      </c>
      <c r="M68">
        <v>61.596857142857097</v>
      </c>
      <c r="N68">
        <v>66.651499999999999</v>
      </c>
      <c r="O68">
        <v>74.71575</v>
      </c>
      <c r="P68">
        <v>70.367333333333306</v>
      </c>
      <c r="Q68">
        <v>92.787499999999994</v>
      </c>
      <c r="R68">
        <v>52.0974</v>
      </c>
      <c r="S68">
        <v>54.258000000000003</v>
      </c>
      <c r="T68">
        <v>78.451374999999999</v>
      </c>
      <c r="U68">
        <v>85.697333333333304</v>
      </c>
    </row>
    <row r="69" spans="1:21" x14ac:dyDescent="0.2">
      <c r="A69" t="s">
        <v>155</v>
      </c>
      <c r="B69" t="s">
        <v>156</v>
      </c>
      <c r="C69">
        <v>71.2719973604827</v>
      </c>
      <c r="D69">
        <v>68</v>
      </c>
      <c r="E69">
        <v>100</v>
      </c>
      <c r="F69">
        <v>44.6</v>
      </c>
      <c r="G69">
        <v>86.889538461538507</v>
      </c>
      <c r="H69">
        <v>96.573750000000004</v>
      </c>
      <c r="I69">
        <v>38.504750000000001</v>
      </c>
      <c r="J69">
        <v>73.671250000000001</v>
      </c>
      <c r="K69">
        <v>64.168999999999997</v>
      </c>
      <c r="L69">
        <v>72.386333333333297</v>
      </c>
      <c r="M69">
        <v>47.801166666666703</v>
      </c>
      <c r="N69">
        <v>92.652500000000003</v>
      </c>
      <c r="O69">
        <v>80.322249999999997</v>
      </c>
      <c r="P69">
        <v>74.769333333333293</v>
      </c>
      <c r="Q69">
        <v>89.777500000000003</v>
      </c>
      <c r="R69">
        <v>63.1606666666667</v>
      </c>
      <c r="S69">
        <v>51.45</v>
      </c>
      <c r="T69">
        <v>66.446666666666701</v>
      </c>
      <c r="U69">
        <v>68.449250000000006</v>
      </c>
    </row>
    <row r="70" spans="1:21" x14ac:dyDescent="0.2">
      <c r="A70" t="s">
        <v>157</v>
      </c>
      <c r="B70" t="s">
        <v>158</v>
      </c>
      <c r="C70">
        <v>71.148246625923093</v>
      </c>
      <c r="D70">
        <v>69</v>
      </c>
      <c r="E70">
        <v>61.558500000000002</v>
      </c>
      <c r="F70">
        <v>67.459571428571394</v>
      </c>
      <c r="G70">
        <v>77.214285714285694</v>
      </c>
      <c r="H70">
        <v>85.146000000000001</v>
      </c>
      <c r="I70">
        <v>85.079250000000002</v>
      </c>
      <c r="J70">
        <v>58.805199999999999</v>
      </c>
      <c r="K70">
        <v>63.3</v>
      </c>
      <c r="L70">
        <v>72.464285714285694</v>
      </c>
      <c r="M70">
        <v>40.8264285714286</v>
      </c>
      <c r="N70">
        <v>71.545000000000002</v>
      </c>
      <c r="O70">
        <v>87.258666666666699</v>
      </c>
      <c r="P70">
        <v>93.0118333333333</v>
      </c>
      <c r="Q70">
        <v>92.82</v>
      </c>
      <c r="S70">
        <v>64.736400000000003</v>
      </c>
      <c r="T70">
        <v>59.820999999999998</v>
      </c>
      <c r="U70">
        <v>63.159750000000003</v>
      </c>
    </row>
    <row r="71" spans="1:21" x14ac:dyDescent="0.2">
      <c r="A71" t="s">
        <v>159</v>
      </c>
      <c r="B71" t="s">
        <v>160</v>
      </c>
      <c r="C71">
        <v>70.869455672268899</v>
      </c>
      <c r="D71">
        <v>70</v>
      </c>
      <c r="E71">
        <v>90.378500000000003</v>
      </c>
      <c r="F71">
        <v>64.697374999999994</v>
      </c>
      <c r="G71">
        <v>73.085857142857193</v>
      </c>
      <c r="H71">
        <v>78.568749999999994</v>
      </c>
      <c r="I71">
        <v>43.771500000000003</v>
      </c>
      <c r="J71">
        <v>63.467399999999998</v>
      </c>
      <c r="K71">
        <v>69.95</v>
      </c>
      <c r="L71">
        <v>69.123571428571395</v>
      </c>
      <c r="M71">
        <v>55.077142857142903</v>
      </c>
      <c r="N71">
        <v>53.942500000000003</v>
      </c>
      <c r="O71">
        <v>76.22475</v>
      </c>
      <c r="P71">
        <v>91.307000000000002</v>
      </c>
      <c r="Q71">
        <v>94.226333333333301</v>
      </c>
      <c r="R71">
        <v>71.872666666666703</v>
      </c>
      <c r="S71">
        <v>76.658799999999999</v>
      </c>
      <c r="T71">
        <v>62.263599999999997</v>
      </c>
      <c r="U71">
        <v>70.165000000000006</v>
      </c>
    </row>
    <row r="72" spans="1:21" x14ac:dyDescent="0.2">
      <c r="A72" t="s">
        <v>161</v>
      </c>
      <c r="B72" t="s">
        <v>162</v>
      </c>
      <c r="C72">
        <v>70.833615915457102</v>
      </c>
      <c r="D72">
        <v>71</v>
      </c>
      <c r="E72">
        <v>97.673000000000002</v>
      </c>
      <c r="F72">
        <v>57.561142857142897</v>
      </c>
      <c r="G72">
        <v>77.346928571428606</v>
      </c>
      <c r="H72">
        <v>70.054249999999996</v>
      </c>
      <c r="I72">
        <v>41.043500000000002</v>
      </c>
      <c r="J72">
        <v>58.012599999999999</v>
      </c>
      <c r="K72">
        <v>65.530500000000004</v>
      </c>
      <c r="L72">
        <v>67.458142857142903</v>
      </c>
      <c r="M72">
        <v>53.870142857142902</v>
      </c>
      <c r="N72">
        <v>97.015000000000001</v>
      </c>
      <c r="O72">
        <v>62.64725</v>
      </c>
      <c r="P72">
        <v>89.184428571428597</v>
      </c>
      <c r="Q72">
        <v>88.626666666666694</v>
      </c>
      <c r="R72">
        <v>64.767499999999998</v>
      </c>
      <c r="S72">
        <v>67.063599999999994</v>
      </c>
      <c r="T72">
        <v>65.259818181818204</v>
      </c>
      <c r="U72">
        <v>81.057000000000002</v>
      </c>
    </row>
    <row r="73" spans="1:21" x14ac:dyDescent="0.2">
      <c r="A73" t="s">
        <v>163</v>
      </c>
      <c r="B73" t="s">
        <v>164</v>
      </c>
      <c r="C73">
        <v>70.778611363146695</v>
      </c>
      <c r="D73">
        <v>72</v>
      </c>
      <c r="E73">
        <v>98.126999999999995</v>
      </c>
      <c r="F73">
        <v>65.156000000000006</v>
      </c>
      <c r="G73">
        <v>84.558692307692297</v>
      </c>
      <c r="H73">
        <v>89.420749999999998</v>
      </c>
      <c r="I73">
        <v>47.6235</v>
      </c>
      <c r="J73">
        <v>73.293000000000006</v>
      </c>
      <c r="K73">
        <v>72.149333333333303</v>
      </c>
      <c r="L73">
        <v>69.977999999999994</v>
      </c>
      <c r="M73">
        <v>71.889714285714305</v>
      </c>
      <c r="N73">
        <v>45.030999999999999</v>
      </c>
      <c r="O73">
        <v>71.545000000000002</v>
      </c>
      <c r="P73">
        <v>82.206571428571394</v>
      </c>
      <c r="Q73">
        <v>86.683000000000007</v>
      </c>
      <c r="R73">
        <v>58.6265</v>
      </c>
      <c r="S73">
        <v>53.865400000000001</v>
      </c>
      <c r="T73">
        <v>58.533181818181802</v>
      </c>
      <c r="U73">
        <v>74.549750000000003</v>
      </c>
    </row>
    <row r="74" spans="1:21" x14ac:dyDescent="0.2">
      <c r="A74" t="s">
        <v>165</v>
      </c>
      <c r="B74" t="s">
        <v>166</v>
      </c>
      <c r="C74">
        <v>70.658965508021396</v>
      </c>
      <c r="D74">
        <v>73</v>
      </c>
      <c r="E74">
        <v>93.987499999999997</v>
      </c>
      <c r="F74">
        <v>56.222749999999998</v>
      </c>
      <c r="G74">
        <v>80.278928571428594</v>
      </c>
      <c r="H74">
        <v>81.586500000000001</v>
      </c>
      <c r="I74">
        <v>65.167249999999996</v>
      </c>
      <c r="J74">
        <v>72.592600000000004</v>
      </c>
      <c r="K74">
        <v>72.659750000000003</v>
      </c>
      <c r="L74">
        <v>71.729714285714294</v>
      </c>
      <c r="M74">
        <v>37.590714285714299</v>
      </c>
      <c r="N74">
        <v>57.740499999999997</v>
      </c>
      <c r="O74">
        <v>86.291499999999999</v>
      </c>
      <c r="P74">
        <v>87.028142857142896</v>
      </c>
      <c r="Q74">
        <v>94.843000000000004</v>
      </c>
      <c r="R74">
        <v>43.606499999999997</v>
      </c>
      <c r="S74">
        <v>70.089200000000005</v>
      </c>
      <c r="T74">
        <v>60.447363636363598</v>
      </c>
      <c r="U74">
        <v>69.340500000000006</v>
      </c>
    </row>
    <row r="75" spans="1:21" x14ac:dyDescent="0.2">
      <c r="A75" t="s">
        <v>167</v>
      </c>
      <c r="B75" t="s">
        <v>168</v>
      </c>
      <c r="C75">
        <v>70.434238375350105</v>
      </c>
      <c r="D75">
        <v>74</v>
      </c>
      <c r="E75">
        <v>83.945499999999996</v>
      </c>
      <c r="F75">
        <v>57.801499999999997</v>
      </c>
      <c r="G75">
        <v>78.374499999999998</v>
      </c>
      <c r="H75">
        <v>90.546750000000003</v>
      </c>
      <c r="I75">
        <v>79.506</v>
      </c>
      <c r="J75">
        <v>75.292400000000001</v>
      </c>
      <c r="K75">
        <v>74.368250000000003</v>
      </c>
      <c r="L75">
        <v>75.862285714285704</v>
      </c>
      <c r="M75">
        <v>48.930285714285702</v>
      </c>
      <c r="N75">
        <v>22.112500000000001</v>
      </c>
      <c r="O75">
        <v>76.141499999999994</v>
      </c>
      <c r="P75">
        <v>86.279714285714306</v>
      </c>
      <c r="Q75">
        <v>92.677999999999997</v>
      </c>
      <c r="R75">
        <v>80.251166666666705</v>
      </c>
      <c r="S75">
        <v>57.946800000000003</v>
      </c>
      <c r="T75">
        <v>51.882399999999997</v>
      </c>
      <c r="U75">
        <v>65.462500000000006</v>
      </c>
    </row>
    <row r="76" spans="1:21" x14ac:dyDescent="0.2">
      <c r="A76" t="s">
        <v>169</v>
      </c>
      <c r="B76" t="s">
        <v>170</v>
      </c>
      <c r="C76">
        <v>70.162897338935593</v>
      </c>
      <c r="D76">
        <v>75</v>
      </c>
      <c r="E76">
        <v>86.055499999999995</v>
      </c>
      <c r="F76">
        <v>66.613249999999994</v>
      </c>
      <c r="G76">
        <v>64.840428571428603</v>
      </c>
      <c r="H76">
        <v>92.184250000000006</v>
      </c>
      <c r="I76">
        <v>63.767499999999998</v>
      </c>
      <c r="J76">
        <v>70.081999999999994</v>
      </c>
      <c r="K76">
        <v>64.458250000000007</v>
      </c>
      <c r="L76">
        <v>77.362857142857095</v>
      </c>
      <c r="M76">
        <v>50.664000000000001</v>
      </c>
      <c r="N76">
        <v>60.914499999999997</v>
      </c>
      <c r="O76">
        <v>75.339250000000007</v>
      </c>
      <c r="P76">
        <v>89.698285714285703</v>
      </c>
      <c r="Q76">
        <v>92.497666666666703</v>
      </c>
      <c r="R76">
        <v>69.756666666666703</v>
      </c>
      <c r="S76">
        <v>51.434199999999997</v>
      </c>
      <c r="T76">
        <v>64.713899999999995</v>
      </c>
      <c r="U76">
        <v>52.386749999999999</v>
      </c>
    </row>
    <row r="77" spans="1:21" x14ac:dyDescent="0.2">
      <c r="A77" t="s">
        <v>171</v>
      </c>
      <c r="B77" t="s">
        <v>172</v>
      </c>
      <c r="C77">
        <v>70.050090864527604</v>
      </c>
      <c r="D77">
        <v>76</v>
      </c>
      <c r="E77">
        <v>77.713999999999999</v>
      </c>
      <c r="F77">
        <v>65.248125000000002</v>
      </c>
      <c r="G77">
        <v>82.662214285714299</v>
      </c>
      <c r="H77">
        <v>92.327500000000001</v>
      </c>
      <c r="I77">
        <v>69.400499999999994</v>
      </c>
      <c r="J77">
        <v>79.384</v>
      </c>
      <c r="K77">
        <v>77.572749999999999</v>
      </c>
      <c r="L77">
        <v>71.184142857142902</v>
      </c>
      <c r="M77">
        <v>49.034285714285701</v>
      </c>
      <c r="N77">
        <v>12.394500000000001</v>
      </c>
      <c r="O77">
        <v>83.3005</v>
      </c>
      <c r="P77">
        <v>87.692857142857207</v>
      </c>
      <c r="Q77">
        <v>90.087000000000003</v>
      </c>
      <c r="R77">
        <v>57.345333333333301</v>
      </c>
      <c r="S77">
        <v>65.023200000000003</v>
      </c>
      <c r="T77">
        <v>54.342636363636402</v>
      </c>
      <c r="U77">
        <v>76.138000000000005</v>
      </c>
    </row>
    <row r="78" spans="1:21" x14ac:dyDescent="0.2">
      <c r="A78" t="s">
        <v>173</v>
      </c>
      <c r="B78" t="s">
        <v>174</v>
      </c>
      <c r="C78">
        <v>69.874785792638704</v>
      </c>
      <c r="D78">
        <v>77</v>
      </c>
      <c r="E78">
        <v>98.661500000000004</v>
      </c>
      <c r="F78">
        <v>56.885249999999999</v>
      </c>
      <c r="G78">
        <v>74.365230769230806</v>
      </c>
      <c r="H78">
        <v>59.110750000000003</v>
      </c>
      <c r="I78">
        <v>39.805999999999997</v>
      </c>
      <c r="J78">
        <v>55.218000000000004</v>
      </c>
      <c r="K78">
        <v>72.866</v>
      </c>
      <c r="L78">
        <v>64.643571428571406</v>
      </c>
      <c r="M78">
        <v>61.040999999999997</v>
      </c>
      <c r="N78">
        <v>77.049000000000007</v>
      </c>
      <c r="O78">
        <v>74.282749999999993</v>
      </c>
      <c r="P78">
        <v>89.132571428571396</v>
      </c>
      <c r="Q78">
        <v>91.365666666666698</v>
      </c>
      <c r="R78">
        <v>90.394750000000002</v>
      </c>
      <c r="S78">
        <v>55.138500000000001</v>
      </c>
      <c r="T78">
        <v>65.415818181818196</v>
      </c>
      <c r="U78">
        <v>62.494999999999997</v>
      </c>
    </row>
    <row r="79" spans="1:21" x14ac:dyDescent="0.2">
      <c r="A79" t="s">
        <v>175</v>
      </c>
      <c r="B79" t="s">
        <v>176</v>
      </c>
      <c r="C79">
        <v>69.849745704948702</v>
      </c>
      <c r="D79">
        <v>78</v>
      </c>
      <c r="E79">
        <v>98.879000000000005</v>
      </c>
      <c r="F79">
        <v>49.418999999999997</v>
      </c>
      <c r="G79">
        <v>80.095214285714306</v>
      </c>
      <c r="H79">
        <v>88.012249999999995</v>
      </c>
      <c r="I79">
        <v>58.296750000000003</v>
      </c>
      <c r="J79">
        <v>76.261200000000002</v>
      </c>
      <c r="K79">
        <v>68.285250000000005</v>
      </c>
      <c r="L79">
        <v>77.986142857142895</v>
      </c>
      <c r="M79">
        <v>81.045714285714297</v>
      </c>
      <c r="N79">
        <v>47.438499999999998</v>
      </c>
      <c r="O79">
        <v>81.754000000000005</v>
      </c>
      <c r="P79">
        <v>78.241</v>
      </c>
      <c r="Q79">
        <v>77.881</v>
      </c>
      <c r="R79">
        <v>68.210499999999996</v>
      </c>
      <c r="S79">
        <v>38.435600000000001</v>
      </c>
      <c r="T79">
        <v>59.941555555555603</v>
      </c>
      <c r="U79">
        <v>57.262999999999998</v>
      </c>
    </row>
    <row r="80" spans="1:21" x14ac:dyDescent="0.2">
      <c r="A80" t="s">
        <v>177</v>
      </c>
      <c r="B80" t="s">
        <v>178</v>
      </c>
      <c r="C80">
        <v>69.714765729368693</v>
      </c>
      <c r="D80">
        <v>79</v>
      </c>
      <c r="E80">
        <v>99.670500000000004</v>
      </c>
      <c r="F80">
        <v>64.795500000000004</v>
      </c>
      <c r="G80">
        <v>86.214076923076902</v>
      </c>
      <c r="H80">
        <v>98.168000000000006</v>
      </c>
      <c r="I80">
        <v>74.326499999999996</v>
      </c>
      <c r="J80">
        <v>57.963000000000001</v>
      </c>
      <c r="K80">
        <v>69.245750000000001</v>
      </c>
      <c r="L80">
        <v>63.709666666666699</v>
      </c>
      <c r="M80">
        <v>88.268571428571406</v>
      </c>
      <c r="N80">
        <v>100</v>
      </c>
      <c r="O80">
        <v>85.390666666666704</v>
      </c>
      <c r="P80">
        <v>51.908285714285697</v>
      </c>
      <c r="Q80">
        <v>9.83266666666667</v>
      </c>
      <c r="R80">
        <v>72.721666666666707</v>
      </c>
      <c r="S80">
        <v>55.516666666666701</v>
      </c>
      <c r="T80">
        <v>70.354500000000002</v>
      </c>
      <c r="U80">
        <v>37.064999999999998</v>
      </c>
    </row>
    <row r="81" spans="1:21" x14ac:dyDescent="0.2">
      <c r="A81" t="s">
        <v>179</v>
      </c>
      <c r="B81" t="s">
        <v>180</v>
      </c>
      <c r="C81">
        <v>69.705477680163</v>
      </c>
      <c r="D81">
        <v>80</v>
      </c>
      <c r="E81">
        <v>86.266000000000005</v>
      </c>
      <c r="F81">
        <v>61.129750000000001</v>
      </c>
      <c r="G81">
        <v>79.701142857142898</v>
      </c>
      <c r="H81">
        <v>95.990499999999997</v>
      </c>
      <c r="I81">
        <v>80.59675</v>
      </c>
      <c r="J81">
        <v>70.960999999999999</v>
      </c>
      <c r="K81">
        <v>68.577250000000006</v>
      </c>
      <c r="L81">
        <v>68.439714285714302</v>
      </c>
      <c r="M81">
        <v>57.855142857142901</v>
      </c>
      <c r="N81">
        <v>38.225999999999999</v>
      </c>
      <c r="O81">
        <v>83.364500000000007</v>
      </c>
      <c r="P81">
        <v>81.697285714285698</v>
      </c>
      <c r="Q81">
        <v>86.825000000000003</v>
      </c>
      <c r="R81">
        <v>62.633666666666699</v>
      </c>
      <c r="S81">
        <v>55.442599999999999</v>
      </c>
      <c r="T81">
        <v>46.702818181818202</v>
      </c>
      <c r="U81">
        <v>60.584000000000003</v>
      </c>
    </row>
    <row r="82" spans="1:21" x14ac:dyDescent="0.2">
      <c r="A82" t="s">
        <v>181</v>
      </c>
      <c r="B82" t="s">
        <v>182</v>
      </c>
      <c r="C82">
        <v>69.618489032046398</v>
      </c>
      <c r="D82">
        <v>81</v>
      </c>
      <c r="E82">
        <v>88.024500000000003</v>
      </c>
      <c r="F82">
        <v>65.252875000000003</v>
      </c>
      <c r="G82">
        <v>69.385615384615406</v>
      </c>
      <c r="H82">
        <v>67.863749999999996</v>
      </c>
      <c r="I82">
        <v>57.725999999999999</v>
      </c>
      <c r="J82">
        <v>65.069400000000002</v>
      </c>
      <c r="K82">
        <v>69.85575</v>
      </c>
      <c r="L82">
        <v>64.920571428571407</v>
      </c>
      <c r="M82">
        <v>57.924142857142897</v>
      </c>
      <c r="N82">
        <v>83.9285</v>
      </c>
      <c r="O82">
        <v>68.511750000000006</v>
      </c>
      <c r="P82">
        <v>91.189428571428607</v>
      </c>
      <c r="Q82">
        <v>95.095333333333301</v>
      </c>
      <c r="R82">
        <v>51.470833333333303</v>
      </c>
      <c r="S82">
        <v>68.346000000000004</v>
      </c>
      <c r="T82">
        <v>60.142363636363598</v>
      </c>
      <c r="U82">
        <v>58.807499999999997</v>
      </c>
    </row>
    <row r="83" spans="1:21" x14ac:dyDescent="0.2">
      <c r="A83" t="s">
        <v>183</v>
      </c>
      <c r="B83" t="s">
        <v>184</v>
      </c>
      <c r="C83">
        <v>69.590874108734397</v>
      </c>
      <c r="D83">
        <v>82</v>
      </c>
      <c r="E83">
        <v>90.004499999999993</v>
      </c>
      <c r="F83">
        <v>59.067374999999998</v>
      </c>
      <c r="G83">
        <v>78.182571428571407</v>
      </c>
      <c r="H83">
        <v>81.782666666666699</v>
      </c>
      <c r="I83">
        <v>78.337999999999994</v>
      </c>
      <c r="J83">
        <v>70.088200000000001</v>
      </c>
      <c r="K83">
        <v>64.1845</v>
      </c>
      <c r="L83">
        <v>76.8647142857143</v>
      </c>
      <c r="M83">
        <v>52.731714285714297</v>
      </c>
      <c r="N83">
        <v>25.617000000000001</v>
      </c>
      <c r="O83">
        <v>83.603333333333296</v>
      </c>
      <c r="P83">
        <v>81.281999999999996</v>
      </c>
      <c r="Q83">
        <v>91.005666666666698</v>
      </c>
      <c r="R83">
        <v>62.236400000000003</v>
      </c>
      <c r="S83">
        <v>56.2224</v>
      </c>
      <c r="T83">
        <v>61.030818181818198</v>
      </c>
      <c r="U83">
        <v>70.802999999999997</v>
      </c>
    </row>
    <row r="84" spans="1:21" x14ac:dyDescent="0.2">
      <c r="A84" t="s">
        <v>185</v>
      </c>
      <c r="B84" t="s">
        <v>186</v>
      </c>
      <c r="C84">
        <v>69.401498987776904</v>
      </c>
      <c r="D84">
        <v>83</v>
      </c>
      <c r="E84">
        <v>86.239000000000004</v>
      </c>
      <c r="F84">
        <v>68.964624999999998</v>
      </c>
      <c r="G84">
        <v>78.496499999999997</v>
      </c>
      <c r="H84">
        <v>98.916333333333398</v>
      </c>
      <c r="I84">
        <v>52.414499999999997</v>
      </c>
      <c r="J84">
        <v>50.195</v>
      </c>
      <c r="K84">
        <v>61.787750000000003</v>
      </c>
      <c r="L84">
        <v>79.712857142857203</v>
      </c>
      <c r="M84">
        <v>53.862000000000002</v>
      </c>
      <c r="N84">
        <v>54.599499999999999</v>
      </c>
      <c r="O84">
        <v>76.164666666666704</v>
      </c>
      <c r="P84">
        <v>90.060714285714297</v>
      </c>
      <c r="Q84">
        <v>95.850999999999999</v>
      </c>
      <c r="R84">
        <v>72.730500000000006</v>
      </c>
      <c r="S84">
        <v>56.8934</v>
      </c>
      <c r="T84">
        <v>53.603636363636397</v>
      </c>
      <c r="U84">
        <v>49.333500000000001</v>
      </c>
    </row>
    <row r="85" spans="1:21" x14ac:dyDescent="0.2">
      <c r="A85" t="s">
        <v>187</v>
      </c>
      <c r="B85" t="s">
        <v>188</v>
      </c>
      <c r="C85">
        <v>69.351557226753698</v>
      </c>
      <c r="D85">
        <v>84</v>
      </c>
      <c r="F85">
        <v>56.716250000000002</v>
      </c>
      <c r="G85">
        <v>82.508538461538507</v>
      </c>
      <c r="H85">
        <v>92.139499999999998</v>
      </c>
      <c r="I85">
        <v>72.463750000000005</v>
      </c>
      <c r="J85">
        <v>52.423999999999999</v>
      </c>
      <c r="K85">
        <v>70.695750000000004</v>
      </c>
      <c r="L85">
        <v>69.439499999999995</v>
      </c>
      <c r="M85">
        <v>59.994</v>
      </c>
      <c r="O85">
        <v>90.497500000000002</v>
      </c>
      <c r="P85">
        <v>55.845999999999997</v>
      </c>
      <c r="Q85">
        <v>89.633499999999998</v>
      </c>
      <c r="R85">
        <v>63.901166666666697</v>
      </c>
      <c r="S85">
        <v>63.046750000000003</v>
      </c>
      <c r="T85">
        <v>70.370222222222196</v>
      </c>
      <c r="U85">
        <v>73.621333333333297</v>
      </c>
    </row>
    <row r="86" spans="1:21" x14ac:dyDescent="0.2">
      <c r="A86" t="s">
        <v>189</v>
      </c>
      <c r="B86" t="s">
        <v>190</v>
      </c>
      <c r="C86">
        <v>69.185140743570201</v>
      </c>
      <c r="D86">
        <v>85</v>
      </c>
      <c r="E86">
        <v>82.960999999999999</v>
      </c>
      <c r="F86">
        <v>65.328333333333305</v>
      </c>
      <c r="G86">
        <v>67.246285714285705</v>
      </c>
      <c r="H86">
        <v>73.494500000000002</v>
      </c>
      <c r="I86">
        <v>56.501249999999999</v>
      </c>
      <c r="J86">
        <v>59.509799999999998</v>
      </c>
      <c r="K86">
        <v>86.641249999999999</v>
      </c>
      <c r="L86">
        <v>76.052833333333297</v>
      </c>
      <c r="M86">
        <v>16.256285714285699</v>
      </c>
      <c r="N86">
        <v>76.438500000000005</v>
      </c>
      <c r="O86">
        <v>79.673500000000004</v>
      </c>
      <c r="P86">
        <v>93.69</v>
      </c>
      <c r="Q86">
        <v>97.217666666666702</v>
      </c>
      <c r="S86">
        <v>60.991</v>
      </c>
      <c r="T86">
        <v>68.034666666666695</v>
      </c>
      <c r="U86">
        <v>50.796500000000002</v>
      </c>
    </row>
    <row r="87" spans="1:21" x14ac:dyDescent="0.2">
      <c r="A87" t="s">
        <v>191</v>
      </c>
      <c r="B87" t="s">
        <v>192</v>
      </c>
      <c r="C87">
        <v>69.091831162464999</v>
      </c>
      <c r="D87">
        <v>86</v>
      </c>
      <c r="E87">
        <v>93.958500000000001</v>
      </c>
      <c r="F87">
        <v>64.090874999999997</v>
      </c>
      <c r="G87">
        <v>80.567357142857105</v>
      </c>
      <c r="H87">
        <v>83.015500000000003</v>
      </c>
      <c r="I87">
        <v>42.949249999999999</v>
      </c>
      <c r="J87">
        <v>60.245399999999997</v>
      </c>
      <c r="K87">
        <v>64.331249999999997</v>
      </c>
      <c r="L87">
        <v>62.453285714285698</v>
      </c>
      <c r="M87">
        <v>67.230428571428604</v>
      </c>
      <c r="N87">
        <v>48.470500000000001</v>
      </c>
      <c r="O87">
        <v>73.994333333333302</v>
      </c>
      <c r="P87">
        <v>85.78</v>
      </c>
      <c r="Q87">
        <v>80.382000000000005</v>
      </c>
      <c r="R87">
        <v>79.409000000000006</v>
      </c>
      <c r="S87">
        <v>67.422600000000003</v>
      </c>
      <c r="T87">
        <v>60.421100000000003</v>
      </c>
      <c r="U87">
        <v>59.839750000000002</v>
      </c>
    </row>
    <row r="88" spans="1:21" x14ac:dyDescent="0.2">
      <c r="A88" t="s">
        <v>193</v>
      </c>
      <c r="B88" t="s">
        <v>194</v>
      </c>
      <c r="C88">
        <v>68.850654570919303</v>
      </c>
      <c r="D88">
        <v>87</v>
      </c>
      <c r="E88">
        <v>91.734999999999999</v>
      </c>
      <c r="F88">
        <v>64.873500000000007</v>
      </c>
      <c r="G88">
        <v>66.800571428571402</v>
      </c>
      <c r="H88">
        <v>90.641000000000005</v>
      </c>
      <c r="I88">
        <v>69.546000000000006</v>
      </c>
      <c r="J88">
        <v>69.073800000000006</v>
      </c>
      <c r="K88">
        <v>64.601749999999996</v>
      </c>
      <c r="L88">
        <v>75.384285714285696</v>
      </c>
      <c r="M88">
        <v>33.717428571428599</v>
      </c>
      <c r="N88">
        <v>35.198999999999998</v>
      </c>
      <c r="O88">
        <v>71.8065</v>
      </c>
      <c r="P88">
        <v>91.859428571428595</v>
      </c>
      <c r="Q88">
        <v>93.201333333333295</v>
      </c>
      <c r="S88">
        <v>61.645200000000003</v>
      </c>
      <c r="T88">
        <v>48.896818181818198</v>
      </c>
      <c r="U88">
        <v>76.452749999999995</v>
      </c>
    </row>
    <row r="89" spans="1:21" x14ac:dyDescent="0.2">
      <c r="A89" t="s">
        <v>195</v>
      </c>
      <c r="B89" t="s">
        <v>196</v>
      </c>
      <c r="C89">
        <v>68.840613343519195</v>
      </c>
      <c r="D89">
        <v>88</v>
      </c>
      <c r="E89">
        <v>95.072500000000005</v>
      </c>
      <c r="F89">
        <v>73.782499999999999</v>
      </c>
      <c r="G89">
        <v>71.991214285714307</v>
      </c>
      <c r="H89">
        <v>75.295749999999998</v>
      </c>
      <c r="I89">
        <v>67.167249999999996</v>
      </c>
      <c r="J89">
        <v>76.517200000000003</v>
      </c>
      <c r="K89">
        <v>84.983999999999995</v>
      </c>
      <c r="L89">
        <v>72.990857142857195</v>
      </c>
      <c r="M89">
        <v>40.164571428571399</v>
      </c>
      <c r="N89">
        <v>35.746499999999997</v>
      </c>
      <c r="O89">
        <v>80.005499999999998</v>
      </c>
      <c r="P89">
        <v>80.232285714285695</v>
      </c>
      <c r="Q89">
        <v>91.971500000000006</v>
      </c>
      <c r="S89">
        <v>51.941400000000002</v>
      </c>
      <c r="T89">
        <v>47.472636363636397</v>
      </c>
      <c r="U89">
        <v>59.927999999999997</v>
      </c>
    </row>
    <row r="90" spans="1:21" x14ac:dyDescent="0.2">
      <c r="A90" t="s">
        <v>197</v>
      </c>
      <c r="B90" t="s">
        <v>198</v>
      </c>
      <c r="C90">
        <v>68.835710708899001</v>
      </c>
      <c r="D90">
        <v>89</v>
      </c>
      <c r="E90">
        <v>84.864999999999995</v>
      </c>
      <c r="F90">
        <v>44.975666666666697</v>
      </c>
      <c r="G90">
        <v>75.4706153846154</v>
      </c>
      <c r="H90">
        <v>79.23</v>
      </c>
      <c r="I90">
        <v>76.150000000000006</v>
      </c>
      <c r="J90">
        <v>67.391999999999996</v>
      </c>
      <c r="K90">
        <v>61.916499999999999</v>
      </c>
      <c r="L90">
        <v>58.662666666666702</v>
      </c>
      <c r="M90">
        <v>41.019500000000001</v>
      </c>
      <c r="N90">
        <v>41.607999999999997</v>
      </c>
      <c r="O90">
        <v>79.523499999999999</v>
      </c>
      <c r="P90">
        <v>81.265500000000003</v>
      </c>
      <c r="Q90">
        <v>97.147499999999994</v>
      </c>
      <c r="R90">
        <v>57.0488</v>
      </c>
      <c r="S90">
        <v>71.640249999999995</v>
      </c>
      <c r="T90">
        <v>79.257333333333307</v>
      </c>
      <c r="U90">
        <v>73.03425</v>
      </c>
    </row>
    <row r="91" spans="1:21" x14ac:dyDescent="0.2">
      <c r="A91" t="s">
        <v>199</v>
      </c>
      <c r="B91" t="s">
        <v>200</v>
      </c>
      <c r="C91">
        <v>68.588350738477203</v>
      </c>
      <c r="D91">
        <v>90</v>
      </c>
      <c r="F91">
        <v>57.936</v>
      </c>
      <c r="G91">
        <v>83.546928571428595</v>
      </c>
      <c r="H91">
        <v>84.976249999999993</v>
      </c>
      <c r="I91">
        <v>37.191000000000003</v>
      </c>
      <c r="J91">
        <v>50.468400000000003</v>
      </c>
      <c r="K91">
        <v>66.970249999999993</v>
      </c>
      <c r="L91">
        <v>80.906800000000004</v>
      </c>
      <c r="M91">
        <v>67.184714285714307</v>
      </c>
      <c r="O91">
        <v>83.346500000000006</v>
      </c>
      <c r="P91">
        <v>74.165999999999997</v>
      </c>
      <c r="Q91">
        <v>33.655999999999999</v>
      </c>
      <c r="R91">
        <v>77.932000000000002</v>
      </c>
      <c r="S91">
        <v>62.198999999999998</v>
      </c>
      <c r="T91">
        <v>67.2834</v>
      </c>
      <c r="U91">
        <v>74.331333333333404</v>
      </c>
    </row>
    <row r="92" spans="1:21" x14ac:dyDescent="0.2">
      <c r="A92" t="s">
        <v>201</v>
      </c>
      <c r="B92" t="s">
        <v>202</v>
      </c>
      <c r="C92">
        <v>68.467221243462404</v>
      </c>
      <c r="D92">
        <v>91</v>
      </c>
      <c r="E92">
        <v>98.921999999999997</v>
      </c>
      <c r="F92">
        <v>58.577428571428598</v>
      </c>
      <c r="G92">
        <v>69.449692307692303</v>
      </c>
      <c r="H92">
        <v>99.635000000000005</v>
      </c>
      <c r="I92">
        <v>78.434250000000006</v>
      </c>
      <c r="J92">
        <v>57.276600000000002</v>
      </c>
      <c r="K92">
        <v>57.851500000000001</v>
      </c>
      <c r="L92">
        <v>70.055999999999997</v>
      </c>
      <c r="M92">
        <v>16.0811666666667</v>
      </c>
      <c r="O92">
        <v>82.701499999999996</v>
      </c>
      <c r="P92">
        <v>81.701333333333295</v>
      </c>
      <c r="Q92">
        <v>59.320500000000003</v>
      </c>
      <c r="S92">
        <v>63.843400000000003</v>
      </c>
      <c r="T92">
        <v>74.913749999999993</v>
      </c>
      <c r="U92">
        <v>45.337666666666699</v>
      </c>
    </row>
    <row r="93" spans="1:21" x14ac:dyDescent="0.2">
      <c r="A93" t="s">
        <v>203</v>
      </c>
      <c r="B93" t="s">
        <v>204</v>
      </c>
      <c r="C93">
        <v>68.245336863130404</v>
      </c>
      <c r="D93">
        <v>92</v>
      </c>
      <c r="F93">
        <v>63.376428571428598</v>
      </c>
      <c r="G93">
        <v>70.232357142857097</v>
      </c>
      <c r="H93">
        <v>67.274000000000001</v>
      </c>
      <c r="I93">
        <v>66.901499999999999</v>
      </c>
      <c r="J93">
        <v>71.381249999999994</v>
      </c>
      <c r="K93">
        <v>70.637249999999995</v>
      </c>
      <c r="L93">
        <v>55.877499999999998</v>
      </c>
      <c r="M93">
        <v>42.119399999999999</v>
      </c>
      <c r="O93">
        <v>83.356499999999997</v>
      </c>
      <c r="P93">
        <v>80.683000000000007</v>
      </c>
      <c r="Q93">
        <v>88.557500000000005</v>
      </c>
      <c r="R93">
        <v>77.003833333333304</v>
      </c>
      <c r="S93">
        <v>78.134200000000007</v>
      </c>
      <c r="T93">
        <v>63.420545454545497</v>
      </c>
      <c r="U93">
        <v>65.536749999999998</v>
      </c>
    </row>
    <row r="94" spans="1:21" x14ac:dyDescent="0.2">
      <c r="A94" t="s">
        <v>205</v>
      </c>
      <c r="B94" t="s">
        <v>206</v>
      </c>
      <c r="C94">
        <v>67.977342203548105</v>
      </c>
      <c r="D94">
        <v>93</v>
      </c>
      <c r="E94">
        <v>98.032499999999999</v>
      </c>
      <c r="F94">
        <v>71.523333333333298</v>
      </c>
      <c r="G94">
        <v>75.229785714285697</v>
      </c>
      <c r="H94">
        <v>83.504000000000005</v>
      </c>
      <c r="I94">
        <v>52.290750000000003</v>
      </c>
      <c r="J94">
        <v>71.091499999999996</v>
      </c>
      <c r="K94">
        <v>70.311250000000001</v>
      </c>
      <c r="L94">
        <v>74.622</v>
      </c>
      <c r="M94">
        <v>51.789142857142899</v>
      </c>
      <c r="N94">
        <v>65.338999999999999</v>
      </c>
      <c r="O94">
        <v>87.730666666666707</v>
      </c>
      <c r="P94">
        <v>74.426666666666705</v>
      </c>
      <c r="Q94">
        <v>91.392499999999998</v>
      </c>
      <c r="R94">
        <v>48.974166666666697</v>
      </c>
      <c r="S94">
        <v>27.409749999999999</v>
      </c>
      <c r="T94">
        <v>60.786555555555601</v>
      </c>
      <c r="U94">
        <v>51.161250000000003</v>
      </c>
    </row>
    <row r="95" spans="1:21" x14ac:dyDescent="0.2">
      <c r="A95" t="s">
        <v>207</v>
      </c>
      <c r="B95" t="s">
        <v>208</v>
      </c>
      <c r="C95">
        <v>67.692151487238306</v>
      </c>
      <c r="D95">
        <v>94</v>
      </c>
      <c r="E95">
        <v>100</v>
      </c>
      <c r="F95">
        <v>56.854624999999999</v>
      </c>
      <c r="G95">
        <v>80.685461538461496</v>
      </c>
      <c r="H95">
        <v>78.473249999999993</v>
      </c>
      <c r="I95">
        <v>44.598500000000001</v>
      </c>
      <c r="J95">
        <v>59.085599999999999</v>
      </c>
      <c r="K95">
        <v>68.648250000000004</v>
      </c>
      <c r="L95">
        <v>77.475800000000007</v>
      </c>
      <c r="M95">
        <v>74.724285714285699</v>
      </c>
      <c r="O95">
        <v>63.636333333333297</v>
      </c>
      <c r="P95">
        <v>66.019571428571396</v>
      </c>
      <c r="Q95">
        <v>33.75</v>
      </c>
      <c r="R95">
        <v>64.754333333333307</v>
      </c>
      <c r="S95">
        <v>49.014249999999997</v>
      </c>
      <c r="T95">
        <v>75.230428571428604</v>
      </c>
      <c r="U95">
        <v>80.864750000000001</v>
      </c>
    </row>
    <row r="96" spans="1:21" x14ac:dyDescent="0.2">
      <c r="A96" t="s">
        <v>209</v>
      </c>
      <c r="B96" t="s">
        <v>210</v>
      </c>
      <c r="C96">
        <v>67.520144677871201</v>
      </c>
      <c r="D96">
        <v>95</v>
      </c>
      <c r="E96">
        <v>98.730999999999995</v>
      </c>
      <c r="F96">
        <v>56.643142857142898</v>
      </c>
      <c r="G96">
        <v>74.336928571428601</v>
      </c>
      <c r="H96">
        <v>99.617000000000004</v>
      </c>
      <c r="I96">
        <v>45.171750000000003</v>
      </c>
      <c r="J96">
        <v>66.259200000000007</v>
      </c>
      <c r="K96">
        <v>61.9493333333333</v>
      </c>
      <c r="L96">
        <v>54.147285714285701</v>
      </c>
      <c r="M96">
        <v>73.323333333333295</v>
      </c>
      <c r="N96">
        <v>84.4435</v>
      </c>
      <c r="O96">
        <v>60.914999999999999</v>
      </c>
      <c r="P96">
        <v>80.709285714285699</v>
      </c>
      <c r="Q96">
        <v>86.790999999999997</v>
      </c>
      <c r="R96">
        <v>65.790199999999999</v>
      </c>
      <c r="S96">
        <v>57.044600000000003</v>
      </c>
      <c r="T96">
        <v>51.892899999999997</v>
      </c>
      <c r="U96">
        <v>30.077000000000002</v>
      </c>
    </row>
    <row r="97" spans="1:21" x14ac:dyDescent="0.2">
      <c r="A97" t="s">
        <v>211</v>
      </c>
      <c r="B97" t="s">
        <v>212</v>
      </c>
      <c r="C97">
        <v>67.399751153870596</v>
      </c>
      <c r="D97">
        <v>96</v>
      </c>
      <c r="E97">
        <v>99.129499999999993</v>
      </c>
      <c r="F97">
        <v>66.678624999999997</v>
      </c>
      <c r="G97">
        <v>65.489785714285702</v>
      </c>
      <c r="H97">
        <v>89.765500000000003</v>
      </c>
      <c r="I97">
        <v>65.240250000000003</v>
      </c>
      <c r="J97">
        <v>69.212000000000003</v>
      </c>
      <c r="K97">
        <v>61.934249999999999</v>
      </c>
      <c r="L97">
        <v>74.266499999999994</v>
      </c>
      <c r="M97">
        <v>35.715666666666699</v>
      </c>
      <c r="O97">
        <v>84.117000000000004</v>
      </c>
      <c r="P97">
        <v>86.085666666666697</v>
      </c>
      <c r="Q97">
        <v>82.813999999999993</v>
      </c>
      <c r="R97">
        <v>36.5794</v>
      </c>
      <c r="S97">
        <v>73.086600000000004</v>
      </c>
      <c r="T97">
        <v>55.968181818181797</v>
      </c>
      <c r="U97">
        <v>66.135999999999996</v>
      </c>
    </row>
    <row r="98" spans="1:21" x14ac:dyDescent="0.2">
      <c r="A98" t="s">
        <v>213</v>
      </c>
      <c r="B98" t="s">
        <v>214</v>
      </c>
      <c r="C98">
        <v>67.324929405888199</v>
      </c>
      <c r="D98">
        <v>97</v>
      </c>
      <c r="E98">
        <v>94.6965</v>
      </c>
      <c r="F98">
        <v>50.273249999999997</v>
      </c>
      <c r="G98">
        <v>78.948307692307694</v>
      </c>
      <c r="H98">
        <v>80.699250000000006</v>
      </c>
      <c r="I98">
        <v>66.391000000000005</v>
      </c>
      <c r="J98">
        <v>71.221199999999996</v>
      </c>
      <c r="K98">
        <v>71.513000000000005</v>
      </c>
      <c r="L98">
        <v>71.177571428571397</v>
      </c>
      <c r="M98">
        <v>46.609000000000002</v>
      </c>
      <c r="N98">
        <v>18.5915</v>
      </c>
      <c r="O98">
        <v>89.992000000000004</v>
      </c>
      <c r="P98">
        <v>76.245857142857204</v>
      </c>
      <c r="Q98">
        <v>71.709999999999994</v>
      </c>
      <c r="R98">
        <v>70.3066666666667</v>
      </c>
      <c r="S98">
        <v>66.587000000000003</v>
      </c>
      <c r="T98">
        <v>62.087363636363598</v>
      </c>
      <c r="U98">
        <v>57.474333333333298</v>
      </c>
    </row>
    <row r="99" spans="1:21" x14ac:dyDescent="0.2">
      <c r="A99" t="s">
        <v>215</v>
      </c>
      <c r="B99" t="s">
        <v>216</v>
      </c>
      <c r="C99">
        <v>67.143681862745098</v>
      </c>
      <c r="D99">
        <v>98</v>
      </c>
      <c r="E99">
        <v>80.508499999999998</v>
      </c>
      <c r="F99">
        <v>68.838624999999993</v>
      </c>
      <c r="G99">
        <v>58.240714285714297</v>
      </c>
      <c r="H99">
        <v>78.494749999999996</v>
      </c>
      <c r="I99">
        <v>64.254249999999999</v>
      </c>
      <c r="J99">
        <v>70.373000000000005</v>
      </c>
      <c r="K99">
        <v>58.953749999999999</v>
      </c>
      <c r="L99">
        <v>69.185285714285698</v>
      </c>
      <c r="M99">
        <v>44.439714285714302</v>
      </c>
      <c r="N99">
        <v>42.249000000000002</v>
      </c>
      <c r="O99">
        <v>73.480249999999998</v>
      </c>
      <c r="P99">
        <v>92.2392857142857</v>
      </c>
      <c r="Q99">
        <v>95.363</v>
      </c>
      <c r="R99">
        <v>74.867166666666705</v>
      </c>
      <c r="S99">
        <v>58.632800000000003</v>
      </c>
      <c r="T99">
        <v>51.917499999999997</v>
      </c>
      <c r="U99">
        <v>59.405000000000001</v>
      </c>
    </row>
    <row r="100" spans="1:21" x14ac:dyDescent="0.2">
      <c r="A100" t="s">
        <v>217</v>
      </c>
      <c r="B100" t="s">
        <v>218</v>
      </c>
      <c r="C100">
        <v>66.469628871651196</v>
      </c>
      <c r="D100">
        <v>99</v>
      </c>
      <c r="E100">
        <v>81.398499999999999</v>
      </c>
      <c r="F100">
        <v>68.573999999999998</v>
      </c>
      <c r="G100">
        <v>59.620769230769199</v>
      </c>
      <c r="H100">
        <v>83.900750000000002</v>
      </c>
      <c r="I100">
        <v>50.686999999999998</v>
      </c>
      <c r="J100">
        <v>70.801400000000001</v>
      </c>
      <c r="K100">
        <v>48.484499999999997</v>
      </c>
      <c r="L100">
        <v>67.805000000000007</v>
      </c>
      <c r="M100">
        <v>37.926285714285697</v>
      </c>
      <c r="N100">
        <v>80.222499999999997</v>
      </c>
      <c r="O100">
        <v>46.570749999999997</v>
      </c>
      <c r="P100">
        <v>96.465571428571394</v>
      </c>
      <c r="Q100">
        <v>97.701333333333395</v>
      </c>
      <c r="S100">
        <v>68.943600000000004</v>
      </c>
      <c r="T100">
        <v>55.427</v>
      </c>
      <c r="U100">
        <v>54.6875</v>
      </c>
    </row>
    <row r="101" spans="1:21" x14ac:dyDescent="0.2">
      <c r="A101" t="s">
        <v>219</v>
      </c>
      <c r="B101" t="s">
        <v>220</v>
      </c>
      <c r="C101">
        <v>66.238541494779696</v>
      </c>
      <c r="D101">
        <v>100</v>
      </c>
      <c r="F101">
        <v>69.563000000000002</v>
      </c>
      <c r="G101">
        <v>88.670928571428604</v>
      </c>
      <c r="H101">
        <v>89.901750000000007</v>
      </c>
      <c r="I101">
        <v>55.278750000000002</v>
      </c>
      <c r="J101">
        <v>52.9116</v>
      </c>
      <c r="K101">
        <v>66.677999999999997</v>
      </c>
      <c r="L101">
        <v>69.930000000000007</v>
      </c>
      <c r="M101">
        <v>84.076857142857193</v>
      </c>
      <c r="O101">
        <v>57.143000000000001</v>
      </c>
      <c r="P101">
        <v>55.784142857142903</v>
      </c>
      <c r="Q101">
        <v>0</v>
      </c>
      <c r="R101">
        <v>79.745599999999996</v>
      </c>
      <c r="S101">
        <v>67.595666666666702</v>
      </c>
      <c r="T101">
        <v>76.703857142857103</v>
      </c>
      <c r="U101">
        <v>48.164666666666697</v>
      </c>
    </row>
    <row r="102" spans="1:21" x14ac:dyDescent="0.2">
      <c r="A102" t="s">
        <v>221</v>
      </c>
      <c r="B102" t="s">
        <v>222</v>
      </c>
      <c r="C102">
        <v>65.910951451489694</v>
      </c>
      <c r="D102">
        <v>101</v>
      </c>
      <c r="E102">
        <v>79.102500000000006</v>
      </c>
      <c r="F102">
        <v>70.8125</v>
      </c>
      <c r="G102">
        <v>60.497928571428602</v>
      </c>
      <c r="H102">
        <v>89.706000000000003</v>
      </c>
      <c r="I102">
        <v>54.491</v>
      </c>
      <c r="J102">
        <v>67.331000000000003</v>
      </c>
      <c r="K102">
        <v>49.737499999999997</v>
      </c>
      <c r="L102">
        <v>74.555142857142897</v>
      </c>
      <c r="M102">
        <v>40.993666666666698</v>
      </c>
      <c r="N102">
        <v>81.348500000000001</v>
      </c>
      <c r="O102">
        <v>49.320250000000001</v>
      </c>
      <c r="P102">
        <v>95.638571428571396</v>
      </c>
      <c r="Q102">
        <v>96.328500000000005</v>
      </c>
      <c r="R102">
        <v>65.165333333333294</v>
      </c>
      <c r="S102">
        <v>53.593600000000002</v>
      </c>
      <c r="T102">
        <v>47.634181818181801</v>
      </c>
      <c r="U102">
        <v>44.23</v>
      </c>
    </row>
    <row r="103" spans="1:21" x14ac:dyDescent="0.2">
      <c r="A103" t="s">
        <v>223</v>
      </c>
      <c r="B103" t="s">
        <v>224</v>
      </c>
      <c r="C103">
        <v>65.707818907562995</v>
      </c>
      <c r="D103">
        <v>102</v>
      </c>
      <c r="F103">
        <v>57.635874999999999</v>
      </c>
      <c r="G103">
        <v>85.642750000000007</v>
      </c>
      <c r="H103">
        <v>96.973749999999995</v>
      </c>
      <c r="I103">
        <v>62.009</v>
      </c>
      <c r="J103">
        <v>59.158000000000001</v>
      </c>
      <c r="K103">
        <v>62.936500000000002</v>
      </c>
      <c r="L103">
        <v>68.795599999999993</v>
      </c>
      <c r="M103">
        <v>76.396571428571406</v>
      </c>
      <c r="O103">
        <v>99.858000000000004</v>
      </c>
      <c r="P103">
        <v>48.548999999999999</v>
      </c>
      <c r="Q103">
        <v>1.2889999999999999</v>
      </c>
      <c r="R103">
        <v>49.65</v>
      </c>
      <c r="S103">
        <v>68.212000000000003</v>
      </c>
      <c r="T103">
        <v>61.6993333333333</v>
      </c>
      <c r="U103">
        <v>65.6756666666667</v>
      </c>
    </row>
    <row r="104" spans="1:21" x14ac:dyDescent="0.2">
      <c r="A104" t="s">
        <v>225</v>
      </c>
      <c r="B104" t="s">
        <v>226</v>
      </c>
      <c r="C104">
        <v>64.836239699516199</v>
      </c>
      <c r="D104">
        <v>103</v>
      </c>
      <c r="F104">
        <v>68.992874999999998</v>
      </c>
      <c r="G104">
        <v>62.045214285714302</v>
      </c>
      <c r="H104">
        <v>66.460250000000002</v>
      </c>
      <c r="I104">
        <v>56.334249999999997</v>
      </c>
      <c r="J104">
        <v>62.851199999999999</v>
      </c>
      <c r="K104">
        <v>57.323500000000003</v>
      </c>
      <c r="L104">
        <v>62.208571428571403</v>
      </c>
      <c r="M104">
        <v>34.830857142857099</v>
      </c>
      <c r="O104">
        <v>76.801000000000002</v>
      </c>
      <c r="P104">
        <v>93.598571428571404</v>
      </c>
      <c r="Q104">
        <v>95.122666666666703</v>
      </c>
      <c r="R104">
        <v>59.963166666666702</v>
      </c>
      <c r="S104">
        <v>48.839599999999997</v>
      </c>
      <c r="T104">
        <v>49.211727272727302</v>
      </c>
      <c r="U104">
        <v>55.080750000000002</v>
      </c>
    </row>
    <row r="105" spans="1:21" x14ac:dyDescent="0.2">
      <c r="A105" t="s">
        <v>227</v>
      </c>
      <c r="B105" t="s">
        <v>228</v>
      </c>
      <c r="C105">
        <v>64.799906582633099</v>
      </c>
      <c r="D105">
        <v>104</v>
      </c>
      <c r="E105">
        <v>71.734999999999999</v>
      </c>
      <c r="F105">
        <v>54.838749999999997</v>
      </c>
      <c r="G105">
        <v>74.829499999999996</v>
      </c>
      <c r="H105">
        <v>77.983000000000004</v>
      </c>
      <c r="I105">
        <v>83.880750000000006</v>
      </c>
      <c r="J105">
        <v>66.340599999999995</v>
      </c>
      <c r="K105">
        <v>59.741</v>
      </c>
      <c r="L105">
        <v>67.616285714285695</v>
      </c>
      <c r="M105">
        <v>30.005428571428599</v>
      </c>
      <c r="N105">
        <v>23.661999999999999</v>
      </c>
      <c r="O105">
        <v>73.157749999999993</v>
      </c>
      <c r="P105">
        <v>87.307714285714297</v>
      </c>
      <c r="Q105">
        <v>96.982333333333301</v>
      </c>
      <c r="R105">
        <v>61.938499999999998</v>
      </c>
      <c r="S105">
        <v>64.105000000000004</v>
      </c>
      <c r="T105">
        <v>49.3703</v>
      </c>
      <c r="U105">
        <v>58.104500000000002</v>
      </c>
    </row>
    <row r="106" spans="1:21" x14ac:dyDescent="0.2">
      <c r="A106" t="s">
        <v>229</v>
      </c>
      <c r="B106" t="s">
        <v>230</v>
      </c>
      <c r="C106">
        <v>64.792644731738804</v>
      </c>
      <c r="D106">
        <v>105</v>
      </c>
      <c r="F106">
        <v>53.154142857142901</v>
      </c>
      <c r="G106">
        <v>61.349846153846201</v>
      </c>
      <c r="H106">
        <v>69.873999999999995</v>
      </c>
      <c r="I106">
        <v>44.172249999999998</v>
      </c>
      <c r="J106">
        <v>62.6434</v>
      </c>
      <c r="K106">
        <v>63.863750000000003</v>
      </c>
      <c r="L106">
        <v>57.869599999999998</v>
      </c>
      <c r="M106">
        <v>34.711857142857099</v>
      </c>
      <c r="N106">
        <v>91.495500000000007</v>
      </c>
      <c r="O106">
        <v>57.975250000000003</v>
      </c>
      <c r="P106">
        <v>86.213714285714303</v>
      </c>
      <c r="Q106">
        <v>85.516499999999994</v>
      </c>
      <c r="R106">
        <v>69.517399999999995</v>
      </c>
      <c r="S106">
        <v>40.353749999999998</v>
      </c>
      <c r="T106">
        <v>64.028000000000006</v>
      </c>
      <c r="U106">
        <v>71.779750000000007</v>
      </c>
    </row>
    <row r="107" spans="1:21" x14ac:dyDescent="0.2">
      <c r="A107" t="s">
        <v>231</v>
      </c>
      <c r="B107" t="s">
        <v>232</v>
      </c>
      <c r="C107">
        <v>64.694366421356406</v>
      </c>
      <c r="D107">
        <v>106</v>
      </c>
      <c r="E107">
        <v>94.608999999999995</v>
      </c>
      <c r="F107">
        <v>48.913857142857097</v>
      </c>
      <c r="G107">
        <v>63.9903571428571</v>
      </c>
      <c r="H107">
        <v>94.586250000000007</v>
      </c>
      <c r="I107">
        <v>65.036749999999998</v>
      </c>
      <c r="J107">
        <v>64.857600000000005</v>
      </c>
      <c r="K107">
        <v>37.1815</v>
      </c>
      <c r="L107">
        <v>70.873999999999995</v>
      </c>
      <c r="M107">
        <v>39.759142857142898</v>
      </c>
      <c r="N107">
        <v>81.051000000000002</v>
      </c>
      <c r="O107">
        <v>50.372999999999998</v>
      </c>
      <c r="P107">
        <v>67.876000000000005</v>
      </c>
      <c r="Q107">
        <v>51.99</v>
      </c>
      <c r="S107">
        <v>74.938199999999995</v>
      </c>
      <c r="T107">
        <v>59.262090909090901</v>
      </c>
      <c r="U107">
        <v>73.738249999999994</v>
      </c>
    </row>
    <row r="108" spans="1:21" x14ac:dyDescent="0.2">
      <c r="A108" t="s">
        <v>233</v>
      </c>
      <c r="B108" t="s">
        <v>234</v>
      </c>
      <c r="C108">
        <v>64.599983175770305</v>
      </c>
      <c r="D108">
        <v>107</v>
      </c>
      <c r="E108">
        <v>62.125</v>
      </c>
      <c r="F108">
        <v>68.670124999999999</v>
      </c>
      <c r="G108">
        <v>74.258928571428598</v>
      </c>
      <c r="H108">
        <v>60.733499999999999</v>
      </c>
      <c r="I108">
        <v>58.206499999999998</v>
      </c>
      <c r="J108">
        <v>68.2958</v>
      </c>
      <c r="K108">
        <v>76.258499999999998</v>
      </c>
      <c r="L108">
        <v>65.981166666666695</v>
      </c>
      <c r="M108">
        <v>38.365200000000002</v>
      </c>
      <c r="O108">
        <v>76.372</v>
      </c>
      <c r="P108">
        <v>79.637</v>
      </c>
      <c r="Q108">
        <v>92.747</v>
      </c>
      <c r="R108">
        <v>70.126199999999997</v>
      </c>
      <c r="S108">
        <v>48.016199999999998</v>
      </c>
      <c r="T108">
        <v>53.416499999999999</v>
      </c>
      <c r="U108">
        <v>71.413250000000005</v>
      </c>
    </row>
    <row r="109" spans="1:21" x14ac:dyDescent="0.2">
      <c r="A109" t="s">
        <v>235</v>
      </c>
      <c r="B109" t="s">
        <v>236</v>
      </c>
      <c r="C109">
        <v>64.433992776831005</v>
      </c>
      <c r="D109">
        <v>108</v>
      </c>
      <c r="F109">
        <v>67.520499999999998</v>
      </c>
      <c r="G109">
        <v>86.920538461538499</v>
      </c>
      <c r="H109">
        <v>63.613</v>
      </c>
      <c r="I109">
        <v>51.269750000000002</v>
      </c>
      <c r="J109">
        <v>55.011200000000002</v>
      </c>
      <c r="K109">
        <v>68.809250000000006</v>
      </c>
      <c r="L109">
        <v>76.965199999999996</v>
      </c>
      <c r="M109">
        <v>64.151714285714306</v>
      </c>
      <c r="O109">
        <v>77.524000000000001</v>
      </c>
      <c r="P109">
        <v>61.962571428571401</v>
      </c>
      <c r="Q109">
        <v>32.378333333333302</v>
      </c>
      <c r="R109">
        <v>46.960799999999999</v>
      </c>
      <c r="S109">
        <v>52.0863333333333</v>
      </c>
      <c r="T109">
        <v>64.726799999999997</v>
      </c>
      <c r="U109">
        <v>61.570500000000003</v>
      </c>
    </row>
    <row r="110" spans="1:21" x14ac:dyDescent="0.2">
      <c r="A110" t="s">
        <v>237</v>
      </c>
      <c r="B110" t="s">
        <v>238</v>
      </c>
      <c r="C110">
        <v>64.281673389355802</v>
      </c>
      <c r="D110">
        <v>109</v>
      </c>
      <c r="E110">
        <v>61.097000000000001</v>
      </c>
      <c r="F110">
        <v>49.935250000000003</v>
      </c>
      <c r="G110">
        <v>49.894357142857103</v>
      </c>
      <c r="H110">
        <v>83.694999999999993</v>
      </c>
      <c r="I110">
        <v>87.634249999999994</v>
      </c>
      <c r="J110">
        <v>56.0122</v>
      </c>
      <c r="K110">
        <v>46.244</v>
      </c>
      <c r="L110">
        <v>64.038142857142901</v>
      </c>
      <c r="M110">
        <v>38.435714285714297</v>
      </c>
      <c r="N110">
        <v>5.4930000000000003</v>
      </c>
      <c r="O110">
        <v>65.167249999999996</v>
      </c>
      <c r="P110">
        <v>83.701166666666694</v>
      </c>
      <c r="Q110">
        <v>91.186999999999998</v>
      </c>
      <c r="R110">
        <v>79.362666666666698</v>
      </c>
      <c r="S110">
        <v>89.8596</v>
      </c>
      <c r="T110">
        <v>64.375600000000006</v>
      </c>
      <c r="U110">
        <v>76.65625</v>
      </c>
    </row>
    <row r="111" spans="1:21" x14ac:dyDescent="0.2">
      <c r="A111" t="s">
        <v>239</v>
      </c>
      <c r="B111" t="s">
        <v>240</v>
      </c>
      <c r="C111">
        <v>64.003197899159701</v>
      </c>
      <c r="D111">
        <v>110</v>
      </c>
      <c r="E111">
        <v>51.704000000000001</v>
      </c>
      <c r="F111">
        <v>56.784500000000001</v>
      </c>
      <c r="G111">
        <v>56.954857142857101</v>
      </c>
      <c r="H111">
        <v>76.629000000000005</v>
      </c>
      <c r="I111">
        <v>76.786500000000004</v>
      </c>
      <c r="J111">
        <v>62.438600000000001</v>
      </c>
      <c r="K111">
        <v>59.694499999999998</v>
      </c>
      <c r="L111">
        <v>69.775714285714301</v>
      </c>
      <c r="M111">
        <v>70.801714285714297</v>
      </c>
      <c r="N111">
        <v>0</v>
      </c>
      <c r="O111">
        <v>80.473249999999993</v>
      </c>
      <c r="P111">
        <v>84.352428571428604</v>
      </c>
      <c r="Q111">
        <v>82.700666666666706</v>
      </c>
      <c r="R111">
        <v>70.884833333333304</v>
      </c>
      <c r="S111">
        <v>57.758800000000001</v>
      </c>
      <c r="T111">
        <v>55.118000000000002</v>
      </c>
      <c r="U111">
        <v>75.197000000000003</v>
      </c>
    </row>
    <row r="112" spans="1:21" x14ac:dyDescent="0.2">
      <c r="A112" t="s">
        <v>241</v>
      </c>
      <c r="B112" t="s">
        <v>242</v>
      </c>
      <c r="C112">
        <v>63.741239393939402</v>
      </c>
      <c r="D112">
        <v>111</v>
      </c>
      <c r="F112">
        <v>66.445833333333297</v>
      </c>
      <c r="G112">
        <v>86.789285714285697</v>
      </c>
      <c r="H112">
        <v>85.224249999999998</v>
      </c>
      <c r="I112">
        <v>52.563000000000002</v>
      </c>
      <c r="J112">
        <v>67.879400000000004</v>
      </c>
      <c r="K112">
        <v>71.427999999999997</v>
      </c>
      <c r="L112">
        <v>81.885400000000004</v>
      </c>
      <c r="M112">
        <v>63.671285714285702</v>
      </c>
      <c r="O112">
        <v>65.7</v>
      </c>
      <c r="P112">
        <v>67.394428571428605</v>
      </c>
      <c r="Q112">
        <v>14.6335</v>
      </c>
      <c r="R112">
        <v>47.988799999999998</v>
      </c>
      <c r="S112">
        <v>45.276666666666699</v>
      </c>
      <c r="T112">
        <v>64.728833333333299</v>
      </c>
      <c r="U112">
        <v>38.085000000000001</v>
      </c>
    </row>
    <row r="113" spans="1:21" x14ac:dyDescent="0.2">
      <c r="A113" t="s">
        <v>243</v>
      </c>
      <c r="B113" t="s">
        <v>244</v>
      </c>
      <c r="C113">
        <v>63.449214005602201</v>
      </c>
      <c r="D113">
        <v>112</v>
      </c>
      <c r="E113">
        <v>86.233500000000006</v>
      </c>
      <c r="F113">
        <v>54.391750000000002</v>
      </c>
      <c r="G113">
        <v>64.791642857142904</v>
      </c>
      <c r="H113">
        <v>89.292249999999996</v>
      </c>
      <c r="I113">
        <v>46.253999999999998</v>
      </c>
      <c r="J113">
        <v>58.125399999999999</v>
      </c>
      <c r="K113">
        <v>66.208500000000001</v>
      </c>
      <c r="L113">
        <v>73.707999999999998</v>
      </c>
      <c r="M113">
        <v>50.960571428571399</v>
      </c>
      <c r="N113">
        <v>38.450499999999998</v>
      </c>
      <c r="O113">
        <v>50.046250000000001</v>
      </c>
      <c r="P113">
        <v>94.778857142857206</v>
      </c>
      <c r="Q113">
        <v>94.281000000000006</v>
      </c>
      <c r="R113">
        <v>62.343166666666697</v>
      </c>
      <c r="S113">
        <v>45.613399999999999</v>
      </c>
      <c r="T113">
        <v>48.511600000000001</v>
      </c>
      <c r="U113">
        <v>54.646250000000002</v>
      </c>
    </row>
    <row r="114" spans="1:21" x14ac:dyDescent="0.2">
      <c r="A114" t="s">
        <v>245</v>
      </c>
      <c r="B114" t="s">
        <v>246</v>
      </c>
      <c r="C114">
        <v>63.092157002801102</v>
      </c>
      <c r="D114">
        <v>113</v>
      </c>
      <c r="E114">
        <v>88.682000000000002</v>
      </c>
      <c r="F114">
        <v>51.600714285714297</v>
      </c>
      <c r="G114">
        <v>50.478285714285697</v>
      </c>
      <c r="H114">
        <v>60.817666666666703</v>
      </c>
      <c r="I114">
        <v>45.22625</v>
      </c>
      <c r="J114">
        <v>61.365000000000002</v>
      </c>
      <c r="K114">
        <v>85.065749999999994</v>
      </c>
      <c r="L114">
        <v>66.622571428571405</v>
      </c>
      <c r="M114">
        <v>36.152714285714303</v>
      </c>
      <c r="N114">
        <v>61.805500000000002</v>
      </c>
      <c r="O114">
        <v>54.670250000000003</v>
      </c>
      <c r="P114">
        <v>83.6066</v>
      </c>
      <c r="Q114">
        <v>89.915499999999994</v>
      </c>
      <c r="R114">
        <v>65.828166666666704</v>
      </c>
      <c r="S114">
        <v>83.192999999999998</v>
      </c>
      <c r="T114">
        <v>40.285699999999999</v>
      </c>
      <c r="U114">
        <v>47.250999999999998</v>
      </c>
    </row>
    <row r="115" spans="1:21" x14ac:dyDescent="0.2">
      <c r="A115" t="s">
        <v>247</v>
      </c>
      <c r="B115" t="s">
        <v>248</v>
      </c>
      <c r="C115">
        <v>62.981997614272998</v>
      </c>
      <c r="D115">
        <v>114</v>
      </c>
      <c r="E115">
        <v>98.224000000000004</v>
      </c>
      <c r="F115">
        <v>54.251125000000002</v>
      </c>
      <c r="G115">
        <v>81.944000000000003</v>
      </c>
      <c r="H115">
        <v>85.460750000000004</v>
      </c>
      <c r="I115">
        <v>66.943250000000006</v>
      </c>
      <c r="J115">
        <v>70.610500000000002</v>
      </c>
      <c r="K115">
        <v>56.211750000000002</v>
      </c>
      <c r="L115">
        <v>75.365600000000001</v>
      </c>
      <c r="M115">
        <v>39.880428571428602</v>
      </c>
      <c r="O115">
        <v>78.747333333333302</v>
      </c>
      <c r="P115">
        <v>62.771333333333303</v>
      </c>
      <c r="Q115">
        <v>40.89</v>
      </c>
      <c r="R115">
        <v>51.525500000000001</v>
      </c>
      <c r="S115">
        <v>54.106000000000002</v>
      </c>
      <c r="T115">
        <v>56.689545454545502</v>
      </c>
      <c r="U115">
        <v>63.496000000000002</v>
      </c>
    </row>
    <row r="116" spans="1:21" x14ac:dyDescent="0.2">
      <c r="A116" t="s">
        <v>249</v>
      </c>
      <c r="B116" t="s">
        <v>250</v>
      </c>
      <c r="C116">
        <v>62.963795877684397</v>
      </c>
      <c r="D116">
        <v>115</v>
      </c>
      <c r="E116">
        <v>65.744</v>
      </c>
      <c r="F116">
        <v>65.751374999999996</v>
      </c>
      <c r="G116">
        <v>53.588642857142901</v>
      </c>
      <c r="H116">
        <v>70.149500000000003</v>
      </c>
      <c r="I116">
        <v>68.119</v>
      </c>
      <c r="J116">
        <v>69.163600000000002</v>
      </c>
      <c r="K116">
        <v>57.640500000000003</v>
      </c>
      <c r="L116">
        <v>72.831500000000005</v>
      </c>
      <c r="M116">
        <v>30.851714285714301</v>
      </c>
      <c r="N116">
        <v>57.427999999999997</v>
      </c>
      <c r="O116">
        <v>77.224000000000004</v>
      </c>
      <c r="P116">
        <v>92.841999999999999</v>
      </c>
      <c r="Q116">
        <v>92.4583333333333</v>
      </c>
      <c r="S116">
        <v>46.467799999999997</v>
      </c>
      <c r="T116">
        <v>45.724833333333301</v>
      </c>
      <c r="U116">
        <v>43.6325</v>
      </c>
    </row>
    <row r="117" spans="1:21" x14ac:dyDescent="0.2">
      <c r="A117" t="s">
        <v>251</v>
      </c>
      <c r="B117" t="s">
        <v>252</v>
      </c>
      <c r="C117">
        <v>62.945843971224903</v>
      </c>
      <c r="D117">
        <v>116</v>
      </c>
      <c r="E117">
        <v>70.3035</v>
      </c>
      <c r="F117">
        <v>53.925874999999998</v>
      </c>
      <c r="G117">
        <v>70.155785714285699</v>
      </c>
      <c r="H117">
        <v>61.02225</v>
      </c>
      <c r="I117">
        <v>66.744</v>
      </c>
      <c r="J117">
        <v>72.427999999999997</v>
      </c>
      <c r="K117">
        <v>60.738250000000001</v>
      </c>
      <c r="L117">
        <v>67.172142857142902</v>
      </c>
      <c r="M117">
        <v>28.430285714285699</v>
      </c>
      <c r="N117">
        <v>20.844999999999999</v>
      </c>
      <c r="O117">
        <v>76.902000000000001</v>
      </c>
      <c r="P117">
        <v>89.832714285714303</v>
      </c>
      <c r="Q117">
        <v>95.760666666666694</v>
      </c>
      <c r="R117">
        <v>62.533000000000001</v>
      </c>
      <c r="S117">
        <v>69.435400000000001</v>
      </c>
      <c r="T117">
        <v>40.597727272727298</v>
      </c>
      <c r="U117">
        <v>63.252749999999999</v>
      </c>
    </row>
    <row r="118" spans="1:21" x14ac:dyDescent="0.2">
      <c r="A118" t="s">
        <v>253</v>
      </c>
      <c r="B118" t="s">
        <v>254</v>
      </c>
      <c r="C118">
        <v>62.882696692523197</v>
      </c>
      <c r="D118">
        <v>117</v>
      </c>
      <c r="E118">
        <v>19.738499999999998</v>
      </c>
      <c r="F118">
        <v>52.421750000000003</v>
      </c>
      <c r="G118">
        <v>62.818846153846202</v>
      </c>
      <c r="H118">
        <v>81.194749999999999</v>
      </c>
      <c r="I118">
        <v>68.05</v>
      </c>
      <c r="J118">
        <v>76.289199999999994</v>
      </c>
      <c r="K118">
        <v>75.283749999999998</v>
      </c>
      <c r="L118">
        <v>76.610142857142904</v>
      </c>
      <c r="M118">
        <v>34.785571428571401</v>
      </c>
      <c r="N118">
        <v>28.5715</v>
      </c>
      <c r="O118">
        <v>71.168999999999997</v>
      </c>
      <c r="P118">
        <v>82.566000000000003</v>
      </c>
      <c r="Q118">
        <v>92.867500000000007</v>
      </c>
      <c r="R118">
        <v>81.286000000000001</v>
      </c>
      <c r="S118">
        <v>80.700999999999993</v>
      </c>
      <c r="T118">
        <v>32.488</v>
      </c>
      <c r="U118">
        <v>52.164333333333303</v>
      </c>
    </row>
    <row r="119" spans="1:21" x14ac:dyDescent="0.2">
      <c r="A119" t="s">
        <v>255</v>
      </c>
      <c r="B119" t="s">
        <v>256</v>
      </c>
      <c r="C119">
        <v>62.737625982806897</v>
      </c>
      <c r="D119">
        <v>118</v>
      </c>
      <c r="E119">
        <v>64.81</v>
      </c>
      <c r="F119">
        <v>45.078749999999999</v>
      </c>
      <c r="G119">
        <v>51.273785714285701</v>
      </c>
      <c r="H119">
        <v>65.812250000000006</v>
      </c>
      <c r="I119">
        <v>69.360500000000002</v>
      </c>
      <c r="J119">
        <v>68.144400000000005</v>
      </c>
      <c r="K119">
        <v>48.7545</v>
      </c>
      <c r="L119">
        <v>63.988</v>
      </c>
      <c r="M119">
        <v>53.456714285714298</v>
      </c>
      <c r="N119">
        <v>13.662000000000001</v>
      </c>
      <c r="O119">
        <v>76.244249999999994</v>
      </c>
      <c r="P119">
        <v>84.6361428571429</v>
      </c>
      <c r="Q119">
        <v>89.343999999999994</v>
      </c>
      <c r="S119">
        <v>74.422799999999995</v>
      </c>
      <c r="T119">
        <v>62.449199999999998</v>
      </c>
      <c r="U119">
        <v>68.767750000000007</v>
      </c>
    </row>
    <row r="120" spans="1:21" x14ac:dyDescent="0.2">
      <c r="A120" t="s">
        <v>257</v>
      </c>
      <c r="B120" t="s">
        <v>258</v>
      </c>
      <c r="C120">
        <v>62.732946670976098</v>
      </c>
      <c r="D120">
        <v>119</v>
      </c>
      <c r="E120">
        <v>48.195500000000003</v>
      </c>
      <c r="F120">
        <v>60.651285714285699</v>
      </c>
      <c r="G120">
        <v>63.556307692307698</v>
      </c>
      <c r="H120">
        <v>69.074250000000006</v>
      </c>
      <c r="I120">
        <v>51.41525</v>
      </c>
      <c r="J120">
        <v>51.426000000000002</v>
      </c>
      <c r="K120">
        <v>38.795749999999998</v>
      </c>
      <c r="L120">
        <v>48.57</v>
      </c>
      <c r="M120">
        <v>29.858166666666701</v>
      </c>
      <c r="N120">
        <v>48.345999999999997</v>
      </c>
      <c r="O120">
        <v>71.130666666666698</v>
      </c>
      <c r="P120">
        <v>95.805666666666696</v>
      </c>
      <c r="Q120">
        <v>98.507499999999993</v>
      </c>
      <c r="R120">
        <v>79.907666666666699</v>
      </c>
      <c r="S120">
        <v>81.062250000000006</v>
      </c>
      <c r="T120">
        <v>78.037333333333294</v>
      </c>
      <c r="U120">
        <v>52.1205</v>
      </c>
    </row>
    <row r="121" spans="1:21" x14ac:dyDescent="0.2">
      <c r="A121" t="s">
        <v>259</v>
      </c>
      <c r="B121" t="s">
        <v>260</v>
      </c>
      <c r="C121">
        <v>62.259287535014003</v>
      </c>
      <c r="D121">
        <v>120</v>
      </c>
      <c r="E121">
        <v>73.724000000000004</v>
      </c>
      <c r="F121">
        <v>65.358500000000006</v>
      </c>
      <c r="G121">
        <v>43.148071428571399</v>
      </c>
      <c r="H121">
        <v>53.213500000000003</v>
      </c>
      <c r="I121">
        <v>50.701250000000002</v>
      </c>
      <c r="J121">
        <v>55.248800000000003</v>
      </c>
      <c r="K121">
        <v>47.200249999999997</v>
      </c>
      <c r="L121">
        <v>76.434857142857098</v>
      </c>
      <c r="M121">
        <v>33.229571428571397</v>
      </c>
      <c r="N121">
        <v>64.119</v>
      </c>
      <c r="O121">
        <v>50.423000000000002</v>
      </c>
      <c r="P121">
        <v>95.742571428571395</v>
      </c>
      <c r="Q121">
        <v>97.795666666666705</v>
      </c>
      <c r="R121">
        <v>79.257999999999996</v>
      </c>
      <c r="S121">
        <v>72.915800000000004</v>
      </c>
      <c r="T121">
        <v>52.8063</v>
      </c>
      <c r="U121">
        <v>47.088749999999997</v>
      </c>
    </row>
    <row r="122" spans="1:21" x14ac:dyDescent="0.2">
      <c r="A122" t="s">
        <v>261</v>
      </c>
      <c r="B122" t="s">
        <v>262</v>
      </c>
      <c r="C122">
        <v>61.829402801120501</v>
      </c>
      <c r="D122">
        <v>121</v>
      </c>
      <c r="E122">
        <v>67.873000000000005</v>
      </c>
      <c r="F122">
        <v>61.802</v>
      </c>
      <c r="G122">
        <v>57.787571428571397</v>
      </c>
      <c r="H122">
        <v>31.660499999999999</v>
      </c>
      <c r="I122">
        <v>44.305500000000002</v>
      </c>
      <c r="J122">
        <v>64.811000000000007</v>
      </c>
      <c r="K122">
        <v>41.1265</v>
      </c>
      <c r="L122">
        <v>78.719142857142899</v>
      </c>
      <c r="M122">
        <v>36.9287142857143</v>
      </c>
      <c r="N122">
        <v>60.258000000000003</v>
      </c>
      <c r="O122">
        <v>63.571249999999999</v>
      </c>
      <c r="P122">
        <v>95.021285714285696</v>
      </c>
      <c r="Q122">
        <v>97.573333333333295</v>
      </c>
      <c r="R122">
        <v>68.424499999999995</v>
      </c>
      <c r="S122">
        <v>66.301199999999994</v>
      </c>
      <c r="T122">
        <v>54.028599999999997</v>
      </c>
      <c r="U122">
        <v>60.90775</v>
      </c>
    </row>
    <row r="123" spans="1:21" x14ac:dyDescent="0.2">
      <c r="A123" t="s">
        <v>263</v>
      </c>
      <c r="B123" t="s">
        <v>264</v>
      </c>
      <c r="C123">
        <v>61.7986908899924</v>
      </c>
      <c r="D123">
        <v>122</v>
      </c>
      <c r="E123">
        <v>54.357999999999997</v>
      </c>
      <c r="F123">
        <v>70.778625000000005</v>
      </c>
      <c r="G123">
        <v>52.8120714285714</v>
      </c>
      <c r="H123">
        <v>84.542000000000002</v>
      </c>
      <c r="I123">
        <v>54.939</v>
      </c>
      <c r="J123">
        <v>57.681399999999996</v>
      </c>
      <c r="K123">
        <v>50.921999999999997</v>
      </c>
      <c r="L123">
        <v>76.428857142857098</v>
      </c>
      <c r="M123">
        <v>46.7534285714286</v>
      </c>
      <c r="N123">
        <v>35.215000000000003</v>
      </c>
      <c r="O123">
        <v>48.874250000000004</v>
      </c>
      <c r="P123">
        <v>95.445285714285703</v>
      </c>
      <c r="Q123">
        <v>96.567333333333295</v>
      </c>
      <c r="R123">
        <v>44.864166666666698</v>
      </c>
      <c r="S123">
        <v>69.446600000000004</v>
      </c>
      <c r="T123">
        <v>64.963727272727297</v>
      </c>
      <c r="U123">
        <v>45.985999999999997</v>
      </c>
    </row>
    <row r="124" spans="1:21" x14ac:dyDescent="0.2">
      <c r="A124" t="s">
        <v>265</v>
      </c>
      <c r="B124" t="s">
        <v>266</v>
      </c>
      <c r="C124">
        <v>60.913036344537801</v>
      </c>
      <c r="D124">
        <v>123</v>
      </c>
      <c r="E124">
        <v>49.433999999999997</v>
      </c>
      <c r="F124">
        <v>58.452125000000002</v>
      </c>
      <c r="G124">
        <v>51.030285714285696</v>
      </c>
      <c r="H124">
        <v>71.129000000000005</v>
      </c>
      <c r="I124">
        <v>70.045500000000004</v>
      </c>
      <c r="J124">
        <v>46.664000000000001</v>
      </c>
      <c r="K124">
        <v>41.527500000000003</v>
      </c>
      <c r="L124">
        <v>75.732571428571404</v>
      </c>
      <c r="M124">
        <v>39.164999999999999</v>
      </c>
      <c r="N124">
        <v>49.548999999999999</v>
      </c>
      <c r="O124">
        <v>55.62</v>
      </c>
      <c r="P124">
        <v>94.734285714285704</v>
      </c>
      <c r="Q124">
        <v>98.406999999999996</v>
      </c>
      <c r="R124">
        <v>69.817999999999998</v>
      </c>
      <c r="S124">
        <v>58.700400000000002</v>
      </c>
      <c r="T124">
        <v>51.056699999999999</v>
      </c>
      <c r="U124">
        <v>54.456249999999997</v>
      </c>
    </row>
    <row r="125" spans="1:21" x14ac:dyDescent="0.2">
      <c r="A125" t="s">
        <v>267</v>
      </c>
      <c r="B125" t="s">
        <v>268</v>
      </c>
      <c r="C125">
        <v>60.860560401356899</v>
      </c>
      <c r="D125">
        <v>124</v>
      </c>
      <c r="F125">
        <v>63.447285714285698</v>
      </c>
      <c r="G125">
        <v>80.658538461538498</v>
      </c>
      <c r="H125">
        <v>58.045000000000002</v>
      </c>
      <c r="I125">
        <v>71.972250000000003</v>
      </c>
      <c r="J125">
        <v>48.844749999999998</v>
      </c>
      <c r="K125">
        <v>70.75</v>
      </c>
      <c r="L125">
        <v>66.409400000000005</v>
      </c>
      <c r="M125">
        <v>56.971166666666697</v>
      </c>
      <c r="O125">
        <v>93.793000000000006</v>
      </c>
      <c r="P125">
        <v>52.908142857142899</v>
      </c>
      <c r="Q125">
        <v>68.787333333333294</v>
      </c>
      <c r="R125">
        <v>60.094833333333298</v>
      </c>
      <c r="S125">
        <v>44.5184</v>
      </c>
      <c r="T125">
        <v>52.400714285714301</v>
      </c>
      <c r="U125">
        <v>29.35</v>
      </c>
    </row>
    <row r="126" spans="1:21" x14ac:dyDescent="0.2">
      <c r="A126" t="s">
        <v>269</v>
      </c>
      <c r="B126" t="s">
        <v>270</v>
      </c>
      <c r="C126">
        <v>60.443130506748197</v>
      </c>
      <c r="D126">
        <v>125</v>
      </c>
      <c r="E126">
        <v>57.98</v>
      </c>
      <c r="F126">
        <v>65.899749999999997</v>
      </c>
      <c r="G126">
        <v>49.828428571428603</v>
      </c>
      <c r="H126">
        <v>61.115499999999997</v>
      </c>
      <c r="I126">
        <v>57.457000000000001</v>
      </c>
      <c r="J126">
        <v>68.4666</v>
      </c>
      <c r="K126">
        <v>44.600749999999998</v>
      </c>
      <c r="L126">
        <v>66.420428571428602</v>
      </c>
      <c r="M126">
        <v>30.1847142857143</v>
      </c>
      <c r="N126">
        <v>87.242999999999995</v>
      </c>
      <c r="O126">
        <v>55.396250000000002</v>
      </c>
      <c r="P126">
        <v>94.438571428571393</v>
      </c>
      <c r="Q126">
        <v>97.534666666666695</v>
      </c>
      <c r="R126">
        <v>47.567399999999999</v>
      </c>
      <c r="S126">
        <v>51.633000000000003</v>
      </c>
      <c r="T126">
        <v>41.8169090909091</v>
      </c>
      <c r="U126">
        <v>49.950249999999997</v>
      </c>
    </row>
    <row r="127" spans="1:21" x14ac:dyDescent="0.2">
      <c r="A127" t="s">
        <v>271</v>
      </c>
      <c r="B127" t="s">
        <v>272</v>
      </c>
      <c r="C127">
        <v>60.1980560248237</v>
      </c>
      <c r="D127">
        <v>126</v>
      </c>
      <c r="E127">
        <v>23.4575</v>
      </c>
      <c r="F127">
        <v>62.980125000000001</v>
      </c>
      <c r="G127">
        <v>59.012142857142898</v>
      </c>
      <c r="H127">
        <v>61.28425</v>
      </c>
      <c r="I127">
        <v>77.238249999999994</v>
      </c>
      <c r="J127">
        <v>57.751600000000003</v>
      </c>
      <c r="K127">
        <v>33.670999999999999</v>
      </c>
      <c r="L127">
        <v>69.082428571428594</v>
      </c>
      <c r="M127">
        <v>30.168571428571401</v>
      </c>
      <c r="N127">
        <v>34.901499999999999</v>
      </c>
      <c r="O127">
        <v>57.292999999999999</v>
      </c>
      <c r="P127">
        <v>94.650285714285701</v>
      </c>
      <c r="Q127">
        <v>99.269000000000005</v>
      </c>
      <c r="S127">
        <v>67.333600000000004</v>
      </c>
      <c r="T127">
        <v>68.025099999999995</v>
      </c>
      <c r="U127">
        <v>60.914000000000001</v>
      </c>
    </row>
    <row r="128" spans="1:21" x14ac:dyDescent="0.2">
      <c r="A128" t="s">
        <v>273</v>
      </c>
      <c r="B128" t="s">
        <v>274</v>
      </c>
      <c r="C128">
        <v>59.383098319327701</v>
      </c>
      <c r="D128">
        <v>127</v>
      </c>
      <c r="E128">
        <v>76.548500000000004</v>
      </c>
      <c r="F128">
        <v>43.4895</v>
      </c>
      <c r="G128">
        <v>68.544285714285706</v>
      </c>
      <c r="H128">
        <v>72.350250000000003</v>
      </c>
      <c r="I128">
        <v>49.850999999999999</v>
      </c>
      <c r="J128">
        <v>69.018000000000001</v>
      </c>
      <c r="K128">
        <v>58.103499999999997</v>
      </c>
      <c r="L128">
        <v>71.021285714285696</v>
      </c>
      <c r="M128">
        <v>23.1398571428571</v>
      </c>
      <c r="N128">
        <v>20.704000000000001</v>
      </c>
      <c r="O128">
        <v>74.071749999999994</v>
      </c>
      <c r="P128">
        <v>90.3891428571429</v>
      </c>
      <c r="Q128">
        <v>95.892333333333298</v>
      </c>
      <c r="R128">
        <v>55.9166666666667</v>
      </c>
      <c r="S128">
        <v>45.963799999999999</v>
      </c>
      <c r="T128">
        <v>43.660800000000002</v>
      </c>
      <c r="U128">
        <v>50.847999999999999</v>
      </c>
    </row>
    <row r="129" spans="1:21" x14ac:dyDescent="0.2">
      <c r="A129" t="s">
        <v>275</v>
      </c>
      <c r="B129" t="s">
        <v>276</v>
      </c>
      <c r="C129">
        <v>58.967641745509397</v>
      </c>
      <c r="D129">
        <v>128</v>
      </c>
      <c r="E129">
        <v>79.143000000000001</v>
      </c>
      <c r="F129">
        <v>43.615714285714297</v>
      </c>
      <c r="G129">
        <v>45.177538461538497</v>
      </c>
      <c r="H129">
        <v>59.713666666666697</v>
      </c>
      <c r="I129">
        <v>37.244</v>
      </c>
      <c r="J129">
        <v>49.429400000000001</v>
      </c>
      <c r="K129">
        <v>50.212499999999999</v>
      </c>
      <c r="L129">
        <v>59.380666666666698</v>
      </c>
      <c r="M129">
        <v>33.4888571428571</v>
      </c>
      <c r="N129">
        <v>90.073999999999998</v>
      </c>
      <c r="O129">
        <v>43.883499999999998</v>
      </c>
      <c r="P129">
        <v>94.316428571428602</v>
      </c>
      <c r="Q129">
        <v>96.608500000000006</v>
      </c>
      <c r="R129">
        <v>63.2783333333333</v>
      </c>
      <c r="S129">
        <v>65.807599999999994</v>
      </c>
      <c r="T129">
        <v>42.238454545454601</v>
      </c>
      <c r="U129">
        <v>48.83775</v>
      </c>
    </row>
    <row r="130" spans="1:21" x14ac:dyDescent="0.2">
      <c r="A130" t="s">
        <v>277</v>
      </c>
      <c r="B130" t="s">
        <v>278</v>
      </c>
      <c r="C130">
        <v>58.301577170868399</v>
      </c>
      <c r="D130">
        <v>129</v>
      </c>
      <c r="E130">
        <v>59.359000000000002</v>
      </c>
      <c r="F130">
        <v>47.626857142857098</v>
      </c>
      <c r="G130">
        <v>48.600785714285699</v>
      </c>
      <c r="H130">
        <v>51.493000000000002</v>
      </c>
      <c r="I130">
        <v>43.124499999999998</v>
      </c>
      <c r="J130">
        <v>59.876199999999997</v>
      </c>
      <c r="K130">
        <v>30.4375</v>
      </c>
      <c r="L130">
        <v>65.740857142857095</v>
      </c>
      <c r="M130">
        <v>24.6391428571429</v>
      </c>
      <c r="N130">
        <v>69.075000000000003</v>
      </c>
      <c r="O130">
        <v>54.945749999999997</v>
      </c>
      <c r="P130">
        <v>96.168285714285702</v>
      </c>
      <c r="Q130">
        <v>99.024333333333303</v>
      </c>
      <c r="R130">
        <v>63.71725</v>
      </c>
      <c r="S130">
        <v>83.025199999999998</v>
      </c>
      <c r="T130">
        <v>47.714399999999998</v>
      </c>
      <c r="U130">
        <v>46.558750000000003</v>
      </c>
    </row>
    <row r="131" spans="1:21" x14ac:dyDescent="0.2">
      <c r="A131" t="s">
        <v>279</v>
      </c>
      <c r="B131" t="s">
        <v>280</v>
      </c>
      <c r="C131">
        <v>58.180920911441497</v>
      </c>
      <c r="D131">
        <v>130</v>
      </c>
      <c r="F131">
        <v>31.1086666666667</v>
      </c>
      <c r="G131">
        <v>61.299076923076903</v>
      </c>
      <c r="H131">
        <v>61.819000000000003</v>
      </c>
      <c r="I131">
        <v>34.097000000000001</v>
      </c>
      <c r="J131">
        <v>62.884799999999998</v>
      </c>
      <c r="K131">
        <v>61.760750000000002</v>
      </c>
      <c r="L131">
        <v>70.190250000000006</v>
      </c>
      <c r="M131">
        <v>23.898142857142901</v>
      </c>
      <c r="N131">
        <v>62.978000000000002</v>
      </c>
      <c r="O131">
        <v>39.744333333333302</v>
      </c>
      <c r="P131">
        <v>91.922833333333301</v>
      </c>
      <c r="Q131">
        <v>96.406000000000006</v>
      </c>
      <c r="R131">
        <v>49.934199999999997</v>
      </c>
      <c r="S131">
        <v>56.511400000000002</v>
      </c>
      <c r="T131">
        <v>46.689285714285703</v>
      </c>
      <c r="U131">
        <v>50.875666666666703</v>
      </c>
    </row>
    <row r="132" spans="1:21" x14ac:dyDescent="0.2">
      <c r="A132" t="s">
        <v>281</v>
      </c>
      <c r="B132" t="s">
        <v>282</v>
      </c>
      <c r="C132">
        <v>57.982847014552902</v>
      </c>
      <c r="D132">
        <v>131</v>
      </c>
      <c r="E132">
        <v>44.395000000000003</v>
      </c>
      <c r="F132">
        <v>59.288874999999997</v>
      </c>
      <c r="G132">
        <v>40.665500000000002</v>
      </c>
      <c r="H132">
        <v>10.607749999999999</v>
      </c>
      <c r="I132">
        <v>60.141249999999999</v>
      </c>
      <c r="J132">
        <v>61.710599999999999</v>
      </c>
      <c r="K132">
        <v>34.53725</v>
      </c>
      <c r="L132">
        <v>72.243428571428595</v>
      </c>
      <c r="M132">
        <v>21.165428571428599</v>
      </c>
      <c r="N132">
        <v>68.887500000000003</v>
      </c>
      <c r="O132">
        <v>59.958500000000001</v>
      </c>
      <c r="P132">
        <v>94.525857142857106</v>
      </c>
      <c r="Q132">
        <v>99.004333333333406</v>
      </c>
      <c r="S132">
        <v>86.756</v>
      </c>
      <c r="T132">
        <v>55.132777777777797</v>
      </c>
      <c r="U132">
        <v>50.353749999999998</v>
      </c>
    </row>
    <row r="133" spans="1:21" x14ac:dyDescent="0.2">
      <c r="A133" t="s">
        <v>283</v>
      </c>
      <c r="B133" t="s">
        <v>284</v>
      </c>
      <c r="C133">
        <v>57.850708755916202</v>
      </c>
      <c r="D133">
        <v>132</v>
      </c>
      <c r="E133">
        <v>33.663499999999999</v>
      </c>
      <c r="F133">
        <v>50.428125000000001</v>
      </c>
      <c r="G133">
        <v>35.679000000000002</v>
      </c>
      <c r="H133">
        <v>74.218999999999994</v>
      </c>
      <c r="I133">
        <v>70.038499999999999</v>
      </c>
      <c r="J133">
        <v>50.515749999999997</v>
      </c>
      <c r="K133">
        <v>70.507499999999993</v>
      </c>
      <c r="L133">
        <v>44.767000000000003</v>
      </c>
      <c r="M133">
        <v>40.899166666666702</v>
      </c>
      <c r="N133">
        <v>11.831</v>
      </c>
      <c r="O133">
        <v>86.8095</v>
      </c>
      <c r="P133">
        <v>85.267333333333298</v>
      </c>
      <c r="Q133">
        <v>97.472499999999997</v>
      </c>
      <c r="S133">
        <v>50.554200000000002</v>
      </c>
      <c r="T133">
        <v>53.674624999999999</v>
      </c>
      <c r="U133">
        <v>60.800750000000001</v>
      </c>
    </row>
    <row r="134" spans="1:21" x14ac:dyDescent="0.2">
      <c r="A134" t="s">
        <v>285</v>
      </c>
      <c r="B134" t="s">
        <v>286</v>
      </c>
      <c r="C134">
        <v>57.232368907563</v>
      </c>
      <c r="D134">
        <v>133</v>
      </c>
      <c r="E134">
        <v>76.974999999999994</v>
      </c>
      <c r="F134">
        <v>42.602857142857196</v>
      </c>
      <c r="G134">
        <v>51.839642857142898</v>
      </c>
      <c r="H134">
        <v>47.027999999999999</v>
      </c>
      <c r="I134">
        <v>38.650500000000001</v>
      </c>
      <c r="J134">
        <v>58.160600000000002</v>
      </c>
      <c r="K134">
        <v>37.600999999999999</v>
      </c>
      <c r="L134">
        <v>50.401000000000003</v>
      </c>
      <c r="M134">
        <v>25.602</v>
      </c>
      <c r="N134">
        <v>81.847999999999999</v>
      </c>
      <c r="O134">
        <v>45.137999999999998</v>
      </c>
      <c r="P134">
        <v>90.700571428571394</v>
      </c>
      <c r="Q134">
        <v>97.197000000000003</v>
      </c>
      <c r="R134">
        <v>71.497333333333302</v>
      </c>
      <c r="S134">
        <v>51.103000000000002</v>
      </c>
      <c r="T134">
        <v>51.0441</v>
      </c>
      <c r="U134">
        <v>55.561666666666703</v>
      </c>
    </row>
    <row r="135" spans="1:21" x14ac:dyDescent="0.2">
      <c r="A135" t="s">
        <v>287</v>
      </c>
      <c r="B135" t="s">
        <v>288</v>
      </c>
      <c r="C135">
        <v>56.832941857652202</v>
      </c>
      <c r="D135">
        <v>134</v>
      </c>
      <c r="E135">
        <v>25.558</v>
      </c>
      <c r="F135">
        <v>60.984375</v>
      </c>
      <c r="G135">
        <v>46.222000000000001</v>
      </c>
      <c r="H135">
        <v>48.695</v>
      </c>
      <c r="I135">
        <v>70.790000000000006</v>
      </c>
      <c r="J135">
        <v>51.6648</v>
      </c>
      <c r="K135">
        <v>34.328749999999999</v>
      </c>
      <c r="L135">
        <v>73.324428571428598</v>
      </c>
      <c r="M135">
        <v>27.209428571428599</v>
      </c>
      <c r="N135">
        <v>50.377499999999998</v>
      </c>
      <c r="O135">
        <v>59.799750000000003</v>
      </c>
      <c r="P135">
        <v>95.278714285714301</v>
      </c>
      <c r="Q135">
        <v>99.088333333333296</v>
      </c>
      <c r="R135">
        <v>69.789500000000004</v>
      </c>
      <c r="S135">
        <v>59.616</v>
      </c>
      <c r="T135">
        <v>42.887181818181801</v>
      </c>
      <c r="U135">
        <v>50.546250000000001</v>
      </c>
    </row>
    <row r="136" spans="1:21" x14ac:dyDescent="0.2">
      <c r="A136" t="s">
        <v>289</v>
      </c>
      <c r="B136" t="s">
        <v>290</v>
      </c>
      <c r="C136">
        <v>56.295725358920997</v>
      </c>
      <c r="D136">
        <v>135</v>
      </c>
      <c r="E136">
        <v>0</v>
      </c>
      <c r="F136">
        <v>61.671142857142897</v>
      </c>
      <c r="G136">
        <v>49.661499999999997</v>
      </c>
      <c r="H136">
        <v>52.831333333333298</v>
      </c>
      <c r="I136">
        <v>70.056749999999994</v>
      </c>
      <c r="J136">
        <v>52.474200000000003</v>
      </c>
      <c r="K136">
        <v>41.960250000000002</v>
      </c>
      <c r="L136">
        <v>67.281714285714301</v>
      </c>
      <c r="M136">
        <v>20.2867142857143</v>
      </c>
      <c r="N136">
        <v>58.506999999999998</v>
      </c>
      <c r="O136">
        <v>58.185250000000003</v>
      </c>
      <c r="P136">
        <v>97.936571428571398</v>
      </c>
      <c r="Q136">
        <v>99.564333333333295</v>
      </c>
      <c r="S136">
        <v>60.358199999999997</v>
      </c>
      <c r="T136">
        <v>51.4582727272727</v>
      </c>
      <c r="U136">
        <v>48.459499999999998</v>
      </c>
    </row>
    <row r="137" spans="1:21" x14ac:dyDescent="0.2">
      <c r="A137" t="s">
        <v>291</v>
      </c>
      <c r="B137" t="s">
        <v>292</v>
      </c>
      <c r="C137">
        <v>56.264875560224098</v>
      </c>
      <c r="D137">
        <v>136</v>
      </c>
      <c r="E137">
        <v>31.418500000000002</v>
      </c>
      <c r="F137">
        <v>60.989125000000001</v>
      </c>
      <c r="G137">
        <v>45.729500000000002</v>
      </c>
      <c r="H137">
        <v>80.106750000000005</v>
      </c>
      <c r="I137">
        <v>42.366250000000001</v>
      </c>
      <c r="J137">
        <v>50.8932</v>
      </c>
      <c r="K137">
        <v>27.229500000000002</v>
      </c>
      <c r="L137">
        <v>70.672571428571402</v>
      </c>
      <c r="M137">
        <v>23.089714285714301</v>
      </c>
      <c r="N137">
        <v>41.639000000000003</v>
      </c>
      <c r="O137">
        <v>44.536000000000001</v>
      </c>
      <c r="P137">
        <v>96.330857142857099</v>
      </c>
      <c r="Q137">
        <v>98.9286666666667</v>
      </c>
      <c r="R137">
        <v>70.876000000000005</v>
      </c>
      <c r="S137">
        <v>77.697749999999999</v>
      </c>
      <c r="T137">
        <v>42.418999999999997</v>
      </c>
      <c r="U137">
        <v>51.580500000000001</v>
      </c>
    </row>
    <row r="138" spans="1:21" x14ac:dyDescent="0.2">
      <c r="A138" t="s">
        <v>293</v>
      </c>
      <c r="B138" t="s">
        <v>294</v>
      </c>
      <c r="C138">
        <v>55.6694020308123</v>
      </c>
      <c r="D138">
        <v>137</v>
      </c>
      <c r="E138">
        <v>49.138500000000001</v>
      </c>
      <c r="F138">
        <v>56.665374999999997</v>
      </c>
      <c r="G138">
        <v>36.6078571428571</v>
      </c>
      <c r="H138">
        <v>50.317250000000001</v>
      </c>
      <c r="I138">
        <v>46.636499999999998</v>
      </c>
      <c r="J138">
        <v>49.09</v>
      </c>
      <c r="K138">
        <v>16.496749999999999</v>
      </c>
      <c r="L138">
        <v>67.1357142857143</v>
      </c>
      <c r="M138">
        <v>14.2045714285714</v>
      </c>
      <c r="N138">
        <v>69.700500000000005</v>
      </c>
      <c r="O138">
        <v>37.97175</v>
      </c>
      <c r="P138">
        <v>97.823999999999998</v>
      </c>
      <c r="Q138">
        <v>99.34</v>
      </c>
      <c r="R138">
        <v>78.4731666666667</v>
      </c>
      <c r="S138">
        <v>63.744399999999999</v>
      </c>
      <c r="T138">
        <v>53.320999999999998</v>
      </c>
      <c r="U138">
        <v>59.712499999999999</v>
      </c>
    </row>
    <row r="139" spans="1:21" x14ac:dyDescent="0.2">
      <c r="A139" t="s">
        <v>295</v>
      </c>
      <c r="B139" t="s">
        <v>296</v>
      </c>
      <c r="C139">
        <v>55.602292216573098</v>
      </c>
      <c r="D139">
        <v>138</v>
      </c>
      <c r="E139">
        <v>21.452999999999999</v>
      </c>
      <c r="F139">
        <v>48.491</v>
      </c>
      <c r="G139">
        <v>41.907714285714299</v>
      </c>
      <c r="H139">
        <v>62.497</v>
      </c>
      <c r="I139">
        <v>77.177499999999995</v>
      </c>
      <c r="J139">
        <v>51.074599999999997</v>
      </c>
      <c r="K139">
        <v>41.628250000000001</v>
      </c>
      <c r="L139">
        <v>63.164714285714297</v>
      </c>
      <c r="M139">
        <v>26.963999999999999</v>
      </c>
      <c r="N139">
        <v>23.981000000000002</v>
      </c>
      <c r="O139">
        <v>65.654250000000005</v>
      </c>
      <c r="P139">
        <v>94.5042857142857</v>
      </c>
      <c r="Q139">
        <v>94.256</v>
      </c>
      <c r="S139">
        <v>77.892600000000002</v>
      </c>
      <c r="T139">
        <v>40.477454545454499</v>
      </c>
      <c r="U139">
        <v>47.780999999999999</v>
      </c>
    </row>
    <row r="140" spans="1:21" x14ac:dyDescent="0.2">
      <c r="A140" t="s">
        <v>297</v>
      </c>
      <c r="B140" t="s">
        <v>298</v>
      </c>
      <c r="C140">
        <v>55.1496588744589</v>
      </c>
      <c r="D140">
        <v>139</v>
      </c>
      <c r="E140">
        <v>50.573</v>
      </c>
      <c r="F140">
        <v>61.3045714285714</v>
      </c>
      <c r="G140">
        <v>39.827071428571401</v>
      </c>
      <c r="H140">
        <v>49.247750000000003</v>
      </c>
      <c r="I140">
        <v>56.030250000000002</v>
      </c>
      <c r="J140">
        <v>55.969000000000001</v>
      </c>
      <c r="K140">
        <v>49.143749999999997</v>
      </c>
      <c r="L140">
        <v>68.819142857142893</v>
      </c>
      <c r="M140">
        <v>29.422999999999998</v>
      </c>
      <c r="N140">
        <v>23.098500000000001</v>
      </c>
      <c r="O140">
        <v>42.426000000000002</v>
      </c>
      <c r="P140">
        <v>96.35</v>
      </c>
      <c r="Q140">
        <v>98.129333333333406</v>
      </c>
      <c r="R140">
        <v>73.698999999999998</v>
      </c>
      <c r="S140">
        <v>63.543399999999998</v>
      </c>
      <c r="T140">
        <v>36.2321818181818</v>
      </c>
      <c r="U140">
        <v>43.728250000000003</v>
      </c>
    </row>
    <row r="141" spans="1:21" x14ac:dyDescent="0.2">
      <c r="A141" t="s">
        <v>299</v>
      </c>
      <c r="B141" t="s">
        <v>300</v>
      </c>
      <c r="C141">
        <v>55.117628501400603</v>
      </c>
      <c r="D141">
        <v>140</v>
      </c>
      <c r="E141">
        <v>57.200499999999998</v>
      </c>
      <c r="F141">
        <v>65.352625000000003</v>
      </c>
      <c r="G141">
        <v>41.9905714285714</v>
      </c>
      <c r="H141">
        <v>57.28</v>
      </c>
      <c r="I141">
        <v>34.198500000000003</v>
      </c>
      <c r="J141">
        <v>49.4148</v>
      </c>
      <c r="K141">
        <v>11.8005</v>
      </c>
      <c r="L141">
        <v>76.027571428571406</v>
      </c>
      <c r="M141">
        <v>25.914666666666701</v>
      </c>
      <c r="N141">
        <v>61.993000000000002</v>
      </c>
      <c r="O141">
        <v>39.124749999999999</v>
      </c>
      <c r="P141">
        <v>96.911166666666702</v>
      </c>
      <c r="Q141">
        <v>97.8213333333333</v>
      </c>
      <c r="R141">
        <v>59.988999999999997</v>
      </c>
      <c r="S141">
        <v>66.412400000000005</v>
      </c>
      <c r="T141">
        <v>45.973799999999997</v>
      </c>
      <c r="U141">
        <v>49.594499999999996</v>
      </c>
    </row>
    <row r="142" spans="1:21" x14ac:dyDescent="0.2">
      <c r="A142" t="s">
        <v>301</v>
      </c>
      <c r="B142" t="s">
        <v>302</v>
      </c>
      <c r="C142">
        <v>55.024064778325098</v>
      </c>
      <c r="D142">
        <v>141</v>
      </c>
      <c r="E142">
        <v>25.413</v>
      </c>
      <c r="F142">
        <v>66.656857142857106</v>
      </c>
      <c r="G142">
        <v>49.3264285714286</v>
      </c>
      <c r="H142">
        <v>40.847749999999998</v>
      </c>
      <c r="I142">
        <v>67.837999999999994</v>
      </c>
      <c r="J142">
        <v>47.393000000000001</v>
      </c>
      <c r="K142">
        <v>38.22025</v>
      </c>
      <c r="L142">
        <v>69.313714285714298</v>
      </c>
      <c r="M142">
        <v>30.2717142857143</v>
      </c>
      <c r="N142">
        <v>39.747500000000002</v>
      </c>
      <c r="O142">
        <v>43.325499999999998</v>
      </c>
      <c r="P142">
        <v>96.273571428571501</v>
      </c>
      <c r="Q142">
        <v>99.386666666666699</v>
      </c>
      <c r="S142">
        <v>64.066800000000001</v>
      </c>
      <c r="T142">
        <v>42.81</v>
      </c>
      <c r="U142">
        <v>48.183750000000003</v>
      </c>
    </row>
    <row r="143" spans="1:21" x14ac:dyDescent="0.2">
      <c r="A143" t="s">
        <v>303</v>
      </c>
      <c r="B143" t="s">
        <v>304</v>
      </c>
      <c r="C143">
        <v>54.8872761904762</v>
      </c>
      <c r="D143">
        <v>142</v>
      </c>
      <c r="E143">
        <v>60.464500000000001</v>
      </c>
      <c r="F143">
        <v>58.155142857142899</v>
      </c>
      <c r="G143">
        <v>32.339714285714301</v>
      </c>
      <c r="H143">
        <v>33.413249999999998</v>
      </c>
      <c r="I143">
        <v>28.018999999999998</v>
      </c>
      <c r="J143">
        <v>51.698999999999998</v>
      </c>
      <c r="K143">
        <v>27.689250000000001</v>
      </c>
      <c r="L143">
        <v>67.764285714285705</v>
      </c>
      <c r="M143">
        <v>13.281285714285699</v>
      </c>
      <c r="N143">
        <v>91.761499999999998</v>
      </c>
      <c r="O143">
        <v>52.7455</v>
      </c>
      <c r="P143">
        <v>96.512833333333305</v>
      </c>
      <c r="Q143">
        <v>98.382000000000005</v>
      </c>
      <c r="R143">
        <v>57.831000000000003</v>
      </c>
      <c r="S143">
        <v>69.043800000000005</v>
      </c>
      <c r="T143">
        <v>38.982300000000002</v>
      </c>
      <c r="U143">
        <v>54.999333333333297</v>
      </c>
    </row>
    <row r="144" spans="1:21" x14ac:dyDescent="0.2">
      <c r="A144" t="s">
        <v>305</v>
      </c>
      <c r="B144" t="s">
        <v>306</v>
      </c>
      <c r="C144">
        <v>54.869893769921802</v>
      </c>
      <c r="D144">
        <v>143</v>
      </c>
      <c r="E144">
        <v>36.731999999999999</v>
      </c>
      <c r="F144">
        <v>49.197125</v>
      </c>
      <c r="G144">
        <v>24.287285714285701</v>
      </c>
      <c r="H144">
        <v>51.110999999999997</v>
      </c>
      <c r="I144">
        <v>74.813249999999996</v>
      </c>
      <c r="J144">
        <v>49.652000000000001</v>
      </c>
      <c r="K144">
        <v>26.202750000000002</v>
      </c>
      <c r="L144">
        <v>46.530250000000002</v>
      </c>
      <c r="M144">
        <v>26.372142857142901</v>
      </c>
      <c r="N144">
        <v>27.462</v>
      </c>
      <c r="O144">
        <v>66.207750000000004</v>
      </c>
      <c r="P144">
        <v>98.622666666666703</v>
      </c>
      <c r="Q144">
        <v>97.484999999999999</v>
      </c>
      <c r="S144">
        <v>74.229749999999996</v>
      </c>
      <c r="T144">
        <v>45.883375000000001</v>
      </c>
      <c r="U144">
        <v>71.66525</v>
      </c>
    </row>
    <row r="145" spans="1:21" x14ac:dyDescent="0.2">
      <c r="A145" t="s">
        <v>307</v>
      </c>
      <c r="B145" t="s">
        <v>308</v>
      </c>
      <c r="C145">
        <v>54.546396991210301</v>
      </c>
      <c r="D145">
        <v>144</v>
      </c>
      <c r="E145">
        <v>48.808</v>
      </c>
      <c r="F145">
        <v>53.716142857142898</v>
      </c>
      <c r="G145">
        <v>46.476142857142897</v>
      </c>
      <c r="H145">
        <v>31.719000000000001</v>
      </c>
      <c r="I145">
        <v>59.697499999999998</v>
      </c>
      <c r="J145">
        <v>38.689599999999999</v>
      </c>
      <c r="K145">
        <v>34.067250000000001</v>
      </c>
      <c r="L145">
        <v>66.085142857142898</v>
      </c>
      <c r="M145">
        <v>26.317571428571402</v>
      </c>
      <c r="N145">
        <v>71.655000000000001</v>
      </c>
      <c r="O145">
        <v>47.997500000000002</v>
      </c>
      <c r="P145">
        <v>98.811199999999999</v>
      </c>
      <c r="Q145">
        <v>98.239000000000004</v>
      </c>
      <c r="S145">
        <v>57.84</v>
      </c>
      <c r="T145">
        <v>34.702100000000002</v>
      </c>
      <c r="U145">
        <v>46.133000000000003</v>
      </c>
    </row>
    <row r="146" spans="1:21" x14ac:dyDescent="0.2">
      <c r="A146" t="s">
        <v>309</v>
      </c>
      <c r="B146" t="s">
        <v>310</v>
      </c>
      <c r="C146">
        <v>54.284136066840503</v>
      </c>
      <c r="D146">
        <v>145</v>
      </c>
      <c r="E146">
        <v>9.8829999999999991</v>
      </c>
      <c r="F146">
        <v>59.472428571428601</v>
      </c>
      <c r="G146">
        <v>45.577357142857103</v>
      </c>
      <c r="H146">
        <v>66.729666666666702</v>
      </c>
      <c r="I146">
        <v>65.120249999999999</v>
      </c>
      <c r="J146">
        <v>52.927199999999999</v>
      </c>
      <c r="K146">
        <v>44.718000000000004</v>
      </c>
      <c r="L146">
        <v>65.143142857142905</v>
      </c>
      <c r="M146">
        <v>20.182714285714301</v>
      </c>
      <c r="N146">
        <v>8.31</v>
      </c>
      <c r="O146">
        <v>58.140250000000002</v>
      </c>
      <c r="P146">
        <v>94.867571428571395</v>
      </c>
      <c r="Q146">
        <v>97.953333333333305</v>
      </c>
      <c r="S146">
        <v>68.418800000000005</v>
      </c>
      <c r="T146">
        <v>44.103999999999999</v>
      </c>
      <c r="U146">
        <v>54.948</v>
      </c>
    </row>
    <row r="147" spans="1:21" x14ac:dyDescent="0.2">
      <c r="A147" t="s">
        <v>311</v>
      </c>
      <c r="B147" t="s">
        <v>312</v>
      </c>
      <c r="C147">
        <v>54.270870454545502</v>
      </c>
      <c r="D147">
        <v>146</v>
      </c>
      <c r="E147">
        <v>49.923499999999997</v>
      </c>
      <c r="F147">
        <v>61.065874999999998</v>
      </c>
      <c r="G147">
        <v>36.195999999999998</v>
      </c>
      <c r="H147">
        <v>38.750666666666703</v>
      </c>
      <c r="I147">
        <v>39.224249999999998</v>
      </c>
      <c r="J147">
        <v>59.708799999999997</v>
      </c>
      <c r="K147">
        <v>24.98075</v>
      </c>
      <c r="L147">
        <v>66.567666666666696</v>
      </c>
      <c r="M147">
        <v>40.605714285714299</v>
      </c>
      <c r="N147">
        <v>72.796000000000006</v>
      </c>
      <c r="O147">
        <v>29.442250000000001</v>
      </c>
      <c r="P147">
        <v>95.556285714285707</v>
      </c>
      <c r="Q147">
        <v>96.745000000000005</v>
      </c>
      <c r="R147">
        <v>62.078166666666696</v>
      </c>
      <c r="S147">
        <v>76.363600000000005</v>
      </c>
      <c r="T147">
        <v>34.670272727272703</v>
      </c>
      <c r="U147">
        <v>37.93</v>
      </c>
    </row>
    <row r="148" spans="1:21" x14ac:dyDescent="0.2">
      <c r="A148" t="s">
        <v>313</v>
      </c>
      <c r="B148" t="s">
        <v>314</v>
      </c>
      <c r="C148">
        <v>53.911466529025397</v>
      </c>
      <c r="D148">
        <v>147</v>
      </c>
      <c r="E148">
        <v>0</v>
      </c>
      <c r="F148">
        <v>59.522714285714301</v>
      </c>
      <c r="G148">
        <v>48.547928571428599</v>
      </c>
      <c r="H148">
        <v>50.184249999999999</v>
      </c>
      <c r="I148">
        <v>60.490749999999998</v>
      </c>
      <c r="J148">
        <v>55.233400000000003</v>
      </c>
      <c r="K148">
        <v>19.259</v>
      </c>
      <c r="L148">
        <v>54.9568333333333</v>
      </c>
      <c r="M148">
        <v>12.127857142857099</v>
      </c>
      <c r="N148">
        <v>58.366</v>
      </c>
      <c r="O148">
        <v>60.003749999999997</v>
      </c>
      <c r="P148">
        <v>96.553857142857098</v>
      </c>
      <c r="Q148">
        <v>99.758666666666699</v>
      </c>
      <c r="S148">
        <v>72.206199999999995</v>
      </c>
      <c r="T148">
        <v>50.699375000000003</v>
      </c>
      <c r="U148">
        <v>52.249749999999999</v>
      </c>
    </row>
    <row r="149" spans="1:21" x14ac:dyDescent="0.2">
      <c r="A149" t="s">
        <v>315</v>
      </c>
      <c r="B149" t="s">
        <v>316</v>
      </c>
      <c r="C149">
        <v>53.604453038138303</v>
      </c>
      <c r="D149">
        <v>148</v>
      </c>
      <c r="E149">
        <v>30.792000000000002</v>
      </c>
      <c r="F149">
        <v>33.948666666666703</v>
      </c>
      <c r="G149">
        <v>43.230923076923098</v>
      </c>
      <c r="H149">
        <v>53.883499999999998</v>
      </c>
      <c r="I149">
        <v>48.388750000000002</v>
      </c>
      <c r="J149">
        <v>42.488199999999999</v>
      </c>
      <c r="K149">
        <v>36.957999999999998</v>
      </c>
      <c r="L149">
        <v>76.933400000000006</v>
      </c>
      <c r="M149">
        <v>9.6798571428571396</v>
      </c>
      <c r="N149">
        <v>43.6875</v>
      </c>
      <c r="O149">
        <v>71.810500000000005</v>
      </c>
      <c r="P149">
        <v>96.464571428571404</v>
      </c>
      <c r="Q149">
        <v>95.150999999999996</v>
      </c>
      <c r="R149">
        <v>72.1338333333333</v>
      </c>
      <c r="S149">
        <v>64.081500000000005</v>
      </c>
      <c r="T149">
        <v>52.091999999999999</v>
      </c>
      <c r="U149">
        <v>39.551499999999997</v>
      </c>
    </row>
    <row r="150" spans="1:21" x14ac:dyDescent="0.2">
      <c r="A150" t="s">
        <v>317</v>
      </c>
      <c r="B150" t="s">
        <v>318</v>
      </c>
      <c r="C150">
        <v>52.687265072182697</v>
      </c>
      <c r="D150">
        <v>149</v>
      </c>
      <c r="E150">
        <v>3.1545000000000001</v>
      </c>
      <c r="F150">
        <v>54.290750000000003</v>
      </c>
      <c r="G150">
        <v>31.652153846153801</v>
      </c>
      <c r="H150">
        <v>55.089666666666702</v>
      </c>
      <c r="I150">
        <v>64.952749999999995</v>
      </c>
      <c r="J150">
        <v>54.698799999999999</v>
      </c>
      <c r="K150">
        <v>35.587249999999997</v>
      </c>
      <c r="L150">
        <v>66.8724285714286</v>
      </c>
      <c r="M150">
        <v>14.0891428571429</v>
      </c>
      <c r="N150">
        <v>12.676</v>
      </c>
      <c r="O150">
        <v>62.798749999999998</v>
      </c>
      <c r="P150">
        <v>97.892714285714305</v>
      </c>
      <c r="Q150">
        <v>98.299666666666695</v>
      </c>
      <c r="R150">
        <v>72.022833333333296</v>
      </c>
      <c r="S150">
        <v>63.113599999999998</v>
      </c>
      <c r="T150">
        <v>47.608499999999999</v>
      </c>
      <c r="U150">
        <v>60.884</v>
      </c>
    </row>
    <row r="151" spans="1:21" x14ac:dyDescent="0.2">
      <c r="A151" t="s">
        <v>319</v>
      </c>
      <c r="B151" t="s">
        <v>320</v>
      </c>
      <c r="C151">
        <v>52.678710364145701</v>
      </c>
      <c r="D151">
        <v>150</v>
      </c>
      <c r="E151">
        <v>64.736999999999995</v>
      </c>
      <c r="F151">
        <v>53.024857142857101</v>
      </c>
      <c r="G151">
        <v>50.912785714285697</v>
      </c>
      <c r="H151">
        <v>24.333666666666701</v>
      </c>
      <c r="I151">
        <v>39.344666666666697</v>
      </c>
      <c r="J151">
        <v>57.695599999999999</v>
      </c>
      <c r="K151">
        <v>16.7075</v>
      </c>
      <c r="L151">
        <v>53.566499999999998</v>
      </c>
      <c r="M151">
        <v>36.526666666666699</v>
      </c>
      <c r="N151">
        <v>44.390999999999998</v>
      </c>
      <c r="O151">
        <v>71.010666666666694</v>
      </c>
      <c r="P151">
        <v>87.757499999999993</v>
      </c>
      <c r="Q151">
        <v>90.625</v>
      </c>
      <c r="R151">
        <v>57.586500000000001</v>
      </c>
      <c r="S151">
        <v>37.5625</v>
      </c>
      <c r="T151">
        <v>56.537999999999997</v>
      </c>
      <c r="U151">
        <v>53.217666666666702</v>
      </c>
    </row>
    <row r="152" spans="1:21" x14ac:dyDescent="0.2">
      <c r="A152" t="s">
        <v>321</v>
      </c>
      <c r="B152" t="s">
        <v>322</v>
      </c>
      <c r="C152">
        <v>52.631543884220399</v>
      </c>
      <c r="D152">
        <v>151</v>
      </c>
      <c r="E152">
        <v>24.021999999999998</v>
      </c>
      <c r="F152">
        <v>53.155999999999999</v>
      </c>
      <c r="G152">
        <v>45.595642857142899</v>
      </c>
      <c r="H152">
        <v>47.32</v>
      </c>
      <c r="I152">
        <v>54.805999999999997</v>
      </c>
      <c r="J152">
        <v>51.992600000000003</v>
      </c>
      <c r="K152">
        <v>44.134500000000003</v>
      </c>
      <c r="L152">
        <v>54.185714285714297</v>
      </c>
      <c r="M152">
        <v>8.0916666666666703</v>
      </c>
      <c r="N152">
        <v>19.859000000000002</v>
      </c>
      <c r="O152">
        <v>51.240250000000003</v>
      </c>
      <c r="P152">
        <v>95.283600000000007</v>
      </c>
      <c r="Q152">
        <v>92.180666666666696</v>
      </c>
      <c r="R152">
        <v>72.010400000000004</v>
      </c>
      <c r="S152">
        <v>83.540400000000005</v>
      </c>
      <c r="T152">
        <v>48.193555555555598</v>
      </c>
      <c r="U152">
        <v>49.124250000000004</v>
      </c>
    </row>
    <row r="153" spans="1:21" x14ac:dyDescent="0.2">
      <c r="A153" t="s">
        <v>323</v>
      </c>
      <c r="B153" t="s">
        <v>324</v>
      </c>
      <c r="C153">
        <v>52.576514215686302</v>
      </c>
      <c r="D153">
        <v>152</v>
      </c>
      <c r="E153">
        <v>42.155999999999999</v>
      </c>
      <c r="F153">
        <v>51.235875</v>
      </c>
      <c r="G153">
        <v>40.689500000000002</v>
      </c>
      <c r="H153">
        <v>68.966999999999999</v>
      </c>
      <c r="I153">
        <v>41.79025</v>
      </c>
      <c r="J153">
        <v>54.333399999999997</v>
      </c>
      <c r="K153">
        <v>22.5685</v>
      </c>
      <c r="L153">
        <v>57.718000000000004</v>
      </c>
      <c r="M153">
        <v>23.468666666666699</v>
      </c>
      <c r="N153">
        <v>47.250999999999998</v>
      </c>
      <c r="O153">
        <v>39.744750000000003</v>
      </c>
      <c r="P153">
        <v>93.951999999999998</v>
      </c>
      <c r="Q153">
        <v>98.8303333333333</v>
      </c>
      <c r="R153">
        <v>64.956999999999994</v>
      </c>
      <c r="S153">
        <v>64.993799999999993</v>
      </c>
      <c r="T153">
        <v>37.348999999999997</v>
      </c>
      <c r="U153">
        <v>43.795666666666698</v>
      </c>
    </row>
    <row r="154" spans="1:21" x14ac:dyDescent="0.2">
      <c r="A154" t="s">
        <v>325</v>
      </c>
      <c r="B154" t="s">
        <v>326</v>
      </c>
      <c r="C154">
        <v>52.445503923983402</v>
      </c>
      <c r="D154">
        <v>153</v>
      </c>
      <c r="E154">
        <v>26.893999999999998</v>
      </c>
      <c r="F154">
        <v>58.639125</v>
      </c>
      <c r="G154">
        <v>46.6322857142857</v>
      </c>
      <c r="H154">
        <v>26.679749999999999</v>
      </c>
      <c r="I154">
        <v>40.677</v>
      </c>
      <c r="J154">
        <v>44.838000000000001</v>
      </c>
      <c r="K154">
        <v>21.087250000000001</v>
      </c>
      <c r="L154">
        <v>70.175428571428597</v>
      </c>
      <c r="M154">
        <v>21.9241428571429</v>
      </c>
      <c r="N154">
        <v>22.112500000000001</v>
      </c>
      <c r="O154">
        <v>60.48</v>
      </c>
      <c r="P154">
        <v>95.612285714285704</v>
      </c>
      <c r="Q154">
        <v>98.802000000000007</v>
      </c>
      <c r="S154">
        <v>87.943600000000004</v>
      </c>
      <c r="T154">
        <v>45.5246</v>
      </c>
      <c r="U154">
        <v>57.216999999999999</v>
      </c>
    </row>
    <row r="155" spans="1:21" x14ac:dyDescent="0.2">
      <c r="A155" t="s">
        <v>327</v>
      </c>
      <c r="B155" t="s">
        <v>328</v>
      </c>
      <c r="C155">
        <v>51.7306421568628</v>
      </c>
      <c r="D155">
        <v>154</v>
      </c>
      <c r="E155">
        <v>51.768999999999998</v>
      </c>
      <c r="F155">
        <v>45.249499999999998</v>
      </c>
      <c r="G155">
        <v>55.2605</v>
      </c>
      <c r="H155">
        <v>39.427750000000003</v>
      </c>
      <c r="I155">
        <v>33.928249999999998</v>
      </c>
      <c r="J155">
        <v>49.009749999999997</v>
      </c>
      <c r="K155">
        <v>39.201500000000003</v>
      </c>
      <c r="L155">
        <v>43.471333333333298</v>
      </c>
      <c r="M155">
        <v>21.6606666666667</v>
      </c>
      <c r="N155">
        <v>25.617000000000001</v>
      </c>
      <c r="O155">
        <v>52.1295</v>
      </c>
      <c r="P155">
        <v>95.782499999999999</v>
      </c>
      <c r="Q155">
        <v>99.084999999999994</v>
      </c>
      <c r="R155">
        <v>43.063000000000002</v>
      </c>
      <c r="S155">
        <v>71.225499999999997</v>
      </c>
      <c r="T155">
        <v>52.490166666666703</v>
      </c>
      <c r="U155">
        <v>61.05</v>
      </c>
    </row>
    <row r="156" spans="1:21" x14ac:dyDescent="0.2">
      <c r="A156" t="s">
        <v>329</v>
      </c>
      <c r="B156" t="s">
        <v>330</v>
      </c>
      <c r="C156">
        <v>50.817984574739</v>
      </c>
      <c r="D156">
        <v>155</v>
      </c>
      <c r="E156">
        <v>33.219499999999996</v>
      </c>
      <c r="F156">
        <v>54.785375000000002</v>
      </c>
      <c r="G156">
        <v>35.150785714285703</v>
      </c>
      <c r="H156">
        <v>44.644750000000002</v>
      </c>
      <c r="I156">
        <v>49.715000000000003</v>
      </c>
      <c r="J156">
        <v>54.294600000000003</v>
      </c>
      <c r="K156">
        <v>43.600999999999999</v>
      </c>
      <c r="L156">
        <v>58.967285714285701</v>
      </c>
      <c r="M156">
        <v>13.711142857142899</v>
      </c>
      <c r="N156">
        <v>16.478999999999999</v>
      </c>
      <c r="O156">
        <v>43.226500000000001</v>
      </c>
      <c r="P156">
        <v>94.144999999999996</v>
      </c>
      <c r="Q156">
        <v>96.316500000000005</v>
      </c>
      <c r="R156">
        <v>67.427666666666696</v>
      </c>
      <c r="S156">
        <v>66.290199999999999</v>
      </c>
      <c r="T156">
        <v>41.558181818181801</v>
      </c>
      <c r="U156">
        <v>50.373249999999999</v>
      </c>
    </row>
    <row r="157" spans="1:21" x14ac:dyDescent="0.2">
      <c r="A157" t="s">
        <v>331</v>
      </c>
      <c r="B157" t="s">
        <v>332</v>
      </c>
      <c r="C157">
        <v>50.254560364145703</v>
      </c>
      <c r="D157">
        <v>156</v>
      </c>
      <c r="E157">
        <v>4.2355</v>
      </c>
      <c r="F157">
        <v>53.48075</v>
      </c>
      <c r="G157">
        <v>32.941714285714298</v>
      </c>
      <c r="H157">
        <v>54.525500000000001</v>
      </c>
      <c r="I157">
        <v>68.123000000000005</v>
      </c>
      <c r="J157">
        <v>44.8658</v>
      </c>
      <c r="K157">
        <v>36.618000000000002</v>
      </c>
      <c r="L157">
        <v>64.713428571428594</v>
      </c>
      <c r="M157">
        <v>10.2565714285714</v>
      </c>
      <c r="N157">
        <v>40.17</v>
      </c>
      <c r="O157">
        <v>52.975000000000001</v>
      </c>
      <c r="P157">
        <v>96.695428571428593</v>
      </c>
      <c r="Q157">
        <v>99.351666666666702</v>
      </c>
      <c r="R157">
        <v>65.883666666666699</v>
      </c>
      <c r="S157">
        <v>49.488999999999997</v>
      </c>
      <c r="T157">
        <v>37.353999999999999</v>
      </c>
      <c r="U157">
        <v>42.648499999999999</v>
      </c>
    </row>
    <row r="158" spans="1:21" x14ac:dyDescent="0.2">
      <c r="A158" t="s">
        <v>333</v>
      </c>
      <c r="B158" t="s">
        <v>334</v>
      </c>
      <c r="C158">
        <v>49.883810241719097</v>
      </c>
      <c r="D158">
        <v>157</v>
      </c>
      <c r="E158">
        <v>26.398</v>
      </c>
      <c r="F158">
        <v>47.776142857142901</v>
      </c>
      <c r="G158">
        <v>32.815076923076901</v>
      </c>
      <c r="H158">
        <v>37.133249999999997</v>
      </c>
      <c r="I158">
        <v>44.107999999999997</v>
      </c>
      <c r="J158">
        <v>53.002000000000002</v>
      </c>
      <c r="K158">
        <v>13.282</v>
      </c>
      <c r="L158">
        <v>66.446142857142902</v>
      </c>
      <c r="M158">
        <v>11.586285714285699</v>
      </c>
      <c r="N158">
        <v>72.107500000000002</v>
      </c>
      <c r="O158">
        <v>29.805</v>
      </c>
      <c r="P158">
        <v>96.122600000000006</v>
      </c>
      <c r="Q158">
        <v>98.843000000000004</v>
      </c>
      <c r="R158">
        <v>83.527166666666702</v>
      </c>
      <c r="S158">
        <v>48.1982</v>
      </c>
      <c r="T158">
        <v>41.012909090909098</v>
      </c>
      <c r="U158">
        <v>45.861499999999999</v>
      </c>
    </row>
    <row r="159" spans="1:21" x14ac:dyDescent="0.2">
      <c r="A159" t="s">
        <v>335</v>
      </c>
      <c r="B159" t="s">
        <v>336</v>
      </c>
      <c r="C159">
        <v>49.005601438757303</v>
      </c>
      <c r="D159">
        <v>158</v>
      </c>
      <c r="E159">
        <v>12.410500000000001</v>
      </c>
      <c r="F159">
        <v>46.915142857142897</v>
      </c>
      <c r="G159">
        <v>37.486714285714299</v>
      </c>
      <c r="H159">
        <v>34.366</v>
      </c>
      <c r="I159">
        <v>32.926250000000003</v>
      </c>
      <c r="J159">
        <v>50.426000000000002</v>
      </c>
      <c r="K159">
        <v>35.932499999999997</v>
      </c>
      <c r="L159">
        <v>39.534999999999997</v>
      </c>
      <c r="M159">
        <v>9.72457142857143</v>
      </c>
      <c r="O159">
        <v>24.494</v>
      </c>
      <c r="P159">
        <v>96.679857142857202</v>
      </c>
      <c r="Q159">
        <v>99.034333333333294</v>
      </c>
      <c r="S159">
        <v>73.238200000000006</v>
      </c>
      <c r="T159">
        <v>44.7961818181818</v>
      </c>
      <c r="U159">
        <v>45.289000000000001</v>
      </c>
    </row>
    <row r="160" spans="1:21" x14ac:dyDescent="0.2">
      <c r="A160" t="s">
        <v>337</v>
      </c>
      <c r="B160" t="s">
        <v>338</v>
      </c>
      <c r="C160">
        <v>48.581700676937402</v>
      </c>
      <c r="D160">
        <v>159</v>
      </c>
      <c r="E160">
        <v>8.1545000000000005</v>
      </c>
      <c r="F160">
        <v>51.681375000000003</v>
      </c>
      <c r="G160">
        <v>34.237142857142899</v>
      </c>
      <c r="H160">
        <v>42.659666666666702</v>
      </c>
      <c r="I160">
        <v>43.174750000000003</v>
      </c>
      <c r="J160">
        <v>43.183999999999997</v>
      </c>
      <c r="K160">
        <v>28.853999999999999</v>
      </c>
      <c r="L160">
        <v>60.480571428571402</v>
      </c>
      <c r="M160">
        <v>14.407999999999999</v>
      </c>
      <c r="N160">
        <v>43.030500000000004</v>
      </c>
      <c r="O160">
        <v>35.67</v>
      </c>
      <c r="P160">
        <v>97.676166666666703</v>
      </c>
      <c r="Q160">
        <v>99.560666666666705</v>
      </c>
      <c r="R160">
        <v>77.886750000000006</v>
      </c>
      <c r="S160">
        <v>69.774600000000007</v>
      </c>
      <c r="T160">
        <v>36.177222222222198</v>
      </c>
      <c r="U160">
        <v>39.279000000000003</v>
      </c>
    </row>
    <row r="161" spans="1:21" x14ac:dyDescent="0.2">
      <c r="A161" t="s">
        <v>339</v>
      </c>
      <c r="B161" t="s">
        <v>340</v>
      </c>
      <c r="C161">
        <v>48.552594397759101</v>
      </c>
      <c r="D161">
        <v>160</v>
      </c>
      <c r="E161">
        <v>32.541499999999999</v>
      </c>
      <c r="F161">
        <v>21.898333333333301</v>
      </c>
      <c r="G161">
        <v>51.921428571428599</v>
      </c>
      <c r="H161">
        <v>31.795500000000001</v>
      </c>
      <c r="I161">
        <v>42.609250000000003</v>
      </c>
      <c r="J161">
        <v>32.6</v>
      </c>
      <c r="K161">
        <v>55.119500000000002</v>
      </c>
      <c r="L161">
        <v>44.178857142857197</v>
      </c>
      <c r="M161">
        <v>15.400285714285699</v>
      </c>
      <c r="N161">
        <v>75.032499999999999</v>
      </c>
      <c r="O161">
        <v>34.808</v>
      </c>
      <c r="P161">
        <v>97.250200000000007</v>
      </c>
      <c r="Q161">
        <v>99.138999999999996</v>
      </c>
      <c r="R161">
        <v>61.722799999999999</v>
      </c>
      <c r="S161">
        <v>49.249000000000002</v>
      </c>
      <c r="T161">
        <v>43.848199999999999</v>
      </c>
      <c r="U161">
        <v>36.27975</v>
      </c>
    </row>
    <row r="162" spans="1:21" x14ac:dyDescent="0.2">
      <c r="A162" t="s">
        <v>341</v>
      </c>
      <c r="B162" t="s">
        <v>342</v>
      </c>
      <c r="C162">
        <v>48.309760920418299</v>
      </c>
      <c r="D162">
        <v>161</v>
      </c>
      <c r="E162">
        <v>12.8375</v>
      </c>
      <c r="F162">
        <v>45.2611428571429</v>
      </c>
      <c r="G162">
        <v>37.605857142857097</v>
      </c>
      <c r="H162">
        <v>3.028</v>
      </c>
      <c r="I162">
        <v>43.662750000000003</v>
      </c>
      <c r="J162">
        <v>43.306800000000003</v>
      </c>
      <c r="K162">
        <v>10.9025</v>
      </c>
      <c r="L162">
        <v>67.579714285714303</v>
      </c>
      <c r="M162">
        <v>11.280428571428599</v>
      </c>
      <c r="N162">
        <v>63.165500000000002</v>
      </c>
      <c r="O162">
        <v>46.1845</v>
      </c>
      <c r="P162">
        <v>96.212833333333293</v>
      </c>
      <c r="Q162">
        <v>99.492333333333306</v>
      </c>
      <c r="S162">
        <v>73.790999999999997</v>
      </c>
      <c r="T162">
        <v>48.9687272727273</v>
      </c>
      <c r="U162">
        <v>51.65175</v>
      </c>
    </row>
    <row r="163" spans="1:21" x14ac:dyDescent="0.2">
      <c r="A163" t="s">
        <v>343</v>
      </c>
      <c r="B163" t="s">
        <v>344</v>
      </c>
      <c r="C163">
        <v>48.027231189398798</v>
      </c>
      <c r="D163">
        <v>162</v>
      </c>
      <c r="E163">
        <v>11.273999999999999</v>
      </c>
      <c r="F163">
        <v>27.306833333333302</v>
      </c>
      <c r="G163">
        <v>17.8609230769231</v>
      </c>
      <c r="H163">
        <v>55.639000000000003</v>
      </c>
      <c r="I163">
        <v>25.861000000000001</v>
      </c>
      <c r="J163">
        <v>49.300600000000003</v>
      </c>
      <c r="K163">
        <v>43.315750000000001</v>
      </c>
      <c r="L163">
        <v>55.669499999999999</v>
      </c>
      <c r="M163">
        <v>5.5998571428571404</v>
      </c>
      <c r="N163">
        <v>73.802999999999997</v>
      </c>
      <c r="O163">
        <v>69.417666666666705</v>
      </c>
      <c r="P163">
        <v>94.129000000000005</v>
      </c>
      <c r="Q163">
        <v>99.925333333333299</v>
      </c>
      <c r="R163">
        <v>50.251199999999997</v>
      </c>
      <c r="S163">
        <v>53.371400000000001</v>
      </c>
      <c r="T163">
        <v>40.0122</v>
      </c>
      <c r="U163">
        <v>43.725666666666697</v>
      </c>
    </row>
    <row r="164" spans="1:21" x14ac:dyDescent="0.2">
      <c r="A164" t="s">
        <v>345</v>
      </c>
      <c r="B164" t="s">
        <v>346</v>
      </c>
      <c r="C164">
        <v>46.846980252100799</v>
      </c>
      <c r="D164">
        <v>163</v>
      </c>
      <c r="E164">
        <v>4.5525000000000002</v>
      </c>
      <c r="F164">
        <v>28.769714285714301</v>
      </c>
      <c r="G164">
        <v>44.467428571428599</v>
      </c>
      <c r="H164">
        <v>41.766750000000002</v>
      </c>
      <c r="I164">
        <v>13.05475</v>
      </c>
      <c r="J164">
        <v>36.231400000000001</v>
      </c>
      <c r="K164">
        <v>36.915999999999997</v>
      </c>
      <c r="L164">
        <v>53.2378</v>
      </c>
      <c r="M164">
        <v>14.2237142857143</v>
      </c>
      <c r="N164">
        <v>66.292500000000004</v>
      </c>
      <c r="O164">
        <v>52.952750000000002</v>
      </c>
      <c r="P164">
        <v>95.959142857142893</v>
      </c>
      <c r="Q164">
        <v>98.667000000000002</v>
      </c>
      <c r="R164">
        <v>74.936666666666696</v>
      </c>
      <c r="S164">
        <v>48.3705</v>
      </c>
      <c r="T164">
        <v>35.905714285714303</v>
      </c>
      <c r="U164">
        <v>50.094333333333303</v>
      </c>
    </row>
    <row r="165" spans="1:21" x14ac:dyDescent="0.2">
      <c r="A165" t="s">
        <v>347</v>
      </c>
      <c r="B165" t="s">
        <v>348</v>
      </c>
      <c r="C165">
        <v>45.342320940790103</v>
      </c>
      <c r="D165">
        <v>164</v>
      </c>
      <c r="E165">
        <v>25.427</v>
      </c>
      <c r="F165">
        <v>38.534714285714301</v>
      </c>
      <c r="G165">
        <v>27.061071428571399</v>
      </c>
      <c r="H165">
        <v>13.30775</v>
      </c>
      <c r="I165">
        <v>30.8355</v>
      </c>
      <c r="J165">
        <v>42.403599999999997</v>
      </c>
      <c r="K165">
        <v>8.6969999999999992</v>
      </c>
      <c r="L165">
        <v>64.424333333333294</v>
      </c>
      <c r="M165">
        <v>9.63157142857143</v>
      </c>
      <c r="N165">
        <v>63.040500000000002</v>
      </c>
      <c r="O165">
        <v>32.822249999999997</v>
      </c>
      <c r="P165">
        <v>90.9941666666667</v>
      </c>
      <c r="Q165">
        <v>99.078999999999994</v>
      </c>
      <c r="S165">
        <v>76.194400000000002</v>
      </c>
      <c r="T165">
        <v>29.437999999999999</v>
      </c>
      <c r="U165">
        <v>52.594000000000001</v>
      </c>
    </row>
    <row r="166" spans="1:21" x14ac:dyDescent="0.2">
      <c r="A166" t="s">
        <v>349</v>
      </c>
      <c r="B166" t="s">
        <v>350</v>
      </c>
      <c r="C166">
        <v>40.395839428185099</v>
      </c>
      <c r="D166">
        <v>165</v>
      </c>
      <c r="E166">
        <v>3.1819999999999999</v>
      </c>
      <c r="F166">
        <v>36.468000000000004</v>
      </c>
      <c r="G166">
        <v>12.952714285714301</v>
      </c>
      <c r="H166">
        <v>19.30575</v>
      </c>
      <c r="I166">
        <v>34.200749999999999</v>
      </c>
      <c r="J166">
        <v>40.420400000000001</v>
      </c>
      <c r="K166">
        <v>19.449750000000002</v>
      </c>
      <c r="L166">
        <v>53.3823333333333</v>
      </c>
      <c r="M166">
        <v>7.0647142857142899</v>
      </c>
      <c r="N166">
        <v>9.5775000000000006</v>
      </c>
      <c r="O166">
        <v>21.898666666666699</v>
      </c>
      <c r="P166">
        <v>94.462142857142894</v>
      </c>
      <c r="Q166">
        <v>99.463333333333296</v>
      </c>
      <c r="S166">
        <v>89.717200000000005</v>
      </c>
      <c r="T166">
        <v>42.332666666666697</v>
      </c>
      <c r="U166">
        <v>36.516750000000002</v>
      </c>
    </row>
    <row r="167" spans="1:21" x14ac:dyDescent="0.2">
      <c r="A167" t="s">
        <v>351</v>
      </c>
      <c r="B167" t="s">
        <v>352</v>
      </c>
      <c r="C167">
        <v>38.676086066840497</v>
      </c>
      <c r="D167">
        <v>166</v>
      </c>
      <c r="E167">
        <v>0</v>
      </c>
      <c r="F167">
        <v>19.805800000000001</v>
      </c>
      <c r="G167">
        <v>23.861714285714299</v>
      </c>
      <c r="H167">
        <v>1.2322500000000001</v>
      </c>
      <c r="I167">
        <v>55.988750000000003</v>
      </c>
      <c r="J167">
        <v>41.040599999999998</v>
      </c>
      <c r="K167">
        <v>11.394</v>
      </c>
      <c r="L167">
        <v>50.917000000000002</v>
      </c>
      <c r="M167">
        <v>1.65483333333333</v>
      </c>
      <c r="N167">
        <v>26.619499999999999</v>
      </c>
      <c r="O167">
        <v>13.82625</v>
      </c>
      <c r="P167">
        <v>90.96</v>
      </c>
      <c r="Q167">
        <v>99.408000000000001</v>
      </c>
      <c r="S167">
        <v>74.686999999999998</v>
      </c>
      <c r="T167">
        <v>38.141166666666699</v>
      </c>
      <c r="U167">
        <v>41.622</v>
      </c>
    </row>
    <row r="168" spans="1:21" x14ac:dyDescent="0.2">
      <c r="A168" t="s">
        <v>353</v>
      </c>
      <c r="B168" t="s">
        <v>354</v>
      </c>
    </row>
    <row r="169" spans="1:21" x14ac:dyDescent="0.2">
      <c r="A169" t="s">
        <v>355</v>
      </c>
      <c r="B169" t="s">
        <v>356</v>
      </c>
    </row>
    <row r="170" spans="1:21" x14ac:dyDescent="0.2">
      <c r="A170" t="s">
        <v>357</v>
      </c>
      <c r="B170" t="s">
        <v>358</v>
      </c>
    </row>
    <row r="171" spans="1:21" x14ac:dyDescent="0.2">
      <c r="A171" t="s">
        <v>359</v>
      </c>
      <c r="B171" t="s">
        <v>360</v>
      </c>
    </row>
    <row r="172" spans="1:21" x14ac:dyDescent="0.2">
      <c r="A172" t="s">
        <v>361</v>
      </c>
      <c r="B172" t="s">
        <v>362</v>
      </c>
    </row>
    <row r="173" spans="1:21" x14ac:dyDescent="0.2">
      <c r="A173" t="s">
        <v>363</v>
      </c>
      <c r="B173" t="s">
        <v>364</v>
      </c>
    </row>
    <row r="174" spans="1:21" x14ac:dyDescent="0.2">
      <c r="A174" t="s">
        <v>365</v>
      </c>
      <c r="B174" t="s">
        <v>366</v>
      </c>
    </row>
    <row r="175" spans="1:21" x14ac:dyDescent="0.2">
      <c r="A175" t="s">
        <v>367</v>
      </c>
      <c r="B175" t="s">
        <v>368</v>
      </c>
    </row>
    <row r="176" spans="1:21" x14ac:dyDescent="0.2">
      <c r="A176" t="s">
        <v>369</v>
      </c>
      <c r="B176" t="s">
        <v>370</v>
      </c>
    </row>
    <row r="177" spans="1:2" x14ac:dyDescent="0.2">
      <c r="A177" t="s">
        <v>371</v>
      </c>
      <c r="B177" t="s">
        <v>372</v>
      </c>
    </row>
    <row r="178" spans="1:2" x14ac:dyDescent="0.2">
      <c r="A178" t="s">
        <v>373</v>
      </c>
      <c r="B178" t="s">
        <v>374</v>
      </c>
    </row>
    <row r="179" spans="1:2" x14ac:dyDescent="0.2">
      <c r="A179" t="s">
        <v>375</v>
      </c>
      <c r="B179" t="s">
        <v>376</v>
      </c>
    </row>
    <row r="180" spans="1:2" x14ac:dyDescent="0.2">
      <c r="A180" t="s">
        <v>377</v>
      </c>
      <c r="B180" t="s">
        <v>378</v>
      </c>
    </row>
    <row r="181" spans="1:2" x14ac:dyDescent="0.2">
      <c r="A181" t="s">
        <v>379</v>
      </c>
      <c r="B181" t="s">
        <v>380</v>
      </c>
    </row>
    <row r="182" spans="1:2" x14ac:dyDescent="0.2">
      <c r="A182" t="s">
        <v>381</v>
      </c>
      <c r="B182" t="s">
        <v>382</v>
      </c>
    </row>
    <row r="183" spans="1:2" x14ac:dyDescent="0.2">
      <c r="A183" t="s">
        <v>383</v>
      </c>
      <c r="B183" t="s">
        <v>384</v>
      </c>
    </row>
    <row r="184" spans="1:2" x14ac:dyDescent="0.2">
      <c r="A184" t="s">
        <v>385</v>
      </c>
      <c r="B184" t="s">
        <v>386</v>
      </c>
    </row>
    <row r="185" spans="1:2" x14ac:dyDescent="0.2">
      <c r="A185" t="s">
        <v>387</v>
      </c>
      <c r="B185" t="s">
        <v>388</v>
      </c>
    </row>
    <row r="186" spans="1:2" x14ac:dyDescent="0.2">
      <c r="A186" t="s">
        <v>389</v>
      </c>
      <c r="B186" t="s">
        <v>390</v>
      </c>
    </row>
    <row r="187" spans="1:2" x14ac:dyDescent="0.2">
      <c r="A187" t="s">
        <v>391</v>
      </c>
      <c r="B187" t="s">
        <v>392</v>
      </c>
    </row>
    <row r="188" spans="1:2" x14ac:dyDescent="0.2">
      <c r="A188" t="s">
        <v>393</v>
      </c>
      <c r="B188" t="s">
        <v>394</v>
      </c>
    </row>
    <row r="189" spans="1:2" x14ac:dyDescent="0.2">
      <c r="A189" t="s">
        <v>395</v>
      </c>
      <c r="B189" t="s">
        <v>396</v>
      </c>
    </row>
    <row r="190" spans="1:2" x14ac:dyDescent="0.2">
      <c r="A190" t="s">
        <v>397</v>
      </c>
      <c r="B190" t="s">
        <v>398</v>
      </c>
    </row>
    <row r="191" spans="1:2" x14ac:dyDescent="0.2">
      <c r="A191" t="s">
        <v>399</v>
      </c>
      <c r="B191" t="s">
        <v>400</v>
      </c>
    </row>
    <row r="192" spans="1:2" x14ac:dyDescent="0.2">
      <c r="A192" t="s">
        <v>401</v>
      </c>
      <c r="B192" t="s">
        <v>402</v>
      </c>
    </row>
    <row r="193" spans="1:21" x14ac:dyDescent="0.2">
      <c r="A193" t="s">
        <v>403</v>
      </c>
      <c r="B193" t="s">
        <v>404</v>
      </c>
    </row>
    <row r="194" spans="1:21" x14ac:dyDescent="0.2">
      <c r="A194" t="s">
        <v>405</v>
      </c>
      <c r="B194" t="s">
        <v>406</v>
      </c>
    </row>
    <row r="195" spans="1:21" x14ac:dyDescent="0.2">
      <c r="A195" t="s">
        <v>407</v>
      </c>
      <c r="B195" t="s">
        <v>408</v>
      </c>
      <c r="C195">
        <v>71.761100595238105</v>
      </c>
      <c r="E195">
        <v>81.061000000000007</v>
      </c>
      <c r="F195">
        <v>58.725714285714297</v>
      </c>
      <c r="G195">
        <v>74.193714285714293</v>
      </c>
      <c r="H195">
        <v>87.884</v>
      </c>
      <c r="I195">
        <v>67.262749999999997</v>
      </c>
      <c r="J195">
        <v>68.281999999999996</v>
      </c>
      <c r="K195">
        <v>63.133749999999999</v>
      </c>
      <c r="L195">
        <v>73.944285714285698</v>
      </c>
      <c r="M195">
        <v>56.230142857142901</v>
      </c>
      <c r="N195">
        <v>83.786500000000004</v>
      </c>
      <c r="O195">
        <v>76.103499999999997</v>
      </c>
      <c r="P195">
        <v>83.511285714285705</v>
      </c>
      <c r="Q195">
        <v>80.319666666666706</v>
      </c>
      <c r="S195">
        <v>70.724199999999996</v>
      </c>
      <c r="T195">
        <v>54.1601</v>
      </c>
      <c r="U195">
        <v>68.855000000000004</v>
      </c>
    </row>
    <row r="196" spans="1:21" x14ac:dyDescent="0.2">
      <c r="A196" t="s">
        <v>409</v>
      </c>
      <c r="B196" t="s">
        <v>410</v>
      </c>
      <c r="C196">
        <v>67.201436815635404</v>
      </c>
      <c r="E196">
        <v>89.725499999999997</v>
      </c>
      <c r="F196">
        <v>66.783625000000001</v>
      </c>
      <c r="G196">
        <v>70.832642857142901</v>
      </c>
      <c r="H196">
        <v>89.975499999999997</v>
      </c>
      <c r="I196">
        <v>61.011000000000003</v>
      </c>
      <c r="J196">
        <v>64.257800000000003</v>
      </c>
      <c r="K196">
        <v>64.188500000000005</v>
      </c>
      <c r="L196">
        <v>74.587714285714299</v>
      </c>
      <c r="M196">
        <v>62.512285714285703</v>
      </c>
      <c r="N196">
        <v>37.456499999999998</v>
      </c>
      <c r="O196">
        <v>62.399749999999997</v>
      </c>
      <c r="P196">
        <v>90.785142857142901</v>
      </c>
      <c r="Q196">
        <v>90.484999999999999</v>
      </c>
      <c r="R196">
        <v>60.649833333333298</v>
      </c>
      <c r="S196">
        <v>49.596200000000003</v>
      </c>
      <c r="T196">
        <v>54.496181818181803</v>
      </c>
      <c r="U196">
        <v>52.681249999999999</v>
      </c>
    </row>
    <row r="197" spans="1:21" x14ac:dyDescent="0.2">
      <c r="A197" t="s">
        <v>411</v>
      </c>
      <c r="B197" t="s">
        <v>412</v>
      </c>
      <c r="C197">
        <v>70.189269225872195</v>
      </c>
      <c r="E197">
        <v>84.006</v>
      </c>
      <c r="F197">
        <v>64.673000000000002</v>
      </c>
      <c r="G197">
        <v>75.327428571428598</v>
      </c>
      <c r="H197">
        <v>86.313500000000005</v>
      </c>
      <c r="I197">
        <v>72.332999999999998</v>
      </c>
      <c r="J197">
        <v>78.606800000000007</v>
      </c>
      <c r="K197">
        <v>79.316500000000005</v>
      </c>
      <c r="L197">
        <v>75.188285714285698</v>
      </c>
      <c r="M197">
        <v>54.405285714285696</v>
      </c>
      <c r="N197">
        <v>23.256499999999999</v>
      </c>
      <c r="O197">
        <v>77.935000000000002</v>
      </c>
      <c r="P197">
        <v>84.0128571428572</v>
      </c>
      <c r="Q197">
        <v>93.142333333333298</v>
      </c>
      <c r="R197">
        <v>61.012500000000003</v>
      </c>
      <c r="S197">
        <v>62.115200000000002</v>
      </c>
      <c r="T197">
        <v>53.961636363636401</v>
      </c>
      <c r="U197">
        <v>67.611750000000001</v>
      </c>
    </row>
    <row r="198" spans="1:21" x14ac:dyDescent="0.2">
      <c r="A198" t="s">
        <v>413</v>
      </c>
      <c r="B198" t="s">
        <v>414</v>
      </c>
      <c r="C198">
        <v>67.082021078431396</v>
      </c>
      <c r="E198">
        <v>82.732500000000002</v>
      </c>
      <c r="F198">
        <v>60.848374999999997</v>
      </c>
      <c r="G198">
        <v>72.838571428571399</v>
      </c>
      <c r="H198">
        <v>69.774749999999997</v>
      </c>
      <c r="I198">
        <v>45.119500000000002</v>
      </c>
      <c r="J198">
        <v>55.953800000000001</v>
      </c>
      <c r="K198">
        <v>64.740499999999997</v>
      </c>
      <c r="L198">
        <v>70.769599999999997</v>
      </c>
      <c r="M198">
        <v>55.153714285714301</v>
      </c>
      <c r="N198">
        <v>73.613</v>
      </c>
      <c r="O198">
        <v>67.540750000000003</v>
      </c>
      <c r="P198">
        <v>85.966714285714303</v>
      </c>
      <c r="Q198">
        <v>80.986000000000004</v>
      </c>
      <c r="R198">
        <v>65.746666666666698</v>
      </c>
      <c r="S198">
        <v>57.835250000000002</v>
      </c>
      <c r="T198">
        <v>63.94</v>
      </c>
      <c r="U198">
        <v>66.834666666666706</v>
      </c>
    </row>
    <row r="199" spans="1:21" x14ac:dyDescent="0.2">
      <c r="A199" t="s">
        <v>415</v>
      </c>
      <c r="B199" t="s">
        <v>416</v>
      </c>
      <c r="C199">
        <v>52.718151960784297</v>
      </c>
      <c r="E199">
        <v>35.634999999999998</v>
      </c>
      <c r="F199">
        <v>30.929400000000001</v>
      </c>
      <c r="G199">
        <v>42.15775</v>
      </c>
      <c r="H199">
        <v>58.003500000000003</v>
      </c>
      <c r="I199">
        <v>48.821750000000002</v>
      </c>
      <c r="J199">
        <v>15.1033333333333</v>
      </c>
      <c r="K199">
        <v>38.683750000000003</v>
      </c>
      <c r="L199">
        <v>66.567499999999995</v>
      </c>
      <c r="M199">
        <v>17.431799999999999</v>
      </c>
      <c r="N199">
        <v>50.314</v>
      </c>
      <c r="O199">
        <v>75.128500000000003</v>
      </c>
      <c r="P199">
        <v>95.022000000000006</v>
      </c>
      <c r="Q199">
        <v>97.665000000000006</v>
      </c>
      <c r="R199">
        <v>66.123800000000003</v>
      </c>
      <c r="S199">
        <v>50.677</v>
      </c>
      <c r="T199">
        <v>62.122999999999998</v>
      </c>
      <c r="U199">
        <v>45.8215</v>
      </c>
    </row>
    <row r="200" spans="1:21" x14ac:dyDescent="0.2">
      <c r="A200" t="s">
        <v>417</v>
      </c>
      <c r="B200" t="s">
        <v>418</v>
      </c>
      <c r="C200">
        <v>77.814065272472703</v>
      </c>
      <c r="E200">
        <v>96.968500000000006</v>
      </c>
      <c r="F200">
        <v>68.792375000000007</v>
      </c>
      <c r="G200">
        <v>90.093500000000006</v>
      </c>
      <c r="H200">
        <v>95.471000000000004</v>
      </c>
      <c r="I200">
        <v>75.739249999999998</v>
      </c>
      <c r="J200">
        <v>83.2012</v>
      </c>
      <c r="K200">
        <v>74.893000000000001</v>
      </c>
      <c r="L200">
        <v>81.113142857142904</v>
      </c>
      <c r="M200">
        <v>92.189857142857207</v>
      </c>
      <c r="N200">
        <v>65.268500000000003</v>
      </c>
      <c r="O200">
        <v>87.312250000000006</v>
      </c>
      <c r="P200">
        <v>65.391428571428605</v>
      </c>
      <c r="Q200">
        <v>67.718666666666707</v>
      </c>
      <c r="R200">
        <v>63.725666666666697</v>
      </c>
      <c r="S200">
        <v>66.497</v>
      </c>
      <c r="T200">
        <v>72.410272727272698</v>
      </c>
      <c r="U200">
        <v>76.0535</v>
      </c>
    </row>
    <row r="201" spans="1:21" x14ac:dyDescent="0.2">
      <c r="A201" t="s">
        <v>419</v>
      </c>
      <c r="B201" t="s">
        <v>420</v>
      </c>
      <c r="C201">
        <v>63.853546832579198</v>
      </c>
      <c r="E201">
        <v>61.161000000000001</v>
      </c>
      <c r="F201">
        <v>54.833428571428598</v>
      </c>
      <c r="G201">
        <v>64.1858461538462</v>
      </c>
      <c r="H201">
        <v>75.543999999999997</v>
      </c>
      <c r="I201">
        <v>63.275750000000002</v>
      </c>
      <c r="J201">
        <v>54.643999999999998</v>
      </c>
      <c r="K201">
        <v>53.808250000000001</v>
      </c>
      <c r="L201">
        <v>67.629000000000005</v>
      </c>
      <c r="M201">
        <v>49.763199999999998</v>
      </c>
      <c r="N201">
        <v>51.557499999999997</v>
      </c>
      <c r="O201">
        <v>76.454666666666697</v>
      </c>
      <c r="P201">
        <v>79.438333333333304</v>
      </c>
      <c r="Q201">
        <v>92.128</v>
      </c>
      <c r="R201">
        <v>68.462000000000003</v>
      </c>
      <c r="S201">
        <v>57.499000000000002</v>
      </c>
      <c r="T201">
        <v>60.059571428571402</v>
      </c>
      <c r="U201">
        <v>55.066749999999999</v>
      </c>
    </row>
    <row r="202" spans="1:21" x14ac:dyDescent="0.2">
      <c r="A202" t="s">
        <v>421</v>
      </c>
      <c r="B202" t="s">
        <v>422</v>
      </c>
      <c r="C202">
        <v>53.028276069518697</v>
      </c>
      <c r="E202">
        <v>27.894500000000001</v>
      </c>
      <c r="F202">
        <v>57.239874999999998</v>
      </c>
      <c r="G202">
        <v>41.535071428571399</v>
      </c>
      <c r="H202">
        <v>41.430500000000002</v>
      </c>
      <c r="I202">
        <v>53.566000000000003</v>
      </c>
      <c r="J202">
        <v>51.4724</v>
      </c>
      <c r="K202">
        <v>33.430999999999997</v>
      </c>
      <c r="L202">
        <v>65.6267142857143</v>
      </c>
      <c r="M202">
        <v>28.365428571428598</v>
      </c>
      <c r="N202">
        <v>39.334499999999998</v>
      </c>
      <c r="O202">
        <v>46.783250000000002</v>
      </c>
      <c r="P202">
        <v>95.141285714285701</v>
      </c>
      <c r="Q202">
        <v>97.374666666666698</v>
      </c>
      <c r="R202">
        <v>66.320333333333295</v>
      </c>
      <c r="S202">
        <v>66.962599999999995</v>
      </c>
      <c r="T202">
        <v>42.579818181818197</v>
      </c>
      <c r="U202">
        <v>46.422750000000001</v>
      </c>
    </row>
    <row r="203" spans="1:21" x14ac:dyDescent="0.2">
      <c r="A203" t="s">
        <v>423</v>
      </c>
      <c r="B203" t="s">
        <v>424</v>
      </c>
      <c r="C203">
        <v>50.703982550292899</v>
      </c>
      <c r="E203">
        <v>19.967500000000001</v>
      </c>
      <c r="F203">
        <v>52.903125000000003</v>
      </c>
      <c r="G203">
        <v>41.513357142857103</v>
      </c>
      <c r="H203">
        <v>35.579000000000001</v>
      </c>
      <c r="I203">
        <v>49.756999999999998</v>
      </c>
      <c r="J203">
        <v>45.951799999999999</v>
      </c>
      <c r="K203">
        <v>32.866750000000003</v>
      </c>
      <c r="L203">
        <v>57.905714285714303</v>
      </c>
      <c r="M203">
        <v>17.8165714285714</v>
      </c>
      <c r="N203">
        <v>47.869</v>
      </c>
      <c r="O203">
        <v>45.067</v>
      </c>
      <c r="P203">
        <v>96.372714285714295</v>
      </c>
      <c r="Q203">
        <v>98.889666666666699</v>
      </c>
      <c r="R203">
        <v>67.896000000000001</v>
      </c>
      <c r="S203">
        <v>64.669799999999995</v>
      </c>
      <c r="T203">
        <v>42.151454545454598</v>
      </c>
      <c r="U203">
        <v>44.791249999999998</v>
      </c>
    </row>
    <row r="204" spans="1:21" x14ac:dyDescent="0.2">
      <c r="A204" t="s">
        <v>425</v>
      </c>
      <c r="B204" t="s">
        <v>426</v>
      </c>
      <c r="C204">
        <v>63.405224847211599</v>
      </c>
      <c r="E204">
        <v>78.504499999999993</v>
      </c>
      <c r="F204">
        <v>59.037624999999998</v>
      </c>
      <c r="G204">
        <v>60.628928571428602</v>
      </c>
      <c r="H204">
        <v>79.897999999999996</v>
      </c>
      <c r="I204">
        <v>51.607999999999997</v>
      </c>
      <c r="J204">
        <v>59.735799999999998</v>
      </c>
      <c r="K204">
        <v>57.855249999999998</v>
      </c>
      <c r="L204">
        <v>71.372142857142904</v>
      </c>
      <c r="M204">
        <v>46.327714285714301</v>
      </c>
      <c r="N204">
        <v>47.095500000000001</v>
      </c>
      <c r="O204">
        <v>55.076250000000002</v>
      </c>
      <c r="P204">
        <v>93.434857142857098</v>
      </c>
      <c r="Q204">
        <v>94.8333333333333</v>
      </c>
      <c r="R204">
        <v>63.637666666666703</v>
      </c>
      <c r="S204">
        <v>55.375799999999998</v>
      </c>
      <c r="T204">
        <v>50.166454545454599</v>
      </c>
      <c r="U204">
        <v>53.301000000000002</v>
      </c>
    </row>
    <row r="205" spans="1:21" x14ac:dyDescent="0.2">
      <c r="A205" t="s">
        <v>427</v>
      </c>
      <c r="B205" t="s">
        <v>428</v>
      </c>
      <c r="C205">
        <v>71.731510733384297</v>
      </c>
      <c r="E205">
        <v>93.939499999999995</v>
      </c>
      <c r="F205">
        <v>74.157250000000005</v>
      </c>
      <c r="G205">
        <v>80.905000000000001</v>
      </c>
      <c r="H205">
        <v>92.233000000000004</v>
      </c>
      <c r="I205">
        <v>74.138249999999999</v>
      </c>
      <c r="J205">
        <v>70.659800000000004</v>
      </c>
      <c r="K205">
        <v>70.094750000000005</v>
      </c>
      <c r="L205">
        <v>76.550428571428597</v>
      </c>
      <c r="M205">
        <v>74.169714285714306</v>
      </c>
      <c r="N205">
        <v>31.876000000000001</v>
      </c>
      <c r="O205">
        <v>79.937749999999994</v>
      </c>
      <c r="P205">
        <v>85.074571428571403</v>
      </c>
      <c r="Q205">
        <v>84.050333333333299</v>
      </c>
      <c r="R205">
        <v>57.8706666666667</v>
      </c>
      <c r="S205">
        <v>54.062600000000003</v>
      </c>
      <c r="T205">
        <v>60.635818181818202</v>
      </c>
      <c r="U205">
        <v>59.080249999999999</v>
      </c>
    </row>
    <row r="206" spans="1:21" x14ac:dyDescent="0.2">
      <c r="A206" t="s">
        <v>429</v>
      </c>
      <c r="B206" t="s">
        <v>430</v>
      </c>
      <c r="C206">
        <v>78.169823325693898</v>
      </c>
      <c r="E206">
        <v>99.046499999999995</v>
      </c>
      <c r="F206">
        <v>69.941249999999997</v>
      </c>
      <c r="G206">
        <v>91.330071428571401</v>
      </c>
      <c r="H206">
        <v>95.655500000000004</v>
      </c>
      <c r="I206">
        <v>75.801500000000004</v>
      </c>
      <c r="J206">
        <v>71.683599999999998</v>
      </c>
      <c r="K206">
        <v>75.124750000000006</v>
      </c>
      <c r="L206">
        <v>83.475714285714304</v>
      </c>
      <c r="M206">
        <v>93.971857142857203</v>
      </c>
      <c r="N206">
        <v>75.082499999999996</v>
      </c>
      <c r="O206">
        <v>88.512</v>
      </c>
      <c r="P206">
        <v>60.984714285714297</v>
      </c>
      <c r="Q206">
        <v>61.368666666666698</v>
      </c>
      <c r="R206">
        <v>64.936999999999998</v>
      </c>
      <c r="S206">
        <v>68.430599999999998</v>
      </c>
      <c r="T206">
        <v>77.175272727272699</v>
      </c>
      <c r="U206">
        <v>76.365499999999997</v>
      </c>
    </row>
    <row r="207" spans="1:21" x14ac:dyDescent="0.2">
      <c r="A207" t="s">
        <v>431</v>
      </c>
      <c r="B207" t="s">
        <v>432</v>
      </c>
      <c r="C207">
        <v>66.689754742806201</v>
      </c>
      <c r="E207">
        <v>80.037999999999997</v>
      </c>
      <c r="F207">
        <v>65.043625000000006</v>
      </c>
      <c r="G207">
        <v>70.173142857142906</v>
      </c>
      <c r="H207">
        <v>81.638999999999996</v>
      </c>
      <c r="I207">
        <v>62.467500000000001</v>
      </c>
      <c r="J207">
        <v>62.411200000000001</v>
      </c>
      <c r="K207">
        <v>62.128</v>
      </c>
      <c r="L207">
        <v>73.7585714285714</v>
      </c>
      <c r="M207">
        <v>64.663428571428597</v>
      </c>
      <c r="N207">
        <v>39.018000000000001</v>
      </c>
      <c r="O207">
        <v>66.469499999999996</v>
      </c>
      <c r="P207">
        <v>85.849714285714299</v>
      </c>
      <c r="Q207">
        <v>86.515666666666704</v>
      </c>
      <c r="R207">
        <v>62.113999999999997</v>
      </c>
      <c r="S207">
        <v>57.777799999999999</v>
      </c>
      <c r="T207">
        <v>55.958181818181799</v>
      </c>
      <c r="U207">
        <v>57.700499999999998</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U206"/>
  <sheetViews>
    <sheetView workbookViewId="0">
      <selection activeCell="Q37" sqref="Q37"/>
    </sheetView>
  </sheetViews>
  <sheetFormatPr defaultRowHeight="12.75" x14ac:dyDescent="0.2"/>
  <sheetData>
    <row r="1" spans="1:21" x14ac:dyDescent="0.2">
      <c r="A1" t="s">
        <v>0</v>
      </c>
      <c r="B1" t="s">
        <v>1</v>
      </c>
      <c r="C1" t="s">
        <v>433</v>
      </c>
      <c r="D1" t="s">
        <v>434</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
      <c r="A2" t="s">
        <v>335</v>
      </c>
      <c r="B2" t="s">
        <v>336</v>
      </c>
      <c r="C2">
        <v>52.488008360920098</v>
      </c>
      <c r="D2">
        <v>147</v>
      </c>
      <c r="F2">
        <v>51.583285714285701</v>
      </c>
      <c r="G2">
        <v>38.087499999999999</v>
      </c>
      <c r="H2">
        <v>34.366</v>
      </c>
      <c r="I2">
        <v>21.725000000000001</v>
      </c>
      <c r="J2">
        <v>50.425400000000003</v>
      </c>
      <c r="K2">
        <v>44.054666666666698</v>
      </c>
      <c r="L2">
        <v>33.843166666666697</v>
      </c>
      <c r="M2">
        <v>7.4373333333333296</v>
      </c>
      <c r="O2">
        <v>29.308499999999999</v>
      </c>
      <c r="P2">
        <v>97.665571428571397</v>
      </c>
      <c r="Q2">
        <v>98.837333333333305</v>
      </c>
      <c r="S2">
        <v>52.933999999999997</v>
      </c>
      <c r="T2">
        <v>49.204555555555601</v>
      </c>
      <c r="U2">
        <v>42.947749999999999</v>
      </c>
    </row>
    <row r="3" spans="1:21" x14ac:dyDescent="0.2">
      <c r="A3" t="s">
        <v>329</v>
      </c>
      <c r="B3" t="s">
        <v>330</v>
      </c>
      <c r="C3">
        <v>50.9431885854342</v>
      </c>
      <c r="D3">
        <v>154</v>
      </c>
      <c r="E3">
        <v>12.927</v>
      </c>
      <c r="F3">
        <v>55.808374999999998</v>
      </c>
      <c r="G3">
        <v>34.751571428571403</v>
      </c>
      <c r="H3">
        <v>42.181249999999999</v>
      </c>
      <c r="I3">
        <v>50.279249999999998</v>
      </c>
      <c r="J3">
        <v>54.294600000000003</v>
      </c>
      <c r="K3">
        <v>63.619750000000003</v>
      </c>
      <c r="L3">
        <v>52.869500000000002</v>
      </c>
      <c r="M3">
        <v>11.25</v>
      </c>
      <c r="N3">
        <v>16.478999999999999</v>
      </c>
      <c r="O3">
        <v>47.56</v>
      </c>
      <c r="P3">
        <v>95.091142857142898</v>
      </c>
      <c r="Q3">
        <v>96.808000000000007</v>
      </c>
      <c r="R3">
        <v>68.339166666666699</v>
      </c>
      <c r="S3">
        <v>66.493600000000001</v>
      </c>
      <c r="T3">
        <v>48.972499999999997</v>
      </c>
      <c r="U3">
        <v>48.3095</v>
      </c>
    </row>
    <row r="4" spans="1:21" x14ac:dyDescent="0.2">
      <c r="A4" t="s">
        <v>127</v>
      </c>
      <c r="B4" t="s">
        <v>128</v>
      </c>
      <c r="C4">
        <v>71.625672549019598</v>
      </c>
      <c r="D4">
        <v>61</v>
      </c>
      <c r="E4">
        <v>94.295500000000004</v>
      </c>
      <c r="F4">
        <v>59.903571428571396</v>
      </c>
      <c r="G4">
        <v>82.863928571428602</v>
      </c>
      <c r="H4">
        <v>94.264750000000006</v>
      </c>
      <c r="I4">
        <v>53.165999999999997</v>
      </c>
      <c r="J4">
        <v>74.280199999999994</v>
      </c>
      <c r="K4">
        <v>81.287499999999994</v>
      </c>
      <c r="L4">
        <v>59.122999999999998</v>
      </c>
      <c r="M4">
        <v>31.1065</v>
      </c>
      <c r="N4">
        <v>80.346999999999994</v>
      </c>
      <c r="O4">
        <v>74.477000000000004</v>
      </c>
      <c r="P4">
        <v>86.796333333333294</v>
      </c>
      <c r="Q4">
        <v>88.481999999999999</v>
      </c>
      <c r="R4">
        <v>42.8476</v>
      </c>
      <c r="S4">
        <v>80.036600000000007</v>
      </c>
      <c r="T4">
        <v>68.659700000000001</v>
      </c>
      <c r="U4">
        <v>65.699250000000006</v>
      </c>
    </row>
    <row r="5" spans="1:21" x14ac:dyDescent="0.2">
      <c r="A5" t="s">
        <v>353</v>
      </c>
      <c r="B5" t="s">
        <v>354</v>
      </c>
    </row>
    <row r="6" spans="1:21" x14ac:dyDescent="0.2">
      <c r="A6" t="s">
        <v>177</v>
      </c>
      <c r="B6" t="s">
        <v>178</v>
      </c>
      <c r="C6">
        <v>68.835716900093402</v>
      </c>
      <c r="D6">
        <v>85</v>
      </c>
      <c r="E6">
        <v>99.569500000000005</v>
      </c>
      <c r="F6">
        <v>66.260000000000005</v>
      </c>
      <c r="G6">
        <v>86.6737857142857</v>
      </c>
      <c r="H6">
        <v>97.975999999999999</v>
      </c>
      <c r="I6">
        <v>76.561999999999998</v>
      </c>
      <c r="J6">
        <v>55.180399999999999</v>
      </c>
      <c r="K6">
        <v>69.237250000000003</v>
      </c>
      <c r="L6">
        <v>59.5852</v>
      </c>
      <c r="M6">
        <v>84.637333333333302</v>
      </c>
      <c r="N6">
        <v>91.375</v>
      </c>
      <c r="O6">
        <v>78.085999999999999</v>
      </c>
      <c r="P6">
        <v>67.124857142857195</v>
      </c>
      <c r="Q6">
        <v>8.6546666666666692</v>
      </c>
      <c r="R6">
        <v>66.128500000000003</v>
      </c>
      <c r="S6">
        <v>55.85</v>
      </c>
      <c r="T6">
        <v>77.742444444444502</v>
      </c>
      <c r="U6">
        <v>29.564250000000001</v>
      </c>
    </row>
    <row r="7" spans="1:21" x14ac:dyDescent="0.2">
      <c r="A7" t="s">
        <v>121</v>
      </c>
      <c r="B7" t="s">
        <v>122</v>
      </c>
      <c r="C7">
        <v>72.782968020541503</v>
      </c>
      <c r="D7">
        <v>54</v>
      </c>
      <c r="E7">
        <v>96.623000000000005</v>
      </c>
      <c r="F7">
        <v>67.524249999999995</v>
      </c>
      <c r="G7">
        <v>79.249785714285693</v>
      </c>
      <c r="H7">
        <v>97.297499999999999</v>
      </c>
      <c r="I7">
        <v>81.235666666666702</v>
      </c>
      <c r="J7">
        <v>79.126000000000005</v>
      </c>
      <c r="K7">
        <v>72.371750000000006</v>
      </c>
      <c r="L7">
        <v>65.685000000000002</v>
      </c>
      <c r="M7">
        <v>48.453333333333298</v>
      </c>
      <c r="N7">
        <v>43.716000000000001</v>
      </c>
      <c r="O7">
        <v>82.070499999999996</v>
      </c>
      <c r="P7">
        <v>82.711142857142903</v>
      </c>
      <c r="Q7">
        <v>88.161000000000001</v>
      </c>
      <c r="R7">
        <v>63.304666666666698</v>
      </c>
      <c r="S7">
        <v>61.177999999999997</v>
      </c>
      <c r="T7">
        <v>65.410111111111107</v>
      </c>
      <c r="U7">
        <v>63.192749999999997</v>
      </c>
    </row>
    <row r="8" spans="1:21" x14ac:dyDescent="0.2">
      <c r="A8" t="s">
        <v>131</v>
      </c>
      <c r="B8" t="s">
        <v>132</v>
      </c>
      <c r="C8">
        <v>71.053191851286002</v>
      </c>
      <c r="D8">
        <v>66</v>
      </c>
      <c r="E8">
        <v>88.858000000000004</v>
      </c>
      <c r="F8">
        <v>60.457999999999998</v>
      </c>
      <c r="G8">
        <v>78.479142857142904</v>
      </c>
      <c r="H8">
        <v>77.005499999999998</v>
      </c>
      <c r="I8">
        <v>57.854999999999997</v>
      </c>
      <c r="J8">
        <v>68.088399999999993</v>
      </c>
      <c r="K8">
        <v>73.925749999999994</v>
      </c>
      <c r="L8">
        <v>61.217599999999997</v>
      </c>
      <c r="M8">
        <v>38.809166666666698</v>
      </c>
      <c r="N8">
        <v>79.807000000000002</v>
      </c>
      <c r="O8">
        <v>75.225750000000005</v>
      </c>
      <c r="P8">
        <v>93.156142857142896</v>
      </c>
      <c r="Q8">
        <v>90.947000000000003</v>
      </c>
      <c r="S8">
        <v>61.941800000000001</v>
      </c>
      <c r="T8">
        <v>77.395333333333298</v>
      </c>
      <c r="U8">
        <v>62.545000000000002</v>
      </c>
    </row>
    <row r="9" spans="1:21" x14ac:dyDescent="0.2">
      <c r="A9" t="s">
        <v>355</v>
      </c>
      <c r="B9" t="s">
        <v>356</v>
      </c>
    </row>
    <row r="10" spans="1:21" x14ac:dyDescent="0.2">
      <c r="A10" t="s">
        <v>99</v>
      </c>
      <c r="B10" t="s">
        <v>100</v>
      </c>
      <c r="C10">
        <v>75.581788025210102</v>
      </c>
      <c r="D10">
        <v>38</v>
      </c>
      <c r="E10">
        <v>99.62</v>
      </c>
      <c r="F10">
        <v>59.265124999999998</v>
      </c>
      <c r="G10">
        <v>95.376071428571393</v>
      </c>
      <c r="H10">
        <v>90.990333333333297</v>
      </c>
      <c r="I10">
        <v>81.158249999999995</v>
      </c>
      <c r="J10">
        <v>94.108999999999995</v>
      </c>
      <c r="K10">
        <v>71.042749999999998</v>
      </c>
      <c r="L10">
        <v>82.04</v>
      </c>
      <c r="M10">
        <v>90.007000000000005</v>
      </c>
      <c r="N10">
        <v>77.781499999999994</v>
      </c>
      <c r="O10">
        <v>89.4495</v>
      </c>
      <c r="P10">
        <v>58.326999999999998</v>
      </c>
      <c r="Q10">
        <v>12.722666666666701</v>
      </c>
      <c r="R10">
        <v>66.024000000000001</v>
      </c>
      <c r="S10">
        <v>63.605200000000004</v>
      </c>
      <c r="T10">
        <v>83.743499999999997</v>
      </c>
      <c r="U10">
        <v>69.628500000000003</v>
      </c>
    </row>
    <row r="11" spans="1:21" x14ac:dyDescent="0.2">
      <c r="A11" t="s">
        <v>29</v>
      </c>
      <c r="B11" t="s">
        <v>30</v>
      </c>
      <c r="C11">
        <v>82.315202389705902</v>
      </c>
      <c r="D11">
        <v>5</v>
      </c>
      <c r="E11">
        <v>99.341499999999996</v>
      </c>
      <c r="F11">
        <v>73.700999999999993</v>
      </c>
      <c r="G11">
        <v>91.948571428571398</v>
      </c>
      <c r="H11">
        <v>98.241666666666703</v>
      </c>
      <c r="I11">
        <v>82.856666666666698</v>
      </c>
      <c r="J11">
        <v>92.375399999999999</v>
      </c>
      <c r="K11">
        <v>85.21</v>
      </c>
      <c r="L11">
        <v>84.040999999999997</v>
      </c>
      <c r="M11">
        <v>95.671999999999997</v>
      </c>
      <c r="N11">
        <v>93.789500000000004</v>
      </c>
      <c r="O11">
        <v>93.014666666666699</v>
      </c>
      <c r="P11">
        <v>56.787428571428599</v>
      </c>
      <c r="Q11">
        <v>55.301333333333297</v>
      </c>
      <c r="S11">
        <v>73.460599999999999</v>
      </c>
      <c r="T11">
        <v>91.203800000000001</v>
      </c>
      <c r="U11">
        <v>68.7</v>
      </c>
    </row>
    <row r="12" spans="1:21" x14ac:dyDescent="0.2">
      <c r="A12" t="s">
        <v>125</v>
      </c>
      <c r="B12" t="s">
        <v>126</v>
      </c>
      <c r="C12">
        <v>73.4532002546473</v>
      </c>
      <c r="D12">
        <v>50</v>
      </c>
      <c r="E12">
        <v>100</v>
      </c>
      <c r="F12">
        <v>61.880285714285698</v>
      </c>
      <c r="G12">
        <v>72.644571428571396</v>
      </c>
      <c r="H12">
        <v>87.861000000000004</v>
      </c>
      <c r="I12">
        <v>53.185250000000003</v>
      </c>
      <c r="J12">
        <v>67.451999999999998</v>
      </c>
      <c r="K12">
        <v>67.819249999999997</v>
      </c>
      <c r="L12">
        <v>66.974800000000002</v>
      </c>
      <c r="M12">
        <v>41.463333333333303</v>
      </c>
      <c r="N12">
        <v>100</v>
      </c>
      <c r="O12">
        <v>86.231666666666698</v>
      </c>
      <c r="P12">
        <v>90.058571428571398</v>
      </c>
      <c r="Q12">
        <v>81.587000000000003</v>
      </c>
      <c r="S12">
        <v>65.709000000000003</v>
      </c>
      <c r="T12">
        <v>72.662750000000003</v>
      </c>
      <c r="U12">
        <v>70.985249999999994</v>
      </c>
    </row>
    <row r="13" spans="1:21" x14ac:dyDescent="0.2">
      <c r="A13" t="s">
        <v>313</v>
      </c>
      <c r="B13" t="s">
        <v>314</v>
      </c>
      <c r="C13">
        <v>54.053096576408301</v>
      </c>
      <c r="D13">
        <v>141</v>
      </c>
      <c r="E13">
        <v>0</v>
      </c>
      <c r="F13">
        <v>57.843857142857097</v>
      </c>
      <c r="G13">
        <v>48.341357142857198</v>
      </c>
      <c r="H13">
        <v>48.144750000000002</v>
      </c>
      <c r="I13">
        <v>59.942250000000001</v>
      </c>
      <c r="J13">
        <v>55.233400000000003</v>
      </c>
      <c r="K13">
        <v>25.454999999999998</v>
      </c>
      <c r="L13">
        <v>45.301400000000001</v>
      </c>
      <c r="M13">
        <v>6.6463333333333301</v>
      </c>
      <c r="N13">
        <v>58.366</v>
      </c>
      <c r="O13">
        <v>56.198250000000002</v>
      </c>
      <c r="P13">
        <v>96.890857142857101</v>
      </c>
      <c r="Q13">
        <v>99.706666666666706</v>
      </c>
      <c r="S13">
        <v>78.590199999999996</v>
      </c>
      <c r="T13">
        <v>52.180666666666703</v>
      </c>
      <c r="U13">
        <v>62.063666666666698</v>
      </c>
    </row>
    <row r="14" spans="1:21" x14ac:dyDescent="0.2">
      <c r="A14" t="s">
        <v>57</v>
      </c>
      <c r="B14" t="s">
        <v>58</v>
      </c>
      <c r="C14">
        <v>79.693955564533496</v>
      </c>
      <c r="D14">
        <v>18</v>
      </c>
      <c r="E14">
        <v>99.662499999999994</v>
      </c>
      <c r="F14">
        <v>71.557625000000002</v>
      </c>
      <c r="G14">
        <v>92.468307692307704</v>
      </c>
      <c r="H14">
        <v>94.383333333333297</v>
      </c>
      <c r="I14">
        <v>86.029333333333298</v>
      </c>
      <c r="J14">
        <v>72.805199999999999</v>
      </c>
      <c r="K14">
        <v>72.934749999999994</v>
      </c>
      <c r="L14">
        <v>84.575999999999993</v>
      </c>
      <c r="M14">
        <v>92.148333333333397</v>
      </c>
      <c r="N14">
        <v>100</v>
      </c>
      <c r="O14">
        <v>88.551500000000004</v>
      </c>
      <c r="P14">
        <v>56.639428571428603</v>
      </c>
      <c r="Q14">
        <v>54.623333333333299</v>
      </c>
      <c r="R14">
        <v>54.725999999999999</v>
      </c>
      <c r="S14">
        <v>81.483800000000002</v>
      </c>
      <c r="T14">
        <v>85.351299999999995</v>
      </c>
      <c r="U14">
        <v>66.856499999999997</v>
      </c>
    </row>
    <row r="15" spans="1:21" x14ac:dyDescent="0.2">
      <c r="A15" t="s">
        <v>299</v>
      </c>
      <c r="B15" t="s">
        <v>300</v>
      </c>
      <c r="C15">
        <v>51.237751330532198</v>
      </c>
      <c r="D15">
        <v>153</v>
      </c>
      <c r="E15">
        <v>18.691500000000001</v>
      </c>
      <c r="F15">
        <v>62.639875000000004</v>
      </c>
      <c r="G15">
        <v>42.863214285714299</v>
      </c>
      <c r="H15">
        <v>52.273499999999999</v>
      </c>
      <c r="I15">
        <v>30.689499999999999</v>
      </c>
      <c r="J15">
        <v>49.418199999999999</v>
      </c>
      <c r="K15">
        <v>34.096249999999998</v>
      </c>
      <c r="L15">
        <v>71.001999999999995</v>
      </c>
      <c r="M15">
        <v>17.916</v>
      </c>
      <c r="N15">
        <v>21.4085</v>
      </c>
      <c r="O15">
        <v>43.985500000000002</v>
      </c>
      <c r="P15">
        <v>98.377666666666698</v>
      </c>
      <c r="Q15">
        <v>97.432666666666705</v>
      </c>
      <c r="R15">
        <v>59.966000000000001</v>
      </c>
      <c r="S15">
        <v>66.282399999999996</v>
      </c>
      <c r="T15">
        <v>52.631999999999998</v>
      </c>
      <c r="U15">
        <v>51.366999999999997</v>
      </c>
    </row>
    <row r="16" spans="1:21" x14ac:dyDescent="0.2">
      <c r="A16" t="s">
        <v>325</v>
      </c>
      <c r="B16" t="s">
        <v>326</v>
      </c>
      <c r="C16">
        <v>54.467925778088997</v>
      </c>
      <c r="D16">
        <v>138</v>
      </c>
      <c r="E16">
        <v>24.607500000000002</v>
      </c>
      <c r="F16">
        <v>61.215874999999997</v>
      </c>
      <c r="G16">
        <v>45.324071428571401</v>
      </c>
      <c r="H16">
        <v>25.103249999999999</v>
      </c>
      <c r="I16">
        <v>34.125250000000001</v>
      </c>
      <c r="J16">
        <v>44.838000000000001</v>
      </c>
      <c r="K16">
        <v>27.779333333333302</v>
      </c>
      <c r="L16">
        <v>67.0505</v>
      </c>
      <c r="M16">
        <v>17.973666666666698</v>
      </c>
      <c r="N16">
        <v>70.888999999999996</v>
      </c>
      <c r="O16">
        <v>52.132750000000001</v>
      </c>
      <c r="P16">
        <v>96.119571428571405</v>
      </c>
      <c r="Q16">
        <v>98.610333333333401</v>
      </c>
      <c r="S16">
        <v>82.662800000000004</v>
      </c>
      <c r="T16">
        <v>54.499600000000001</v>
      </c>
      <c r="U16">
        <v>55.02525</v>
      </c>
    </row>
    <row r="17" spans="1:21" x14ac:dyDescent="0.2">
      <c r="A17" t="s">
        <v>221</v>
      </c>
      <c r="B17" t="s">
        <v>222</v>
      </c>
      <c r="C17">
        <v>64.217888795518206</v>
      </c>
      <c r="D17">
        <v>104</v>
      </c>
      <c r="E17">
        <v>70.267499999999998</v>
      </c>
      <c r="F17">
        <v>64.025714285714301</v>
      </c>
      <c r="G17">
        <v>60.902928571428603</v>
      </c>
      <c r="H17">
        <v>82.4375</v>
      </c>
      <c r="I17">
        <v>52.939</v>
      </c>
      <c r="J17">
        <v>67.331000000000003</v>
      </c>
      <c r="K17">
        <v>56.116</v>
      </c>
      <c r="L17">
        <v>69.7023333333333</v>
      </c>
      <c r="M17">
        <v>32.484200000000001</v>
      </c>
      <c r="N17">
        <v>81.348500000000001</v>
      </c>
      <c r="O17">
        <v>51.317500000000003</v>
      </c>
      <c r="P17">
        <v>97.231499999999997</v>
      </c>
      <c r="Q17">
        <v>95.371499999999997</v>
      </c>
      <c r="R17">
        <v>66.057333333333304</v>
      </c>
      <c r="S17">
        <v>51.470399999999998</v>
      </c>
      <c r="T17">
        <v>53.5212</v>
      </c>
      <c r="U17">
        <v>39.18</v>
      </c>
    </row>
    <row r="18" spans="1:21" x14ac:dyDescent="0.2">
      <c r="A18" t="s">
        <v>107</v>
      </c>
      <c r="B18" t="s">
        <v>108</v>
      </c>
      <c r="C18">
        <v>74.285365359477098</v>
      </c>
      <c r="D18">
        <v>42</v>
      </c>
      <c r="E18">
        <v>98.230999999999995</v>
      </c>
      <c r="F18">
        <v>66.347250000000003</v>
      </c>
      <c r="G18">
        <v>77.903999999999996</v>
      </c>
      <c r="H18">
        <v>68.48</v>
      </c>
      <c r="I18">
        <v>75.052999999999997</v>
      </c>
      <c r="J18">
        <v>69.065399999999997</v>
      </c>
      <c r="K18">
        <v>73.16225</v>
      </c>
      <c r="L18">
        <v>77.185833333333306</v>
      </c>
      <c r="M18">
        <v>58.405833333333298</v>
      </c>
      <c r="N18">
        <v>49.625999999999998</v>
      </c>
      <c r="O18">
        <v>80.407666666666699</v>
      </c>
      <c r="P18">
        <v>80.507000000000005</v>
      </c>
      <c r="Q18">
        <v>83.146333333333303</v>
      </c>
      <c r="R18">
        <v>64.665999999999997</v>
      </c>
      <c r="S18">
        <v>93.659199999999998</v>
      </c>
      <c r="T18">
        <v>73.840444444444401</v>
      </c>
      <c r="U18">
        <v>73.164000000000001</v>
      </c>
    </row>
    <row r="19" spans="1:21" x14ac:dyDescent="0.2">
      <c r="A19" t="s">
        <v>241</v>
      </c>
      <c r="B19" t="s">
        <v>242</v>
      </c>
      <c r="C19">
        <v>64.269662172141594</v>
      </c>
      <c r="D19">
        <v>102</v>
      </c>
      <c r="F19">
        <v>71.465333333333305</v>
      </c>
      <c r="G19">
        <v>86.1896428571429</v>
      </c>
      <c r="H19">
        <v>83.15025</v>
      </c>
      <c r="I19">
        <v>51.542000000000002</v>
      </c>
      <c r="J19">
        <v>68.074200000000005</v>
      </c>
      <c r="K19">
        <v>71.427999999999997</v>
      </c>
      <c r="L19">
        <v>77.02</v>
      </c>
      <c r="M19">
        <v>52.4493333333333</v>
      </c>
      <c r="O19">
        <v>48.55</v>
      </c>
      <c r="P19">
        <v>77.103428571428594</v>
      </c>
      <c r="Q19">
        <v>33.5103333333333</v>
      </c>
      <c r="R19">
        <v>50.434399999999997</v>
      </c>
      <c r="S19">
        <v>45.526666666666699</v>
      </c>
      <c r="T19">
        <v>71.389714285714305</v>
      </c>
      <c r="U19">
        <v>35.308</v>
      </c>
    </row>
    <row r="20" spans="1:21" x14ac:dyDescent="0.2">
      <c r="A20" t="s">
        <v>267</v>
      </c>
      <c r="B20" t="s">
        <v>268</v>
      </c>
    </row>
    <row r="21" spans="1:21" x14ac:dyDescent="0.2">
      <c r="A21" t="s">
        <v>113</v>
      </c>
      <c r="B21" t="s">
        <v>114</v>
      </c>
      <c r="C21">
        <v>71.727383473389395</v>
      </c>
      <c r="D21">
        <v>59</v>
      </c>
      <c r="E21">
        <v>99.793499999999995</v>
      </c>
      <c r="F21">
        <v>65.569428571428602</v>
      </c>
      <c r="G21">
        <v>77.498500000000007</v>
      </c>
      <c r="H21">
        <v>64.108000000000004</v>
      </c>
      <c r="I21">
        <v>44.009500000000003</v>
      </c>
      <c r="J21">
        <v>73.469399999999993</v>
      </c>
      <c r="K21">
        <v>66.677000000000007</v>
      </c>
      <c r="L21">
        <v>69.393166666666701</v>
      </c>
      <c r="M21">
        <v>35.952833333333302</v>
      </c>
      <c r="N21">
        <v>80.753500000000003</v>
      </c>
      <c r="O21">
        <v>73.442499999999995</v>
      </c>
      <c r="P21">
        <v>85.821857142857198</v>
      </c>
      <c r="Q21">
        <v>82.2023333333333</v>
      </c>
      <c r="R21">
        <v>70.293666666666695</v>
      </c>
      <c r="S21">
        <v>79.694000000000003</v>
      </c>
      <c r="T21">
        <v>70.048333333333304</v>
      </c>
      <c r="U21">
        <v>80.638000000000005</v>
      </c>
    </row>
    <row r="22" spans="1:21" x14ac:dyDescent="0.2">
      <c r="A22" t="s">
        <v>87</v>
      </c>
      <c r="B22" t="s">
        <v>88</v>
      </c>
      <c r="C22">
        <v>75.993224460996501</v>
      </c>
      <c r="D22">
        <v>34</v>
      </c>
      <c r="E22">
        <v>99.894999999999996</v>
      </c>
      <c r="F22">
        <v>64.997375000000005</v>
      </c>
      <c r="G22">
        <v>83.6322857142857</v>
      </c>
      <c r="H22">
        <v>97.829499999999996</v>
      </c>
      <c r="I22">
        <v>79.837249999999997</v>
      </c>
      <c r="J22">
        <v>75.151600000000002</v>
      </c>
      <c r="K22">
        <v>69.739750000000001</v>
      </c>
      <c r="L22">
        <v>69.403833333333296</v>
      </c>
      <c r="M22">
        <v>47.338166666666702</v>
      </c>
      <c r="N22">
        <v>100</v>
      </c>
      <c r="O22">
        <v>73.072999999999993</v>
      </c>
      <c r="P22">
        <v>81.469857142857094</v>
      </c>
      <c r="Q22">
        <v>60.387999999999998</v>
      </c>
      <c r="S22">
        <v>78.688800000000001</v>
      </c>
      <c r="T22">
        <v>74.408222222222193</v>
      </c>
      <c r="U22">
        <v>73.842500000000001</v>
      </c>
    </row>
    <row r="23" spans="1:21" x14ac:dyDescent="0.2">
      <c r="A23" t="s">
        <v>233</v>
      </c>
      <c r="B23" t="s">
        <v>234</v>
      </c>
      <c r="C23">
        <v>65.731941456582604</v>
      </c>
      <c r="D23">
        <v>100</v>
      </c>
      <c r="E23">
        <v>61.65</v>
      </c>
      <c r="F23">
        <v>59.936714285714302</v>
      </c>
      <c r="G23">
        <v>74.180857142857107</v>
      </c>
      <c r="H23">
        <v>77.427000000000007</v>
      </c>
      <c r="I23">
        <v>56.098750000000003</v>
      </c>
      <c r="J23">
        <v>68.413200000000003</v>
      </c>
      <c r="K23">
        <v>86.643333333333302</v>
      </c>
      <c r="L23">
        <v>55.359400000000001</v>
      </c>
      <c r="M23">
        <v>25.7605</v>
      </c>
      <c r="O23">
        <v>79.767750000000007</v>
      </c>
      <c r="P23">
        <v>89.462000000000003</v>
      </c>
      <c r="Q23">
        <v>91.555999999999997</v>
      </c>
      <c r="R23">
        <v>68.565600000000003</v>
      </c>
      <c r="S23">
        <v>49.339399999999998</v>
      </c>
      <c r="T23">
        <v>65.247375000000005</v>
      </c>
      <c r="U23">
        <v>72.290750000000003</v>
      </c>
    </row>
    <row r="24" spans="1:21" x14ac:dyDescent="0.2">
      <c r="A24" t="s">
        <v>193</v>
      </c>
      <c r="B24" t="s">
        <v>194</v>
      </c>
      <c r="C24">
        <v>67.985874775910403</v>
      </c>
      <c r="D24">
        <v>90</v>
      </c>
      <c r="E24">
        <v>89.647499999999994</v>
      </c>
      <c r="F24">
        <v>58.875571428571398</v>
      </c>
      <c r="G24">
        <v>65.4918571428571</v>
      </c>
      <c r="H24">
        <v>89.343999999999994</v>
      </c>
      <c r="I24">
        <v>68.008250000000004</v>
      </c>
      <c r="J24">
        <v>69.775599999999997</v>
      </c>
      <c r="K24">
        <v>65.459999999999994</v>
      </c>
      <c r="L24">
        <v>67.720833333333303</v>
      </c>
      <c r="M24">
        <v>29.067833333333301</v>
      </c>
      <c r="N24">
        <v>43.640999999999998</v>
      </c>
      <c r="O24">
        <v>72.114750000000001</v>
      </c>
      <c r="P24">
        <v>91.905714285714296</v>
      </c>
      <c r="Q24">
        <v>93.066000000000003</v>
      </c>
      <c r="S24">
        <v>66.724400000000003</v>
      </c>
      <c r="T24">
        <v>53.055</v>
      </c>
      <c r="U24">
        <v>64.809333333333299</v>
      </c>
    </row>
    <row r="25" spans="1:21" x14ac:dyDescent="0.2">
      <c r="A25" t="s">
        <v>119</v>
      </c>
      <c r="B25" t="s">
        <v>120</v>
      </c>
      <c r="C25">
        <v>72.799435714285707</v>
      </c>
      <c r="D25">
        <v>53</v>
      </c>
      <c r="E25">
        <v>86.994500000000002</v>
      </c>
      <c r="F25">
        <v>69.898499999999999</v>
      </c>
      <c r="G25">
        <v>78.322285714285698</v>
      </c>
      <c r="H25">
        <v>90.486999999999995</v>
      </c>
      <c r="I25">
        <v>69.240250000000003</v>
      </c>
      <c r="J25">
        <v>87.129400000000004</v>
      </c>
      <c r="K25">
        <v>92.975499999999997</v>
      </c>
      <c r="L25">
        <v>65.291166666666697</v>
      </c>
      <c r="M25">
        <v>63.476333333333301</v>
      </c>
      <c r="N25">
        <v>13.521000000000001</v>
      </c>
      <c r="O25">
        <v>78.347250000000003</v>
      </c>
      <c r="P25">
        <v>84.561571428571398</v>
      </c>
      <c r="Q25">
        <v>93.328000000000003</v>
      </c>
      <c r="R25">
        <v>63.083500000000001</v>
      </c>
      <c r="S25">
        <v>62.205199999999998</v>
      </c>
      <c r="T25">
        <v>63.8902</v>
      </c>
      <c r="U25">
        <v>74.838750000000005</v>
      </c>
    </row>
    <row r="26" spans="1:21" x14ac:dyDescent="0.2">
      <c r="A26" t="s">
        <v>187</v>
      </c>
      <c r="B26" t="s">
        <v>188</v>
      </c>
      <c r="C26">
        <v>70.338370399698306</v>
      </c>
      <c r="D26">
        <v>73</v>
      </c>
      <c r="E26">
        <v>91.223500000000001</v>
      </c>
      <c r="F26">
        <v>55.355249999999998</v>
      </c>
      <c r="G26">
        <v>82.330538461538495</v>
      </c>
      <c r="H26">
        <v>90.363</v>
      </c>
      <c r="I26">
        <v>71.553250000000006</v>
      </c>
      <c r="J26">
        <v>52.713250000000002</v>
      </c>
      <c r="K26">
        <v>93.463333333333296</v>
      </c>
      <c r="L26">
        <v>69.348600000000005</v>
      </c>
      <c r="M26">
        <v>42.003500000000003</v>
      </c>
      <c r="O26">
        <v>80.995000000000005</v>
      </c>
      <c r="P26">
        <v>68.768199999999993</v>
      </c>
      <c r="Q26">
        <v>90.1995</v>
      </c>
      <c r="R26">
        <v>62.4925</v>
      </c>
      <c r="S26">
        <v>62.992750000000001</v>
      </c>
      <c r="T26">
        <v>72.472250000000003</v>
      </c>
      <c r="U26">
        <v>73.733500000000006</v>
      </c>
    </row>
    <row r="27" spans="1:21" x14ac:dyDescent="0.2">
      <c r="A27" t="s">
        <v>223</v>
      </c>
      <c r="B27" t="s">
        <v>224</v>
      </c>
      <c r="C27">
        <v>67.100219185430603</v>
      </c>
      <c r="D27">
        <v>93</v>
      </c>
      <c r="F27">
        <v>54.708750000000002</v>
      </c>
      <c r="G27">
        <v>85.325923076923104</v>
      </c>
      <c r="H27">
        <v>96.778000000000006</v>
      </c>
      <c r="I27">
        <v>60.801333333333297</v>
      </c>
      <c r="J27">
        <v>60.378999999999998</v>
      </c>
      <c r="K27">
        <v>62.936500000000002</v>
      </c>
      <c r="L27">
        <v>70.078749999999999</v>
      </c>
      <c r="M27">
        <v>71.939666666666696</v>
      </c>
      <c r="O27">
        <v>99.787000000000006</v>
      </c>
      <c r="P27">
        <v>74.270285714285706</v>
      </c>
      <c r="Q27">
        <v>0</v>
      </c>
      <c r="R27">
        <v>54.582999999999998</v>
      </c>
      <c r="S27">
        <v>68.462000000000003</v>
      </c>
      <c r="T27">
        <v>61.963000000000001</v>
      </c>
      <c r="U27">
        <v>71.543499999999995</v>
      </c>
    </row>
    <row r="28" spans="1:21" x14ac:dyDescent="0.2">
      <c r="A28" t="s">
        <v>141</v>
      </c>
      <c r="B28" t="s">
        <v>142</v>
      </c>
      <c r="C28">
        <v>70.485796503268006</v>
      </c>
      <c r="D28">
        <v>70</v>
      </c>
      <c r="E28">
        <v>88.67</v>
      </c>
      <c r="F28">
        <v>54.543799999999997</v>
      </c>
      <c r="G28">
        <v>68.59</v>
      </c>
      <c r="H28">
        <v>67.781750000000002</v>
      </c>
      <c r="I28">
        <v>56.338500000000003</v>
      </c>
      <c r="J28">
        <v>69.579800000000006</v>
      </c>
      <c r="K28">
        <v>92.303333333333299</v>
      </c>
      <c r="L28">
        <v>64.510249999999999</v>
      </c>
      <c r="M28">
        <v>37.587200000000003</v>
      </c>
      <c r="N28">
        <v>64.369</v>
      </c>
      <c r="O28">
        <v>84.553333333333299</v>
      </c>
      <c r="P28">
        <v>92.869666666666703</v>
      </c>
      <c r="Q28">
        <v>86.528000000000006</v>
      </c>
      <c r="S28">
        <v>65.561000000000007</v>
      </c>
      <c r="T28">
        <v>84.141625000000005</v>
      </c>
      <c r="U28">
        <v>59.974499999999999</v>
      </c>
    </row>
    <row r="29" spans="1:21" x14ac:dyDescent="0.2">
      <c r="A29" t="s">
        <v>255</v>
      </c>
      <c r="B29" t="s">
        <v>256</v>
      </c>
      <c r="C29">
        <v>61.432454092748202</v>
      </c>
      <c r="D29">
        <v>116</v>
      </c>
      <c r="E29">
        <v>57.807000000000002</v>
      </c>
      <c r="F29">
        <v>39.869</v>
      </c>
      <c r="G29">
        <v>49.209642857142903</v>
      </c>
      <c r="H29">
        <v>65.677000000000007</v>
      </c>
      <c r="I29">
        <v>66.141000000000005</v>
      </c>
      <c r="J29">
        <v>68.334400000000002</v>
      </c>
      <c r="K29">
        <v>53.479500000000002</v>
      </c>
      <c r="L29">
        <v>52.850333333333303</v>
      </c>
      <c r="M29">
        <v>48.1338333333333</v>
      </c>
      <c r="N29">
        <v>13.662000000000001</v>
      </c>
      <c r="O29">
        <v>80.827666666666701</v>
      </c>
      <c r="P29">
        <v>88.426428571428602</v>
      </c>
      <c r="Q29">
        <v>86.393000000000001</v>
      </c>
      <c r="S29">
        <v>74.369399999999999</v>
      </c>
      <c r="T29">
        <v>65.333777777777797</v>
      </c>
      <c r="U29">
        <v>65.839749999999995</v>
      </c>
    </row>
    <row r="30" spans="1:21" x14ac:dyDescent="0.2">
      <c r="A30" t="s">
        <v>349</v>
      </c>
      <c r="B30" t="s">
        <v>350</v>
      </c>
      <c r="C30">
        <v>39.275543075007803</v>
      </c>
      <c r="D30">
        <v>162</v>
      </c>
      <c r="E30">
        <v>2.0314999999999999</v>
      </c>
      <c r="F30">
        <v>38.808142857142897</v>
      </c>
      <c r="G30">
        <v>12.7351428571429</v>
      </c>
      <c r="H30">
        <v>6.9052499999999997</v>
      </c>
      <c r="I30">
        <v>30.345500000000001</v>
      </c>
      <c r="J30">
        <v>40.420400000000001</v>
      </c>
      <c r="K30">
        <v>25.506</v>
      </c>
      <c r="L30">
        <v>45.891399999999997</v>
      </c>
      <c r="M30">
        <v>4.69783333333333</v>
      </c>
      <c r="N30">
        <v>9.5775000000000006</v>
      </c>
      <c r="O30">
        <v>16.423999999999999</v>
      </c>
      <c r="P30">
        <v>94.337142857142894</v>
      </c>
      <c r="Q30">
        <v>99.278666666666695</v>
      </c>
      <c r="S30">
        <v>89.8506</v>
      </c>
      <c r="T30">
        <v>43.792833333333299</v>
      </c>
      <c r="U30">
        <v>39.084333333333298</v>
      </c>
    </row>
    <row r="31" spans="1:21" x14ac:dyDescent="0.2">
      <c r="A31" t="s">
        <v>71</v>
      </c>
      <c r="B31" t="s">
        <v>72</v>
      </c>
      <c r="C31">
        <v>77.730482072829105</v>
      </c>
      <c r="D31">
        <v>29</v>
      </c>
      <c r="E31">
        <v>99.55</v>
      </c>
      <c r="F31">
        <v>67.613749999999996</v>
      </c>
      <c r="G31">
        <v>93.0715</v>
      </c>
      <c r="H31">
        <v>99.183333333333294</v>
      </c>
      <c r="I31">
        <v>80.004000000000005</v>
      </c>
      <c r="J31">
        <v>87.267799999999994</v>
      </c>
      <c r="K31">
        <v>77.986500000000007</v>
      </c>
      <c r="L31">
        <v>81.8245</v>
      </c>
      <c r="M31">
        <v>86.465333333333305</v>
      </c>
      <c r="N31">
        <v>85.893500000000003</v>
      </c>
      <c r="O31">
        <v>89.41225</v>
      </c>
      <c r="P31">
        <v>61.2014285714286</v>
      </c>
      <c r="Q31">
        <v>30.466666666666701</v>
      </c>
      <c r="R31">
        <v>62.938333333333297</v>
      </c>
      <c r="S31">
        <v>60.597799999999999</v>
      </c>
      <c r="T31">
        <v>84.584500000000006</v>
      </c>
      <c r="U31">
        <v>73.356999999999999</v>
      </c>
    </row>
    <row r="32" spans="1:21" x14ac:dyDescent="0.2">
      <c r="A32" t="s">
        <v>49</v>
      </c>
      <c r="B32" t="s">
        <v>50</v>
      </c>
      <c r="C32">
        <v>80.7858812412465</v>
      </c>
      <c r="D32">
        <v>8</v>
      </c>
      <c r="E32">
        <v>99.712000000000003</v>
      </c>
      <c r="F32">
        <v>70.495249999999999</v>
      </c>
      <c r="G32">
        <v>95.555499999999995</v>
      </c>
      <c r="H32">
        <v>97.974000000000004</v>
      </c>
      <c r="I32">
        <v>84.717250000000007</v>
      </c>
      <c r="J32">
        <v>90.570800000000006</v>
      </c>
      <c r="K32">
        <v>83.149249999999995</v>
      </c>
      <c r="L32">
        <v>81.127200000000002</v>
      </c>
      <c r="M32">
        <v>97.516166666666706</v>
      </c>
      <c r="N32">
        <v>83.362499999999997</v>
      </c>
      <c r="O32">
        <v>99.058250000000001</v>
      </c>
      <c r="P32">
        <v>61.684857142857098</v>
      </c>
      <c r="Q32">
        <v>60.446666666666701</v>
      </c>
      <c r="S32">
        <v>66.112399999999994</v>
      </c>
      <c r="T32">
        <v>85.0893333333333</v>
      </c>
      <c r="U32">
        <v>53.075249999999997</v>
      </c>
    </row>
    <row r="33" spans="1:21" x14ac:dyDescent="0.2">
      <c r="A33" t="s">
        <v>79</v>
      </c>
      <c r="B33" t="s">
        <v>80</v>
      </c>
      <c r="C33">
        <v>77.807203151260495</v>
      </c>
      <c r="D33">
        <v>28</v>
      </c>
      <c r="E33">
        <v>99.804500000000004</v>
      </c>
      <c r="F33">
        <v>71.974625000000003</v>
      </c>
      <c r="G33">
        <v>88.053785714285695</v>
      </c>
      <c r="H33">
        <v>95.742249999999999</v>
      </c>
      <c r="I33">
        <v>66.201999999999998</v>
      </c>
      <c r="J33">
        <v>90.373000000000005</v>
      </c>
      <c r="K33">
        <v>83.203000000000003</v>
      </c>
      <c r="L33">
        <v>78.386333333333297</v>
      </c>
      <c r="M33">
        <v>70.311333333333394</v>
      </c>
      <c r="N33">
        <v>26.196999999999999</v>
      </c>
      <c r="O33">
        <v>87.553250000000006</v>
      </c>
      <c r="P33">
        <v>83.969142857142899</v>
      </c>
      <c r="Q33">
        <v>78.349000000000004</v>
      </c>
      <c r="R33">
        <v>83.527799999999999</v>
      </c>
      <c r="S33">
        <v>60.830199999999998</v>
      </c>
      <c r="T33">
        <v>76.750900000000001</v>
      </c>
      <c r="U33">
        <v>81.494333333333302</v>
      </c>
    </row>
    <row r="34" spans="1:21" x14ac:dyDescent="0.2">
      <c r="A34" t="s">
        <v>145</v>
      </c>
      <c r="B34" t="s">
        <v>146</v>
      </c>
      <c r="C34">
        <v>72.382585784313704</v>
      </c>
      <c r="D34">
        <v>56</v>
      </c>
      <c r="E34">
        <v>98.641499999999994</v>
      </c>
      <c r="F34">
        <v>81.968374999999995</v>
      </c>
      <c r="G34">
        <v>82.600642857142802</v>
      </c>
      <c r="H34">
        <v>99.507499999999993</v>
      </c>
      <c r="I34">
        <v>77.142250000000004</v>
      </c>
      <c r="J34">
        <v>70.870999999999995</v>
      </c>
      <c r="K34">
        <v>63.77075</v>
      </c>
      <c r="L34">
        <v>72.733833333333294</v>
      </c>
      <c r="M34">
        <v>77.537166666666707</v>
      </c>
      <c r="N34">
        <v>34.506999999999998</v>
      </c>
      <c r="O34">
        <v>79.459000000000003</v>
      </c>
      <c r="P34">
        <v>90.614999999999995</v>
      </c>
      <c r="Q34">
        <v>85.527333333333303</v>
      </c>
      <c r="R34">
        <v>51.390999999999998</v>
      </c>
      <c r="S34">
        <v>49.171999999999997</v>
      </c>
      <c r="T34">
        <v>70.268857142857101</v>
      </c>
      <c r="U34">
        <v>44.790750000000003</v>
      </c>
    </row>
    <row r="35" spans="1:21" x14ac:dyDescent="0.2">
      <c r="A35" t="s">
        <v>259</v>
      </c>
      <c r="B35" t="s">
        <v>260</v>
      </c>
      <c r="C35">
        <v>58.422096498599501</v>
      </c>
      <c r="D35">
        <v>127</v>
      </c>
      <c r="E35">
        <v>44.045000000000002</v>
      </c>
      <c r="F35">
        <v>63.132874999999999</v>
      </c>
      <c r="G35">
        <v>40.3765</v>
      </c>
      <c r="H35">
        <v>52.547249999999998</v>
      </c>
      <c r="I35">
        <v>39.064999999999998</v>
      </c>
      <c r="J35">
        <v>55.3688</v>
      </c>
      <c r="K35">
        <v>67.654750000000007</v>
      </c>
      <c r="L35">
        <v>70.282166666666697</v>
      </c>
      <c r="M35">
        <v>27.145499999999998</v>
      </c>
      <c r="N35">
        <v>45.719000000000001</v>
      </c>
      <c r="O35">
        <v>48.231499999999997</v>
      </c>
      <c r="P35">
        <v>97.081857142857203</v>
      </c>
      <c r="Q35">
        <v>97.322333333333404</v>
      </c>
      <c r="R35">
        <v>73.489833333333294</v>
      </c>
      <c r="S35">
        <v>70.611400000000003</v>
      </c>
      <c r="T35">
        <v>56.015875000000001</v>
      </c>
      <c r="U35">
        <v>45.085999999999999</v>
      </c>
    </row>
    <row r="36" spans="1:21" x14ac:dyDescent="0.2">
      <c r="A36" t="s">
        <v>297</v>
      </c>
      <c r="B36" t="s">
        <v>298</v>
      </c>
      <c r="C36">
        <v>55.549488375350101</v>
      </c>
      <c r="D36">
        <v>134</v>
      </c>
      <c r="E36">
        <v>45.682000000000002</v>
      </c>
      <c r="F36">
        <v>60.115714285714297</v>
      </c>
      <c r="G36">
        <v>39.079214285714301</v>
      </c>
      <c r="H36">
        <v>51.003500000000003</v>
      </c>
      <c r="I36">
        <v>53.216500000000003</v>
      </c>
      <c r="J36">
        <v>55.969000000000001</v>
      </c>
      <c r="K36">
        <v>65.9315</v>
      </c>
      <c r="L36">
        <v>61.3303333333333</v>
      </c>
      <c r="M36">
        <v>20.936199999999999</v>
      </c>
      <c r="N36">
        <v>23.098500000000001</v>
      </c>
      <c r="O36">
        <v>43.044750000000001</v>
      </c>
      <c r="P36">
        <v>97.188857142857103</v>
      </c>
      <c r="Q36">
        <v>97.903333333333293</v>
      </c>
      <c r="R36">
        <v>74.493499999999997</v>
      </c>
      <c r="S36">
        <v>63.915399999999998</v>
      </c>
      <c r="T36">
        <v>47.28</v>
      </c>
      <c r="U36">
        <v>44.152999999999999</v>
      </c>
    </row>
    <row r="37" spans="1:21" x14ac:dyDescent="0.2">
      <c r="A37" t="s">
        <v>337</v>
      </c>
      <c r="B37" t="s">
        <v>338</v>
      </c>
      <c r="C37">
        <v>49.995680112044802</v>
      </c>
      <c r="D37">
        <v>157</v>
      </c>
      <c r="E37">
        <v>0.59250000000000003</v>
      </c>
      <c r="F37">
        <v>42.764000000000003</v>
      </c>
      <c r="G37">
        <v>37.011928571428598</v>
      </c>
      <c r="H37">
        <v>56.08</v>
      </c>
      <c r="I37">
        <v>41.098500000000001</v>
      </c>
      <c r="J37">
        <v>43.183999999999997</v>
      </c>
      <c r="K37">
        <v>52.167749999999998</v>
      </c>
      <c r="L37">
        <v>53.269666666666701</v>
      </c>
      <c r="M37">
        <v>10.8146666666667</v>
      </c>
      <c r="N37">
        <v>43.030500000000004</v>
      </c>
      <c r="O37">
        <v>40.786000000000001</v>
      </c>
      <c r="P37">
        <v>97.918333333333294</v>
      </c>
      <c r="Q37">
        <v>99.401333333333298</v>
      </c>
      <c r="R37">
        <v>78.775999999999996</v>
      </c>
      <c r="S37">
        <v>70.1708</v>
      </c>
      <c r="T37">
        <v>41.161250000000003</v>
      </c>
      <c r="U37">
        <v>41.6993333333333</v>
      </c>
    </row>
    <row r="38" spans="1:21" x14ac:dyDescent="0.2">
      <c r="A38" t="s">
        <v>321</v>
      </c>
      <c r="B38" t="s">
        <v>322</v>
      </c>
      <c r="C38">
        <v>52.328100280111997</v>
      </c>
      <c r="D38">
        <v>148</v>
      </c>
      <c r="E38">
        <v>15.7165</v>
      </c>
      <c r="F38">
        <v>43.059571428571402</v>
      </c>
      <c r="G38">
        <v>44.345785714285697</v>
      </c>
      <c r="H38">
        <v>43.143250000000002</v>
      </c>
      <c r="I38">
        <v>53.44</v>
      </c>
      <c r="J38">
        <v>52.049399999999999</v>
      </c>
      <c r="K38">
        <v>63.435250000000003</v>
      </c>
      <c r="L38">
        <v>43.605333333333299</v>
      </c>
      <c r="M38">
        <v>7.5766</v>
      </c>
      <c r="N38">
        <v>19.859000000000002</v>
      </c>
      <c r="O38">
        <v>50.374499999999998</v>
      </c>
      <c r="P38">
        <v>96.452666666666701</v>
      </c>
      <c r="Q38">
        <v>91.730333333333306</v>
      </c>
      <c r="R38">
        <v>77.148200000000003</v>
      </c>
      <c r="S38">
        <v>81.3596</v>
      </c>
      <c r="T38">
        <v>56.666714285714299</v>
      </c>
      <c r="U38">
        <v>49.615000000000002</v>
      </c>
    </row>
    <row r="39" spans="1:21" x14ac:dyDescent="0.2">
      <c r="A39" t="s">
        <v>171</v>
      </c>
      <c r="B39" t="s">
        <v>172</v>
      </c>
      <c r="C39">
        <v>70.125614495798303</v>
      </c>
      <c r="D39">
        <v>75</v>
      </c>
      <c r="E39">
        <v>82.991500000000002</v>
      </c>
      <c r="F39">
        <v>63.163125000000001</v>
      </c>
      <c r="G39">
        <v>81.456142857142794</v>
      </c>
      <c r="H39">
        <v>92.155500000000004</v>
      </c>
      <c r="I39">
        <v>68.969250000000002</v>
      </c>
      <c r="J39">
        <v>81.938599999999994</v>
      </c>
      <c r="K39">
        <v>78.340999999999994</v>
      </c>
      <c r="L39">
        <v>61.764499999999998</v>
      </c>
      <c r="M39">
        <v>44.881999999999998</v>
      </c>
      <c r="N39">
        <v>16.478999999999999</v>
      </c>
      <c r="O39">
        <v>78.483999999999995</v>
      </c>
      <c r="P39">
        <v>90.737428571428595</v>
      </c>
      <c r="Q39">
        <v>88.741333333333401</v>
      </c>
      <c r="R39">
        <v>70.800166666666698</v>
      </c>
      <c r="S39">
        <v>60.877800000000001</v>
      </c>
      <c r="T39">
        <v>60.543100000000003</v>
      </c>
      <c r="U39">
        <v>69.811000000000007</v>
      </c>
    </row>
    <row r="40" spans="1:21" x14ac:dyDescent="0.2">
      <c r="A40" t="s">
        <v>327</v>
      </c>
      <c r="B40" t="s">
        <v>328</v>
      </c>
    </row>
    <row r="41" spans="1:21" x14ac:dyDescent="0.2">
      <c r="A41" t="s">
        <v>197</v>
      </c>
      <c r="B41" t="s">
        <v>198</v>
      </c>
    </row>
    <row r="42" spans="1:21" x14ac:dyDescent="0.2">
      <c r="A42" t="s">
        <v>123</v>
      </c>
      <c r="B42" t="s">
        <v>124</v>
      </c>
      <c r="C42">
        <v>73.764887955182104</v>
      </c>
      <c r="D42">
        <v>47</v>
      </c>
      <c r="E42">
        <v>99.572500000000005</v>
      </c>
      <c r="F42">
        <v>50.354750000000003</v>
      </c>
      <c r="G42">
        <v>87.095857142857199</v>
      </c>
      <c r="H42">
        <v>89.739750000000001</v>
      </c>
      <c r="I42">
        <v>80.91225</v>
      </c>
      <c r="J42">
        <v>76.495800000000003</v>
      </c>
      <c r="K42">
        <v>95.058250000000001</v>
      </c>
      <c r="L42">
        <v>68.77</v>
      </c>
      <c r="M42">
        <v>54.295666666666698</v>
      </c>
      <c r="N42">
        <v>20.844999999999999</v>
      </c>
      <c r="O42">
        <v>90.861750000000001</v>
      </c>
      <c r="P42">
        <v>83.583571428571403</v>
      </c>
      <c r="Q42">
        <v>86.621666666666698</v>
      </c>
      <c r="R42">
        <v>59.629833333333302</v>
      </c>
      <c r="S42">
        <v>63.767800000000001</v>
      </c>
      <c r="T42">
        <v>71.196899999999999</v>
      </c>
      <c r="U42">
        <v>75.201750000000004</v>
      </c>
    </row>
    <row r="43" spans="1:21" x14ac:dyDescent="0.2">
      <c r="A43" t="s">
        <v>111</v>
      </c>
      <c r="B43" t="s">
        <v>112</v>
      </c>
      <c r="C43">
        <v>74.664253851540593</v>
      </c>
      <c r="D43">
        <v>40</v>
      </c>
      <c r="F43">
        <v>58.781428571428599</v>
      </c>
      <c r="G43">
        <v>84.166071428571399</v>
      </c>
      <c r="H43">
        <v>93.862499999999997</v>
      </c>
      <c r="I43">
        <v>80.660749999999993</v>
      </c>
      <c r="J43">
        <v>73.884</v>
      </c>
      <c r="K43">
        <v>71.415750000000003</v>
      </c>
      <c r="L43">
        <v>90.72</v>
      </c>
      <c r="M43">
        <v>30.154833333333301</v>
      </c>
      <c r="O43">
        <v>65.768249999999995</v>
      </c>
      <c r="P43">
        <v>92.485399999999998</v>
      </c>
      <c r="Q43">
        <v>90.599500000000006</v>
      </c>
      <c r="R43">
        <v>83.055333333333294</v>
      </c>
      <c r="S43">
        <v>72.143600000000006</v>
      </c>
      <c r="T43">
        <v>64.224833333333294</v>
      </c>
      <c r="U43">
        <v>100</v>
      </c>
    </row>
    <row r="44" spans="1:21" x14ac:dyDescent="0.2">
      <c r="A44" t="s">
        <v>137</v>
      </c>
      <c r="B44" t="s">
        <v>138</v>
      </c>
      <c r="C44">
        <v>74.232383333333402</v>
      </c>
      <c r="D44">
        <v>43</v>
      </c>
      <c r="E44">
        <v>99.881</v>
      </c>
      <c r="F44">
        <v>60.463000000000001</v>
      </c>
      <c r="G44">
        <v>90.8017857142857</v>
      </c>
      <c r="H44">
        <v>98.442999999999998</v>
      </c>
      <c r="I44">
        <v>70.554666666666705</v>
      </c>
      <c r="J44">
        <v>69.486199999999997</v>
      </c>
      <c r="K44">
        <v>72.702250000000006</v>
      </c>
      <c r="L44">
        <v>75.885999999999996</v>
      </c>
      <c r="M44">
        <v>73.672166666666698</v>
      </c>
      <c r="N44">
        <v>83.394999999999996</v>
      </c>
      <c r="O44">
        <v>76.927333333333394</v>
      </c>
      <c r="P44">
        <v>69.447714285714298</v>
      </c>
      <c r="Q44">
        <v>66.075000000000003</v>
      </c>
      <c r="R44">
        <v>48.368166666666703</v>
      </c>
      <c r="S44">
        <v>78.522400000000005</v>
      </c>
      <c r="T44">
        <v>80.5683333333333</v>
      </c>
      <c r="U44">
        <v>46.756500000000003</v>
      </c>
    </row>
    <row r="45" spans="1:21" x14ac:dyDescent="0.2">
      <c r="A45" t="s">
        <v>435</v>
      </c>
      <c r="B45" t="s">
        <v>36</v>
      </c>
      <c r="C45">
        <v>80.465448047969204</v>
      </c>
      <c r="D45">
        <v>13</v>
      </c>
      <c r="E45">
        <v>99.8215</v>
      </c>
      <c r="F45">
        <v>62.135750000000002</v>
      </c>
      <c r="G45">
        <v>89.851857142857099</v>
      </c>
      <c r="H45">
        <v>92.318666666666701</v>
      </c>
      <c r="I45">
        <v>72.621499999999997</v>
      </c>
      <c r="J45">
        <v>85.343800000000002</v>
      </c>
      <c r="K45">
        <v>73.984250000000003</v>
      </c>
      <c r="L45">
        <v>83.872166666666701</v>
      </c>
      <c r="M45">
        <v>79.326166666666694</v>
      </c>
      <c r="N45">
        <v>100</v>
      </c>
      <c r="O45">
        <v>94.923000000000002</v>
      </c>
      <c r="P45">
        <v>68.779285714285706</v>
      </c>
      <c r="Q45">
        <v>69.046666666666695</v>
      </c>
      <c r="S45">
        <v>92.438999999999993</v>
      </c>
      <c r="T45">
        <v>83.917199999999994</v>
      </c>
      <c r="U45">
        <v>55.8185</v>
      </c>
    </row>
    <row r="46" spans="1:21" x14ac:dyDescent="0.2">
      <c r="A46" t="s">
        <v>27</v>
      </c>
      <c r="B46" t="s">
        <v>28</v>
      </c>
      <c r="C46">
        <v>82.178738935574202</v>
      </c>
      <c r="D46">
        <v>6</v>
      </c>
      <c r="E46">
        <v>99.533500000000004</v>
      </c>
      <c r="F46">
        <v>72.578000000000003</v>
      </c>
      <c r="G46">
        <v>93.777142857142906</v>
      </c>
      <c r="H46">
        <v>97.299666666666695</v>
      </c>
      <c r="I46">
        <v>80.491500000000002</v>
      </c>
      <c r="J46">
        <v>88.549599999999998</v>
      </c>
      <c r="K46">
        <v>76.594750000000005</v>
      </c>
      <c r="L46">
        <v>86.912499999999994</v>
      </c>
      <c r="M46">
        <v>93.431333333333299</v>
      </c>
      <c r="N46">
        <v>89.115499999999997</v>
      </c>
      <c r="O46">
        <v>90.908249999999995</v>
      </c>
      <c r="P46">
        <v>59.360285714285702</v>
      </c>
      <c r="Q46">
        <v>55.581000000000003</v>
      </c>
      <c r="R46">
        <v>67.642333333333298</v>
      </c>
      <c r="S46">
        <v>79.101399999999998</v>
      </c>
      <c r="T46">
        <v>84.189300000000003</v>
      </c>
      <c r="U46">
        <v>81.972499999999997</v>
      </c>
    </row>
    <row r="47" spans="1:21" x14ac:dyDescent="0.2">
      <c r="A47" t="s">
        <v>319</v>
      </c>
      <c r="B47" t="s">
        <v>320</v>
      </c>
      <c r="C47">
        <v>50.313921288515402</v>
      </c>
      <c r="D47">
        <v>155</v>
      </c>
      <c r="E47">
        <v>61.246499999999997</v>
      </c>
      <c r="F47">
        <v>39.1838571428571</v>
      </c>
      <c r="G47">
        <v>52.104071428571402</v>
      </c>
      <c r="H47">
        <v>22.107333333333301</v>
      </c>
      <c r="I47">
        <v>38.027000000000001</v>
      </c>
      <c r="J47">
        <v>57.695599999999999</v>
      </c>
      <c r="K47">
        <v>22.045666666666701</v>
      </c>
      <c r="L47">
        <v>49.056199999999997</v>
      </c>
      <c r="M47">
        <v>27.543600000000001</v>
      </c>
      <c r="N47">
        <v>44.390999999999998</v>
      </c>
      <c r="O47">
        <v>60.03575</v>
      </c>
      <c r="P47">
        <v>94.416833333333301</v>
      </c>
      <c r="Q47">
        <v>87.031666666666695</v>
      </c>
      <c r="R47">
        <v>56.949249999999999</v>
      </c>
      <c r="S47">
        <v>37.9375</v>
      </c>
      <c r="T47">
        <v>56.866500000000002</v>
      </c>
      <c r="U47">
        <v>48.698333333333302</v>
      </c>
    </row>
    <row r="48" spans="1:21" x14ac:dyDescent="0.2">
      <c r="A48" t="s">
        <v>357</v>
      </c>
      <c r="B48" t="s">
        <v>358</v>
      </c>
    </row>
    <row r="49" spans="1:21" x14ac:dyDescent="0.2">
      <c r="A49" t="s">
        <v>25</v>
      </c>
      <c r="B49" t="s">
        <v>26</v>
      </c>
      <c r="C49">
        <v>85.6332992296919</v>
      </c>
      <c r="D49">
        <v>2</v>
      </c>
      <c r="E49">
        <v>99.695999999999998</v>
      </c>
      <c r="F49">
        <v>66.396124999999998</v>
      </c>
      <c r="G49">
        <v>95.428142857142802</v>
      </c>
      <c r="H49">
        <v>97.733999999999995</v>
      </c>
      <c r="I49">
        <v>86.802999999999997</v>
      </c>
      <c r="J49">
        <v>89.819800000000001</v>
      </c>
      <c r="K49">
        <v>88.132499999999993</v>
      </c>
      <c r="L49">
        <v>88.881666666666703</v>
      </c>
      <c r="M49">
        <v>96.407333333333298</v>
      </c>
      <c r="N49">
        <v>98.388999999999996</v>
      </c>
      <c r="O49">
        <v>95.067750000000004</v>
      </c>
      <c r="P49">
        <v>54.807285714285698</v>
      </c>
      <c r="Q49">
        <v>58.536000000000001</v>
      </c>
      <c r="R49">
        <v>71.322333333333304</v>
      </c>
      <c r="S49">
        <v>92.816800000000001</v>
      </c>
      <c r="T49">
        <v>93.255099999999999</v>
      </c>
      <c r="U49">
        <v>82.273250000000004</v>
      </c>
    </row>
    <row r="50" spans="1:21" x14ac:dyDescent="0.2">
      <c r="A50" t="s">
        <v>143</v>
      </c>
      <c r="B50" t="s">
        <v>144</v>
      </c>
      <c r="C50">
        <v>70.761324509803899</v>
      </c>
      <c r="D50">
        <v>68</v>
      </c>
      <c r="E50">
        <v>98.390500000000003</v>
      </c>
      <c r="F50">
        <v>58.89</v>
      </c>
      <c r="G50">
        <v>67.224714285714299</v>
      </c>
      <c r="H50">
        <v>92.222250000000003</v>
      </c>
      <c r="I50">
        <v>71.774249999999995</v>
      </c>
      <c r="J50">
        <v>66.349599999999995</v>
      </c>
      <c r="K50">
        <v>71.600499999999997</v>
      </c>
      <c r="L50">
        <v>69.976333333333301</v>
      </c>
      <c r="M50">
        <v>36.037399999999998</v>
      </c>
      <c r="N50">
        <v>37.343499999999999</v>
      </c>
      <c r="O50">
        <v>83.471000000000004</v>
      </c>
      <c r="P50">
        <v>87.6352857142857</v>
      </c>
      <c r="Q50">
        <v>90.368666666666698</v>
      </c>
      <c r="R50">
        <v>84.206666666666706</v>
      </c>
      <c r="S50">
        <v>75.467600000000004</v>
      </c>
      <c r="T50">
        <v>58.280999999999999</v>
      </c>
      <c r="U50">
        <v>53.703249999999997</v>
      </c>
    </row>
    <row r="51" spans="1:21" x14ac:dyDescent="0.2">
      <c r="A51" t="s">
        <v>161</v>
      </c>
      <c r="B51" t="s">
        <v>162</v>
      </c>
      <c r="C51">
        <v>71.544275630252102</v>
      </c>
      <c r="D51">
        <v>64</v>
      </c>
      <c r="E51">
        <v>97.423000000000002</v>
      </c>
      <c r="F51">
        <v>58.434571428571402</v>
      </c>
      <c r="G51">
        <v>76.132571428571396</v>
      </c>
      <c r="H51">
        <v>87.650499999999994</v>
      </c>
      <c r="I51">
        <v>53.402500000000003</v>
      </c>
      <c r="J51">
        <v>60.372999999999998</v>
      </c>
      <c r="K51">
        <v>65.344999999999999</v>
      </c>
      <c r="L51">
        <v>60.905166666666702</v>
      </c>
      <c r="M51">
        <v>46.577833333333302</v>
      </c>
      <c r="N51">
        <v>97.015000000000001</v>
      </c>
      <c r="O51">
        <v>57.814999999999998</v>
      </c>
      <c r="P51">
        <v>91.355142857142894</v>
      </c>
      <c r="Q51">
        <v>88.5536666666667</v>
      </c>
      <c r="R51">
        <v>63.725666666666697</v>
      </c>
      <c r="S51">
        <v>69.881</v>
      </c>
      <c r="T51">
        <v>72.354399999999998</v>
      </c>
      <c r="U51">
        <v>69.308666666666696</v>
      </c>
    </row>
    <row r="52" spans="1:21" x14ac:dyDescent="0.2">
      <c r="A52" t="s">
        <v>167</v>
      </c>
      <c r="B52" t="s">
        <v>168</v>
      </c>
      <c r="C52">
        <v>71.549773996265202</v>
      </c>
      <c r="D52">
        <v>63</v>
      </c>
      <c r="E52">
        <v>85.459500000000006</v>
      </c>
      <c r="F52">
        <v>56.749250000000004</v>
      </c>
      <c r="G52">
        <v>77.843357142857101</v>
      </c>
      <c r="H52">
        <v>92.426249999999996</v>
      </c>
      <c r="I52">
        <v>76.861500000000007</v>
      </c>
      <c r="J52">
        <v>75.292400000000001</v>
      </c>
      <c r="K52">
        <v>75.699250000000006</v>
      </c>
      <c r="L52">
        <v>67.569666666666706</v>
      </c>
      <c r="M52">
        <v>41.262166666666701</v>
      </c>
      <c r="N52">
        <v>24.585000000000001</v>
      </c>
      <c r="O52">
        <v>87.447000000000003</v>
      </c>
      <c r="P52">
        <v>90.433428571428607</v>
      </c>
      <c r="Q52">
        <v>91.757666666666694</v>
      </c>
      <c r="R52">
        <v>79.262833333333305</v>
      </c>
      <c r="S52">
        <v>59.506</v>
      </c>
      <c r="T52">
        <v>59.626555555555598</v>
      </c>
      <c r="U52">
        <v>74.564333333333295</v>
      </c>
    </row>
    <row r="53" spans="1:21" x14ac:dyDescent="0.2">
      <c r="A53" t="s">
        <v>181</v>
      </c>
      <c r="B53" t="s">
        <v>182</v>
      </c>
      <c r="C53">
        <v>68.664703361344493</v>
      </c>
      <c r="D53">
        <v>87</v>
      </c>
      <c r="E53">
        <v>76.971999999999994</v>
      </c>
      <c r="F53">
        <v>58.995857142857197</v>
      </c>
      <c r="G53">
        <v>70.697928571428605</v>
      </c>
      <c r="H53">
        <v>66.350499999999997</v>
      </c>
      <c r="I53">
        <v>50.960250000000002</v>
      </c>
      <c r="J53">
        <v>67.117999999999995</v>
      </c>
      <c r="K53">
        <v>70.646749999999997</v>
      </c>
      <c r="L53">
        <v>59.847000000000001</v>
      </c>
      <c r="M53">
        <v>51.813333333333297</v>
      </c>
      <c r="N53">
        <v>83.9285</v>
      </c>
      <c r="O53">
        <v>66.277249999999995</v>
      </c>
      <c r="P53">
        <v>92.844571428571399</v>
      </c>
      <c r="Q53">
        <v>95.096333333333305</v>
      </c>
      <c r="R53">
        <v>51.584333333333298</v>
      </c>
      <c r="S53">
        <v>68.560199999999995</v>
      </c>
      <c r="T53">
        <v>76.3459</v>
      </c>
      <c r="U53">
        <v>59.261249999999997</v>
      </c>
    </row>
    <row r="54" spans="1:21" x14ac:dyDescent="0.2">
      <c r="A54" t="s">
        <v>359</v>
      </c>
      <c r="B54" t="s">
        <v>360</v>
      </c>
    </row>
    <row r="55" spans="1:21" x14ac:dyDescent="0.2">
      <c r="A55" t="s">
        <v>51</v>
      </c>
      <c r="B55" t="s">
        <v>52</v>
      </c>
      <c r="C55">
        <v>79.897383182503802</v>
      </c>
      <c r="D55">
        <v>16</v>
      </c>
      <c r="E55">
        <v>98.525000000000006</v>
      </c>
      <c r="F55">
        <v>64.028499999999994</v>
      </c>
      <c r="G55">
        <v>94.950230769230799</v>
      </c>
      <c r="H55">
        <v>95.619</v>
      </c>
      <c r="I55">
        <v>86.719499999999996</v>
      </c>
      <c r="J55">
        <v>87.193799999999996</v>
      </c>
      <c r="K55">
        <v>77.386250000000004</v>
      </c>
      <c r="L55">
        <v>74.074666666666701</v>
      </c>
      <c r="M55">
        <v>87.774666666666704</v>
      </c>
      <c r="N55">
        <v>80.796499999999995</v>
      </c>
      <c r="O55">
        <v>93.102249999999998</v>
      </c>
      <c r="P55">
        <v>72.465000000000003</v>
      </c>
      <c r="Q55">
        <v>76.286333333333303</v>
      </c>
      <c r="R55">
        <v>57.624666666666698</v>
      </c>
      <c r="S55">
        <v>66.553399999999996</v>
      </c>
      <c r="T55">
        <v>83.0505</v>
      </c>
      <c r="U55">
        <v>62.105249999999998</v>
      </c>
    </row>
    <row r="56" spans="1:21" x14ac:dyDescent="0.2">
      <c r="A56" t="s">
        <v>39</v>
      </c>
      <c r="B56" t="s">
        <v>40</v>
      </c>
      <c r="C56">
        <v>80.615920448179295</v>
      </c>
      <c r="D56">
        <v>10</v>
      </c>
      <c r="E56">
        <v>99.963999999999999</v>
      </c>
      <c r="F56">
        <v>63.588250000000002</v>
      </c>
      <c r="G56">
        <v>90.231142857142899</v>
      </c>
      <c r="H56">
        <v>96.001249999999999</v>
      </c>
      <c r="I56">
        <v>77.183250000000001</v>
      </c>
      <c r="J56">
        <v>83.836600000000004</v>
      </c>
      <c r="K56">
        <v>74.453999999999994</v>
      </c>
      <c r="L56">
        <v>83.276166666666697</v>
      </c>
      <c r="M56">
        <v>78.448999999999998</v>
      </c>
      <c r="N56">
        <v>89.8065</v>
      </c>
      <c r="O56">
        <v>91.293750000000003</v>
      </c>
      <c r="P56">
        <v>64.914571428571406</v>
      </c>
      <c r="Q56">
        <v>53.529666666666699</v>
      </c>
      <c r="R56">
        <v>85.201499999999996</v>
      </c>
      <c r="S56">
        <v>96.034199999999998</v>
      </c>
      <c r="T56">
        <v>89.405799999999999</v>
      </c>
      <c r="U56">
        <v>53.301000000000002</v>
      </c>
    </row>
    <row r="57" spans="1:21" x14ac:dyDescent="0.2">
      <c r="A57" t="s">
        <v>307</v>
      </c>
      <c r="B57" t="s">
        <v>308</v>
      </c>
      <c r="C57">
        <v>58.013532874260797</v>
      </c>
      <c r="D57">
        <v>128</v>
      </c>
      <c r="E57">
        <v>70.225999999999999</v>
      </c>
      <c r="F57">
        <v>62.571874999999999</v>
      </c>
      <c r="G57">
        <v>44.698285714285703</v>
      </c>
      <c r="H57">
        <v>37.213749999999997</v>
      </c>
      <c r="I57">
        <v>53.256500000000003</v>
      </c>
      <c r="J57">
        <v>38.688800000000001</v>
      </c>
      <c r="K57">
        <v>57.963999999999999</v>
      </c>
      <c r="L57">
        <v>60.710666666666697</v>
      </c>
      <c r="M57">
        <v>26.405000000000001</v>
      </c>
      <c r="N57">
        <v>71.655000000000001</v>
      </c>
      <c r="O57">
        <v>55.1845</v>
      </c>
      <c r="P57">
        <v>97.403000000000006</v>
      </c>
      <c r="Q57">
        <v>97.661666666666704</v>
      </c>
      <c r="S57">
        <v>58.186</v>
      </c>
      <c r="T57">
        <v>42.200777777777802</v>
      </c>
      <c r="U57">
        <v>44.206249999999997</v>
      </c>
    </row>
    <row r="58" spans="1:21" x14ac:dyDescent="0.2">
      <c r="A58" t="s">
        <v>21</v>
      </c>
      <c r="B58" t="s">
        <v>22</v>
      </c>
      <c r="C58">
        <v>86.508737394958004</v>
      </c>
      <c r="D58">
        <v>1</v>
      </c>
      <c r="E58">
        <v>99.8215</v>
      </c>
      <c r="F58">
        <v>64.173500000000004</v>
      </c>
      <c r="G58">
        <v>94.713499999999996</v>
      </c>
      <c r="H58">
        <v>98.051666666666705</v>
      </c>
      <c r="I58">
        <v>91.077250000000006</v>
      </c>
      <c r="J58">
        <v>93.628200000000007</v>
      </c>
      <c r="K58">
        <v>89.022000000000006</v>
      </c>
      <c r="L58">
        <v>87.662333333333294</v>
      </c>
      <c r="M58">
        <v>94.413333333333298</v>
      </c>
      <c r="N58">
        <v>98.4375</v>
      </c>
      <c r="O58">
        <v>92.045500000000004</v>
      </c>
      <c r="P58">
        <v>70.2482857142857</v>
      </c>
      <c r="Q58">
        <v>60.223333333333301</v>
      </c>
      <c r="R58">
        <v>85.127333333333297</v>
      </c>
      <c r="S58">
        <v>84.988399999999999</v>
      </c>
      <c r="T58">
        <v>94.107399999999998</v>
      </c>
      <c r="U58">
        <v>72.907499999999999</v>
      </c>
    </row>
    <row r="59" spans="1:21" x14ac:dyDescent="0.2">
      <c r="A59" t="s">
        <v>133</v>
      </c>
      <c r="B59" t="s">
        <v>134</v>
      </c>
      <c r="C59">
        <v>72.930283974359</v>
      </c>
      <c r="D59">
        <v>52</v>
      </c>
      <c r="E59">
        <v>90.510499999999993</v>
      </c>
      <c r="F59">
        <v>56.819125</v>
      </c>
      <c r="G59">
        <v>72.106769230769203</v>
      </c>
      <c r="H59">
        <v>98.66</v>
      </c>
      <c r="I59">
        <v>57.983249999999998</v>
      </c>
      <c r="J59">
        <v>73.368250000000003</v>
      </c>
      <c r="K59">
        <v>69.252333333333297</v>
      </c>
      <c r="L59">
        <v>71.296000000000006</v>
      </c>
      <c r="M59">
        <v>53.9086</v>
      </c>
      <c r="N59">
        <v>65.792500000000004</v>
      </c>
      <c r="O59">
        <v>93.456999999999994</v>
      </c>
      <c r="P59">
        <v>86.856800000000007</v>
      </c>
      <c r="Q59">
        <v>96.114999999999995</v>
      </c>
      <c r="R59">
        <v>66.683499999999995</v>
      </c>
      <c r="S59">
        <v>46.735799999999998</v>
      </c>
      <c r="T59">
        <v>79.407399999999996</v>
      </c>
      <c r="U59">
        <v>60.862000000000002</v>
      </c>
    </row>
    <row r="60" spans="1:21" x14ac:dyDescent="0.2">
      <c r="A60" t="s">
        <v>31</v>
      </c>
      <c r="B60" t="s">
        <v>32</v>
      </c>
      <c r="C60">
        <v>81.239405182072801</v>
      </c>
      <c r="D60">
        <v>7</v>
      </c>
      <c r="E60">
        <v>99.695999999999998</v>
      </c>
      <c r="F60">
        <v>73.782749999999993</v>
      </c>
      <c r="G60">
        <v>91.9336428571429</v>
      </c>
      <c r="H60">
        <v>99.732333333333301</v>
      </c>
      <c r="I60">
        <v>87.366</v>
      </c>
      <c r="J60">
        <v>89.662400000000005</v>
      </c>
      <c r="K60">
        <v>76.579499999999996</v>
      </c>
      <c r="L60">
        <v>81.218666666666707</v>
      </c>
      <c r="M60">
        <v>90.112666666666698</v>
      </c>
      <c r="N60">
        <v>87.473500000000001</v>
      </c>
      <c r="O60">
        <v>90.529499999999999</v>
      </c>
      <c r="P60">
        <v>63.943428571428598</v>
      </c>
      <c r="Q60">
        <v>67.258666666666699</v>
      </c>
      <c r="R60">
        <v>63.719833333333298</v>
      </c>
      <c r="S60">
        <v>69.168800000000005</v>
      </c>
      <c r="T60">
        <v>75.472700000000003</v>
      </c>
      <c r="U60">
        <v>73.419499999999999</v>
      </c>
    </row>
    <row r="61" spans="1:21" x14ac:dyDescent="0.2">
      <c r="A61" t="s">
        <v>361</v>
      </c>
      <c r="B61" t="s">
        <v>362</v>
      </c>
    </row>
    <row r="62" spans="1:21" x14ac:dyDescent="0.2">
      <c r="A62" t="s">
        <v>245</v>
      </c>
      <c r="B62" t="s">
        <v>246</v>
      </c>
      <c r="C62">
        <v>62.828131442577103</v>
      </c>
      <c r="D62">
        <v>113</v>
      </c>
      <c r="E62">
        <v>83.912999999999997</v>
      </c>
      <c r="F62">
        <v>52.289285714285697</v>
      </c>
      <c r="G62">
        <v>49.159857142857199</v>
      </c>
      <c r="H62">
        <v>65.842500000000001</v>
      </c>
      <c r="I62">
        <v>46.884999999999998</v>
      </c>
      <c r="J62">
        <v>61.365000000000002</v>
      </c>
      <c r="K62">
        <v>87.164749999999998</v>
      </c>
      <c r="L62">
        <v>60.276400000000002</v>
      </c>
      <c r="M62">
        <v>33.409999999999997</v>
      </c>
      <c r="N62">
        <v>61.805500000000002</v>
      </c>
      <c r="O62">
        <v>54.411000000000001</v>
      </c>
      <c r="P62">
        <v>90.261600000000001</v>
      </c>
      <c r="Q62">
        <v>89.656999999999996</v>
      </c>
      <c r="R62">
        <v>64.043166666666707</v>
      </c>
      <c r="S62">
        <v>82.876800000000003</v>
      </c>
      <c r="T62">
        <v>43.464874999999999</v>
      </c>
      <c r="U62">
        <v>41.252499999999998</v>
      </c>
    </row>
    <row r="63" spans="1:21" x14ac:dyDescent="0.2">
      <c r="A63" t="s">
        <v>41</v>
      </c>
      <c r="B63" t="s">
        <v>42</v>
      </c>
      <c r="C63">
        <v>80.550105381383304</v>
      </c>
      <c r="D63">
        <v>11</v>
      </c>
      <c r="E63">
        <v>99.521000000000001</v>
      </c>
      <c r="F63">
        <v>68.105374999999995</v>
      </c>
      <c r="G63">
        <v>92.537230769230803</v>
      </c>
      <c r="H63">
        <v>99.162000000000006</v>
      </c>
      <c r="I63">
        <v>83.575000000000003</v>
      </c>
      <c r="J63">
        <v>94.330799999999996</v>
      </c>
      <c r="K63">
        <v>75.096999999999994</v>
      </c>
      <c r="L63">
        <v>79.1816666666667</v>
      </c>
      <c r="M63">
        <v>90.121333333333297</v>
      </c>
      <c r="N63">
        <v>68.358500000000006</v>
      </c>
      <c r="O63">
        <v>92.936999999999998</v>
      </c>
      <c r="P63">
        <v>65.678285714285707</v>
      </c>
      <c r="Q63">
        <v>63.651666666666699</v>
      </c>
      <c r="R63">
        <v>75.087333333333305</v>
      </c>
      <c r="S63">
        <v>87.221400000000003</v>
      </c>
      <c r="T63">
        <v>82.1387</v>
      </c>
      <c r="U63">
        <v>52.647500000000001</v>
      </c>
    </row>
    <row r="64" spans="1:21" x14ac:dyDescent="0.2">
      <c r="A64" t="s">
        <v>103</v>
      </c>
      <c r="B64" t="s">
        <v>104</v>
      </c>
      <c r="C64">
        <v>73.353412745097998</v>
      </c>
      <c r="D64">
        <v>51</v>
      </c>
      <c r="E64">
        <v>91.649500000000003</v>
      </c>
      <c r="F64">
        <v>54.525428571428598</v>
      </c>
      <c r="G64">
        <v>74.501999999999995</v>
      </c>
      <c r="H64">
        <v>79.457250000000002</v>
      </c>
      <c r="I64">
        <v>61.484000000000002</v>
      </c>
      <c r="J64">
        <v>82.1922</v>
      </c>
      <c r="K64">
        <v>77.969250000000002</v>
      </c>
      <c r="L64">
        <v>67.436166666666693</v>
      </c>
      <c r="M64">
        <v>44.549500000000002</v>
      </c>
      <c r="N64">
        <v>68.543999999999997</v>
      </c>
      <c r="O64">
        <v>79.685749999999999</v>
      </c>
      <c r="P64">
        <v>90.821571428571403</v>
      </c>
      <c r="Q64">
        <v>90.012</v>
      </c>
      <c r="R64">
        <v>65.468599999999995</v>
      </c>
      <c r="S64">
        <v>68.935000000000002</v>
      </c>
      <c r="T64">
        <v>83.110799999999998</v>
      </c>
      <c r="U64">
        <v>66.665000000000006</v>
      </c>
    </row>
    <row r="65" spans="1:21" x14ac:dyDescent="0.2">
      <c r="A65" t="s">
        <v>263</v>
      </c>
      <c r="B65" t="s">
        <v>264</v>
      </c>
      <c r="C65">
        <v>63.4402763305322</v>
      </c>
      <c r="D65">
        <v>110</v>
      </c>
      <c r="E65">
        <v>70.936499999999995</v>
      </c>
      <c r="F65">
        <v>66.489000000000004</v>
      </c>
      <c r="G65">
        <v>51.524642857142901</v>
      </c>
      <c r="H65">
        <v>84.092250000000007</v>
      </c>
      <c r="I65">
        <v>51.789250000000003</v>
      </c>
      <c r="J65">
        <v>57.681399999999996</v>
      </c>
      <c r="K65">
        <v>67.477500000000006</v>
      </c>
      <c r="L65">
        <v>71.570666666666696</v>
      </c>
      <c r="M65">
        <v>46.846166666666697</v>
      </c>
      <c r="N65">
        <v>35.215000000000003</v>
      </c>
      <c r="O65">
        <v>52.905999999999999</v>
      </c>
      <c r="P65">
        <v>96.794571428571402</v>
      </c>
      <c r="Q65">
        <v>96.031999999999996</v>
      </c>
      <c r="R65">
        <v>45.738500000000002</v>
      </c>
      <c r="S65">
        <v>67.673400000000001</v>
      </c>
      <c r="T65">
        <v>69.461600000000004</v>
      </c>
      <c r="U65">
        <v>46.256250000000001</v>
      </c>
    </row>
    <row r="66" spans="1:21" x14ac:dyDescent="0.2">
      <c r="A66" t="s">
        <v>303</v>
      </c>
      <c r="B66" t="s">
        <v>304</v>
      </c>
      <c r="C66">
        <v>51.2711803454715</v>
      </c>
      <c r="D66">
        <v>152</v>
      </c>
      <c r="E66">
        <v>23.347000000000001</v>
      </c>
      <c r="F66">
        <v>49.711166666666699</v>
      </c>
      <c r="G66">
        <v>31.8180714285714</v>
      </c>
      <c r="H66">
        <v>30.499500000000001</v>
      </c>
      <c r="I66">
        <v>38.819249999999997</v>
      </c>
      <c r="J66">
        <v>51.698999999999998</v>
      </c>
      <c r="K66">
        <v>36.093333333333298</v>
      </c>
      <c r="L66">
        <v>61.992833333333301</v>
      </c>
      <c r="M66">
        <v>7.8878333333333304</v>
      </c>
      <c r="N66">
        <v>77.736500000000007</v>
      </c>
      <c r="O66">
        <v>46.999499999999998</v>
      </c>
      <c r="P66">
        <v>96.925799999999995</v>
      </c>
      <c r="Q66">
        <v>98.143000000000001</v>
      </c>
      <c r="R66">
        <v>58.432166666666703</v>
      </c>
      <c r="S66">
        <v>67.427999999999997</v>
      </c>
      <c r="T66">
        <v>44.583777777777797</v>
      </c>
      <c r="U66">
        <v>49.493333333333297</v>
      </c>
    </row>
    <row r="67" spans="1:21" x14ac:dyDescent="0.2">
      <c r="A67" t="s">
        <v>277</v>
      </c>
      <c r="B67" t="s">
        <v>278</v>
      </c>
      <c r="C67">
        <v>60.165366456582603</v>
      </c>
      <c r="D67">
        <v>122</v>
      </c>
      <c r="E67">
        <v>67.501499999999993</v>
      </c>
      <c r="F67">
        <v>56.988250000000001</v>
      </c>
      <c r="G67">
        <v>48.606071428571397</v>
      </c>
      <c r="H67">
        <v>48.894750000000002</v>
      </c>
      <c r="I67">
        <v>39.825499999999998</v>
      </c>
      <c r="J67">
        <v>59.878799999999998</v>
      </c>
      <c r="K67">
        <v>39.720999999999997</v>
      </c>
      <c r="L67">
        <v>64.464399999999998</v>
      </c>
      <c r="M67">
        <v>15.939166666666701</v>
      </c>
      <c r="N67">
        <v>69.075000000000003</v>
      </c>
      <c r="O67">
        <v>63.869250000000001</v>
      </c>
      <c r="P67">
        <v>97.100666666666697</v>
      </c>
      <c r="Q67">
        <v>98.873666666666693</v>
      </c>
      <c r="R67">
        <v>66.683499999999995</v>
      </c>
      <c r="S67">
        <v>84.025000000000006</v>
      </c>
      <c r="T67">
        <v>55.313375000000001</v>
      </c>
      <c r="U67">
        <v>46.051333333333297</v>
      </c>
    </row>
    <row r="68" spans="1:21" x14ac:dyDescent="0.2">
      <c r="A68" t="s">
        <v>363</v>
      </c>
      <c r="B68" t="s">
        <v>364</v>
      </c>
    </row>
    <row r="69" spans="1:21" x14ac:dyDescent="0.2">
      <c r="A69" t="s">
        <v>365</v>
      </c>
      <c r="B69" t="s">
        <v>366</v>
      </c>
    </row>
    <row r="70" spans="1:21" x14ac:dyDescent="0.2">
      <c r="A70" t="s">
        <v>75</v>
      </c>
      <c r="B70" t="s">
        <v>76</v>
      </c>
      <c r="C70">
        <v>76.805675910364101</v>
      </c>
      <c r="D70">
        <v>32</v>
      </c>
      <c r="E70">
        <v>99.218000000000004</v>
      </c>
      <c r="F70">
        <v>66.363249999999994</v>
      </c>
      <c r="G70">
        <v>90.522785714285703</v>
      </c>
      <c r="H70">
        <v>96.004000000000005</v>
      </c>
      <c r="I70">
        <v>64.838499999999996</v>
      </c>
      <c r="J70">
        <v>88.294399999999996</v>
      </c>
      <c r="K70">
        <v>73.867750000000001</v>
      </c>
      <c r="L70">
        <v>63.429166666666703</v>
      </c>
      <c r="M70">
        <v>75.740333333333297</v>
      </c>
      <c r="N70">
        <v>84.894499999999994</v>
      </c>
      <c r="O70">
        <v>81.113500000000002</v>
      </c>
      <c r="P70">
        <v>69.450571428571394</v>
      </c>
      <c r="Q70">
        <v>76.430000000000007</v>
      </c>
      <c r="R70">
        <v>59.498833333333302</v>
      </c>
      <c r="S70">
        <v>81.183800000000005</v>
      </c>
      <c r="T70">
        <v>76.839100000000002</v>
      </c>
      <c r="U70">
        <v>58.008000000000003</v>
      </c>
    </row>
    <row r="71" spans="1:21" x14ac:dyDescent="0.2">
      <c r="A71" t="s">
        <v>367</v>
      </c>
      <c r="B71" t="s">
        <v>368</v>
      </c>
    </row>
    <row r="72" spans="1:21" x14ac:dyDescent="0.2">
      <c r="A72" t="s">
        <v>273</v>
      </c>
      <c r="B72" t="s">
        <v>274</v>
      </c>
      <c r="C72">
        <v>61.002230322128803</v>
      </c>
      <c r="D72">
        <v>117</v>
      </c>
      <c r="E72">
        <v>76.588999999999999</v>
      </c>
      <c r="F72">
        <v>38.732875</v>
      </c>
      <c r="G72">
        <v>68.7508571428572</v>
      </c>
      <c r="H72">
        <v>71.762749999999997</v>
      </c>
      <c r="I72">
        <v>56.209499999999998</v>
      </c>
      <c r="J72">
        <v>70.378</v>
      </c>
      <c r="K72">
        <v>80.775750000000002</v>
      </c>
      <c r="L72">
        <v>64.819166666666703</v>
      </c>
      <c r="M72">
        <v>15.6503333333333</v>
      </c>
      <c r="N72">
        <v>20.704000000000001</v>
      </c>
      <c r="O72">
        <v>79.558000000000007</v>
      </c>
      <c r="P72">
        <v>93.236000000000004</v>
      </c>
      <c r="Q72">
        <v>95.198666666666696</v>
      </c>
      <c r="R72">
        <v>59.323333333333302</v>
      </c>
      <c r="S72">
        <v>45.882599999999996</v>
      </c>
      <c r="T72">
        <v>51.990333333333297</v>
      </c>
      <c r="U72">
        <v>47.476750000000003</v>
      </c>
    </row>
    <row r="73" spans="1:21" x14ac:dyDescent="0.2">
      <c r="A73" t="s">
        <v>211</v>
      </c>
      <c r="B73" t="s">
        <v>212</v>
      </c>
      <c r="C73">
        <v>63.891455765639598</v>
      </c>
      <c r="D73">
        <v>106</v>
      </c>
      <c r="E73">
        <v>93.921499999999995</v>
      </c>
      <c r="F73">
        <v>68.869749999999996</v>
      </c>
      <c r="G73">
        <v>65.143928571428603</v>
      </c>
      <c r="H73">
        <v>89.279250000000005</v>
      </c>
      <c r="I73">
        <v>65.983249999999998</v>
      </c>
      <c r="J73">
        <v>69.212000000000003</v>
      </c>
      <c r="K73">
        <v>77.369666666666703</v>
      </c>
      <c r="L73">
        <v>56.247999999999998</v>
      </c>
      <c r="M73">
        <v>19.204599999999999</v>
      </c>
      <c r="O73">
        <v>78.461500000000001</v>
      </c>
      <c r="P73">
        <v>68.899600000000007</v>
      </c>
      <c r="Q73">
        <v>89.0625</v>
      </c>
      <c r="R73">
        <v>45.394799999999996</v>
      </c>
      <c r="S73">
        <v>42.46425</v>
      </c>
      <c r="T73">
        <v>63.829111111111096</v>
      </c>
      <c r="U73">
        <v>57.066666666666698</v>
      </c>
    </row>
    <row r="74" spans="1:21" x14ac:dyDescent="0.2">
      <c r="A74" t="s">
        <v>251</v>
      </c>
      <c r="B74" t="s">
        <v>252</v>
      </c>
      <c r="C74">
        <v>63.067973926237201</v>
      </c>
      <c r="D74">
        <v>112</v>
      </c>
      <c r="E74">
        <v>59.807000000000002</v>
      </c>
      <c r="F74">
        <v>53.028874999999999</v>
      </c>
      <c r="G74">
        <v>70.680785714285705</v>
      </c>
      <c r="H74">
        <v>62.919750000000001</v>
      </c>
      <c r="I74">
        <v>62.944749999999999</v>
      </c>
      <c r="J74">
        <v>73.058000000000007</v>
      </c>
      <c r="K74">
        <v>77.975999999999999</v>
      </c>
      <c r="L74">
        <v>60.894833333333303</v>
      </c>
      <c r="M74">
        <v>21.458166666666699</v>
      </c>
      <c r="N74">
        <v>20.844999999999999</v>
      </c>
      <c r="O74">
        <v>80.084000000000003</v>
      </c>
      <c r="P74">
        <v>94.187857142857197</v>
      </c>
      <c r="Q74">
        <v>94.9166666666667</v>
      </c>
      <c r="R74">
        <v>64.162166666666707</v>
      </c>
      <c r="S74">
        <v>70.105400000000003</v>
      </c>
      <c r="T74">
        <v>43.9485555555556</v>
      </c>
      <c r="U74">
        <v>61.137749999999997</v>
      </c>
    </row>
    <row r="75" spans="1:21" x14ac:dyDescent="0.2">
      <c r="A75" t="s">
        <v>43</v>
      </c>
      <c r="B75" t="s">
        <v>44</v>
      </c>
      <c r="C75">
        <v>78.794998646125094</v>
      </c>
      <c r="D75">
        <v>23</v>
      </c>
      <c r="E75">
        <v>99.11</v>
      </c>
      <c r="F75">
        <v>74.995999999999995</v>
      </c>
      <c r="G75">
        <v>87.596500000000006</v>
      </c>
      <c r="H75">
        <v>97.117750000000001</v>
      </c>
      <c r="I75">
        <v>68.135750000000002</v>
      </c>
      <c r="J75">
        <v>83.994200000000006</v>
      </c>
      <c r="K75">
        <v>80.775750000000002</v>
      </c>
      <c r="L75">
        <v>77.634833333333304</v>
      </c>
      <c r="M75">
        <v>65.689499999999995</v>
      </c>
      <c r="N75">
        <v>90.463999999999999</v>
      </c>
      <c r="O75">
        <v>75.396333333333303</v>
      </c>
      <c r="P75">
        <v>75.641571428571396</v>
      </c>
      <c r="Q75">
        <v>80.304333333333304</v>
      </c>
      <c r="R75">
        <v>70.813999999999993</v>
      </c>
      <c r="S75">
        <v>84.433400000000006</v>
      </c>
      <c r="T75">
        <v>76.734555555555502</v>
      </c>
      <c r="U75">
        <v>50.676499999999997</v>
      </c>
    </row>
    <row r="76" spans="1:21" x14ac:dyDescent="0.2">
      <c r="A76" t="s">
        <v>323</v>
      </c>
      <c r="B76" t="s">
        <v>324</v>
      </c>
      <c r="C76">
        <v>51.908938655462201</v>
      </c>
      <c r="D76">
        <v>151</v>
      </c>
      <c r="E76">
        <v>40.322000000000003</v>
      </c>
      <c r="F76">
        <v>42.4561428571429</v>
      </c>
      <c r="G76">
        <v>39.575214285714303</v>
      </c>
      <c r="H76">
        <v>68.966999999999999</v>
      </c>
      <c r="I76">
        <v>40.180250000000001</v>
      </c>
      <c r="J76">
        <v>54.334200000000003</v>
      </c>
      <c r="K76">
        <v>45.846249999999998</v>
      </c>
      <c r="L76">
        <v>52.466833333333298</v>
      </c>
      <c r="M76">
        <v>15.153600000000001</v>
      </c>
      <c r="N76">
        <v>47.250999999999998</v>
      </c>
      <c r="O76">
        <v>31.716999999999999</v>
      </c>
      <c r="P76">
        <v>95.577799999999996</v>
      </c>
      <c r="Q76">
        <v>98.521333333333303</v>
      </c>
      <c r="R76">
        <v>73.225666666666697</v>
      </c>
      <c r="S76">
        <v>48.201999999999998</v>
      </c>
      <c r="T76">
        <v>44.863999999999997</v>
      </c>
      <c r="U76">
        <v>43.7916666666667</v>
      </c>
    </row>
    <row r="77" spans="1:21" x14ac:dyDescent="0.2">
      <c r="A77" t="s">
        <v>63</v>
      </c>
      <c r="B77" t="s">
        <v>64</v>
      </c>
      <c r="C77">
        <v>79.008224728641494</v>
      </c>
      <c r="D77">
        <v>21</v>
      </c>
      <c r="E77">
        <v>99.111999999999995</v>
      </c>
      <c r="F77">
        <v>72.690375000000003</v>
      </c>
      <c r="G77">
        <v>84.034857142857206</v>
      </c>
      <c r="H77">
        <v>91.962249999999997</v>
      </c>
      <c r="I77">
        <v>64.524500000000003</v>
      </c>
      <c r="J77">
        <v>87.851799999999997</v>
      </c>
      <c r="K77">
        <v>72.741500000000002</v>
      </c>
      <c r="L77">
        <v>80.281499999999994</v>
      </c>
      <c r="M77">
        <v>74.851333333333301</v>
      </c>
      <c r="N77">
        <v>93.292500000000004</v>
      </c>
      <c r="O77">
        <v>88.495000000000005</v>
      </c>
      <c r="P77">
        <v>82.320714285714303</v>
      </c>
      <c r="Q77">
        <v>72.392333333333298</v>
      </c>
      <c r="S77">
        <v>85.769199999999998</v>
      </c>
      <c r="T77">
        <v>76.184899999999999</v>
      </c>
      <c r="U77">
        <v>52.921750000000003</v>
      </c>
    </row>
    <row r="78" spans="1:21" x14ac:dyDescent="0.2">
      <c r="A78" t="s">
        <v>169</v>
      </c>
      <c r="B78" t="s">
        <v>170</v>
      </c>
      <c r="C78">
        <v>69.162250163398696</v>
      </c>
      <c r="D78">
        <v>82</v>
      </c>
      <c r="E78">
        <v>80.3</v>
      </c>
      <c r="F78">
        <v>65.623874999999998</v>
      </c>
      <c r="G78">
        <v>65.812571428571502</v>
      </c>
      <c r="H78">
        <v>92.183499999999995</v>
      </c>
      <c r="I78">
        <v>62.772750000000002</v>
      </c>
      <c r="J78">
        <v>70.085400000000007</v>
      </c>
      <c r="K78">
        <v>72.128249999999994</v>
      </c>
      <c r="L78">
        <v>72.646333333333303</v>
      </c>
      <c r="M78">
        <v>44.382666666666701</v>
      </c>
      <c r="N78">
        <v>57.835500000000003</v>
      </c>
      <c r="O78">
        <v>71.880750000000006</v>
      </c>
      <c r="P78">
        <v>92.105428571428604</v>
      </c>
      <c r="Q78">
        <v>92.137666666666703</v>
      </c>
      <c r="R78">
        <v>63.957833333333298</v>
      </c>
      <c r="S78">
        <v>50.836199999999998</v>
      </c>
      <c r="T78">
        <v>71.272777777777804</v>
      </c>
      <c r="U78">
        <v>49.796750000000003</v>
      </c>
    </row>
    <row r="79" spans="1:21" x14ac:dyDescent="0.2">
      <c r="A79" t="s">
        <v>243</v>
      </c>
      <c r="B79" t="s">
        <v>244</v>
      </c>
      <c r="C79">
        <v>60.317517997198898</v>
      </c>
      <c r="D79">
        <v>121</v>
      </c>
      <c r="E79">
        <v>61.27</v>
      </c>
      <c r="F79">
        <v>52.044125000000001</v>
      </c>
      <c r="G79">
        <v>62.275142857142903</v>
      </c>
      <c r="H79">
        <v>82.913499999999999</v>
      </c>
      <c r="I79">
        <v>33.89425</v>
      </c>
      <c r="J79">
        <v>58.575000000000003</v>
      </c>
      <c r="K79">
        <v>68.736249999999998</v>
      </c>
      <c r="L79">
        <v>70.146500000000003</v>
      </c>
      <c r="M79">
        <v>44.665500000000002</v>
      </c>
      <c r="N79">
        <v>38.450499999999998</v>
      </c>
      <c r="O79">
        <v>50.341250000000002</v>
      </c>
      <c r="P79">
        <v>96.200571428571394</v>
      </c>
      <c r="Q79">
        <v>96.217333333333301</v>
      </c>
      <c r="R79">
        <v>54.5073333333333</v>
      </c>
      <c r="S79">
        <v>50.628799999999998</v>
      </c>
      <c r="T79">
        <v>54.347000000000001</v>
      </c>
      <c r="U79">
        <v>50.184750000000001</v>
      </c>
    </row>
    <row r="80" spans="1:21" x14ac:dyDescent="0.2">
      <c r="A80" t="s">
        <v>53</v>
      </c>
      <c r="B80" t="s">
        <v>54</v>
      </c>
      <c r="C80">
        <v>80.662983193277299</v>
      </c>
      <c r="D80">
        <v>9</v>
      </c>
      <c r="E80">
        <v>99.787999999999997</v>
      </c>
      <c r="F80">
        <v>76.155500000000004</v>
      </c>
      <c r="G80">
        <v>94.505928571428598</v>
      </c>
      <c r="H80">
        <v>99.828666666666706</v>
      </c>
      <c r="I80">
        <v>76.410749999999993</v>
      </c>
      <c r="J80">
        <v>85.644599999999997</v>
      </c>
      <c r="K80">
        <v>74.744</v>
      </c>
      <c r="L80">
        <v>89.215333333333305</v>
      </c>
      <c r="M80">
        <v>83.291333333333299</v>
      </c>
      <c r="N80">
        <v>89.194500000000005</v>
      </c>
      <c r="O80">
        <v>89.971999999999994</v>
      </c>
      <c r="P80">
        <v>57.4312857142857</v>
      </c>
      <c r="Q80">
        <v>55.387999999999998</v>
      </c>
      <c r="R80">
        <v>72.364166666666705</v>
      </c>
      <c r="S80">
        <v>88.088200000000001</v>
      </c>
      <c r="T80">
        <v>88.517700000000005</v>
      </c>
      <c r="U80">
        <v>50.73075</v>
      </c>
    </row>
    <row r="81" spans="1:21" x14ac:dyDescent="0.2">
      <c r="A81" t="s">
        <v>191</v>
      </c>
      <c r="B81" t="s">
        <v>192</v>
      </c>
      <c r="C81">
        <v>68.587599579831902</v>
      </c>
      <c r="D81">
        <v>88</v>
      </c>
      <c r="E81">
        <v>97.418000000000006</v>
      </c>
      <c r="F81">
        <v>63.391624999999998</v>
      </c>
      <c r="G81">
        <v>80.293142857142897</v>
      </c>
      <c r="H81">
        <v>77.097999999999999</v>
      </c>
      <c r="I81">
        <v>42.322499999999998</v>
      </c>
      <c r="J81">
        <v>60.991199999999999</v>
      </c>
      <c r="K81">
        <v>64.319000000000003</v>
      </c>
      <c r="L81">
        <v>52.331499999999998</v>
      </c>
      <c r="M81">
        <v>66.410166666666697</v>
      </c>
      <c r="N81">
        <v>47.327500000000001</v>
      </c>
      <c r="O81">
        <v>74.262500000000003</v>
      </c>
      <c r="P81">
        <v>89.995000000000005</v>
      </c>
      <c r="Q81">
        <v>78.927666666666696</v>
      </c>
      <c r="R81">
        <v>80.765166666666701</v>
      </c>
      <c r="S81">
        <v>67.495599999999996</v>
      </c>
      <c r="T81">
        <v>62.622875000000001</v>
      </c>
      <c r="U81">
        <v>60.017749999999999</v>
      </c>
    </row>
    <row r="82" spans="1:21" x14ac:dyDescent="0.2">
      <c r="A82" t="s">
        <v>229</v>
      </c>
      <c r="B82" t="s">
        <v>230</v>
      </c>
      <c r="C82">
        <v>62.252572128851597</v>
      </c>
      <c r="D82">
        <v>115</v>
      </c>
      <c r="E82">
        <v>71.388000000000005</v>
      </c>
      <c r="F82">
        <v>47.319285714285698</v>
      </c>
      <c r="G82">
        <v>63.146214285714301</v>
      </c>
      <c r="H82">
        <v>52.405500000000004</v>
      </c>
      <c r="I82">
        <v>35.915500000000002</v>
      </c>
      <c r="J82">
        <v>73.936999999999998</v>
      </c>
      <c r="K82">
        <v>64.058499999999995</v>
      </c>
      <c r="L82">
        <v>49.597000000000001</v>
      </c>
      <c r="M82">
        <v>33.6011666666667</v>
      </c>
      <c r="N82">
        <v>91.495500000000007</v>
      </c>
      <c r="O82">
        <v>55.544750000000001</v>
      </c>
      <c r="P82">
        <v>88.671333333333294</v>
      </c>
      <c r="Q82">
        <v>81.676500000000004</v>
      </c>
      <c r="R82">
        <v>60.558</v>
      </c>
      <c r="S82">
        <v>52.533000000000001</v>
      </c>
      <c r="T82">
        <v>67.241142857142904</v>
      </c>
      <c r="U82">
        <v>69.2053333333333</v>
      </c>
    </row>
    <row r="83" spans="1:21" x14ac:dyDescent="0.2">
      <c r="A83" t="s">
        <v>77</v>
      </c>
      <c r="B83" t="s">
        <v>78</v>
      </c>
      <c r="C83">
        <v>78.868054575163399</v>
      </c>
      <c r="D83">
        <v>22</v>
      </c>
      <c r="E83">
        <v>99.831000000000003</v>
      </c>
      <c r="F83">
        <v>58.2358571428571</v>
      </c>
      <c r="G83">
        <v>96.904785714285694</v>
      </c>
      <c r="H83">
        <v>97.295000000000002</v>
      </c>
      <c r="I83">
        <v>85.415666666666695</v>
      </c>
      <c r="J83">
        <v>62.826599999999999</v>
      </c>
      <c r="K83">
        <v>99.555000000000007</v>
      </c>
      <c r="L83">
        <v>76.547250000000005</v>
      </c>
      <c r="M83">
        <v>85.955166666666699</v>
      </c>
      <c r="N83">
        <v>100</v>
      </c>
      <c r="O83">
        <v>90.421999999999997</v>
      </c>
      <c r="P83">
        <v>51.633857142857202</v>
      </c>
      <c r="Q83">
        <v>52.326666666666704</v>
      </c>
      <c r="R83">
        <v>62.928800000000003</v>
      </c>
      <c r="S83">
        <v>54.295749999999998</v>
      </c>
      <c r="T83">
        <v>94.469777777777793</v>
      </c>
      <c r="U83">
        <v>72.113749999999996</v>
      </c>
    </row>
    <row r="84" spans="1:21" x14ac:dyDescent="0.2">
      <c r="A84" t="s">
        <v>115</v>
      </c>
      <c r="B84" t="s">
        <v>116</v>
      </c>
      <c r="C84">
        <v>73.505148692810494</v>
      </c>
      <c r="D84">
        <v>49</v>
      </c>
      <c r="E84">
        <v>99.256500000000003</v>
      </c>
      <c r="F84">
        <v>61.954250000000002</v>
      </c>
      <c r="G84">
        <v>95.188000000000002</v>
      </c>
      <c r="H84">
        <v>99.516333333333293</v>
      </c>
      <c r="I84">
        <v>75.344250000000002</v>
      </c>
      <c r="J84">
        <v>69.782200000000003</v>
      </c>
      <c r="K84">
        <v>70.91</v>
      </c>
      <c r="L84">
        <v>82.382999999999996</v>
      </c>
      <c r="M84">
        <v>93.821666666666701</v>
      </c>
      <c r="N84">
        <v>68.802999999999997</v>
      </c>
      <c r="O84">
        <v>87.872749999999996</v>
      </c>
      <c r="P84">
        <v>70.882999999999996</v>
      </c>
      <c r="Q84">
        <v>57.447000000000003</v>
      </c>
      <c r="R84">
        <v>32.401000000000003</v>
      </c>
      <c r="S84">
        <v>49.729799999999997</v>
      </c>
      <c r="T84">
        <v>73.252777777777794</v>
      </c>
      <c r="U84">
        <v>61.042000000000002</v>
      </c>
    </row>
    <row r="85" spans="1:21" x14ac:dyDescent="0.2">
      <c r="A85" t="s">
        <v>67</v>
      </c>
      <c r="B85" t="s">
        <v>68</v>
      </c>
      <c r="C85">
        <v>78.337419047619093</v>
      </c>
      <c r="D85">
        <v>25</v>
      </c>
      <c r="E85">
        <v>98.112499999999997</v>
      </c>
      <c r="F85">
        <v>71.017750000000007</v>
      </c>
      <c r="G85">
        <v>94.088714285714303</v>
      </c>
      <c r="H85">
        <v>94.07</v>
      </c>
      <c r="I85">
        <v>73.406750000000002</v>
      </c>
      <c r="J85">
        <v>82.2684</v>
      </c>
      <c r="K85">
        <v>78.21275</v>
      </c>
      <c r="L85">
        <v>74.443833333333302</v>
      </c>
      <c r="M85">
        <v>83.254833333333295</v>
      </c>
      <c r="N85">
        <v>76.918999999999997</v>
      </c>
      <c r="O85">
        <v>73.558000000000007</v>
      </c>
      <c r="P85">
        <v>75.936142857142897</v>
      </c>
      <c r="Q85">
        <v>76.317999999999998</v>
      </c>
      <c r="R85">
        <v>56.697499999999998</v>
      </c>
      <c r="S85">
        <v>79.745000000000005</v>
      </c>
      <c r="T85">
        <v>78.655199999999994</v>
      </c>
      <c r="U85">
        <v>65.031750000000002</v>
      </c>
    </row>
    <row r="86" spans="1:21" x14ac:dyDescent="0.2">
      <c r="A86" t="s">
        <v>183</v>
      </c>
      <c r="B86" t="s">
        <v>184</v>
      </c>
      <c r="C86">
        <v>69.015958193277299</v>
      </c>
      <c r="D86">
        <v>83</v>
      </c>
      <c r="E86">
        <v>84.290999999999997</v>
      </c>
      <c r="F86">
        <v>55.550125000000001</v>
      </c>
      <c r="G86">
        <v>79.107428571428599</v>
      </c>
      <c r="H86">
        <v>81.116249999999994</v>
      </c>
      <c r="I86">
        <v>77.583250000000007</v>
      </c>
      <c r="J86">
        <v>70.688199999999995</v>
      </c>
      <c r="K86">
        <v>65.127750000000006</v>
      </c>
      <c r="L86">
        <v>72.284833333333296</v>
      </c>
      <c r="M86">
        <v>42.508666666666699</v>
      </c>
      <c r="N86">
        <v>49.295999999999999</v>
      </c>
      <c r="O86">
        <v>68.305999999999997</v>
      </c>
      <c r="P86">
        <v>87.555285714285702</v>
      </c>
      <c r="Q86">
        <v>89.5476666666667</v>
      </c>
      <c r="R86">
        <v>66.266333333333293</v>
      </c>
      <c r="S86">
        <v>50.045400000000001</v>
      </c>
      <c r="T86">
        <v>66.156099999999995</v>
      </c>
      <c r="U86">
        <v>67.840999999999994</v>
      </c>
    </row>
    <row r="87" spans="1:21" x14ac:dyDescent="0.2">
      <c r="A87" t="s">
        <v>173</v>
      </c>
      <c r="B87" t="s">
        <v>174</v>
      </c>
      <c r="C87">
        <v>69.411817997198895</v>
      </c>
      <c r="D87">
        <v>80</v>
      </c>
      <c r="E87">
        <v>98.9375</v>
      </c>
      <c r="F87">
        <v>59.259124999999997</v>
      </c>
      <c r="G87">
        <v>75.007785714285703</v>
      </c>
      <c r="H87">
        <v>59.204250000000002</v>
      </c>
      <c r="I87">
        <v>40.594999999999999</v>
      </c>
      <c r="J87">
        <v>58.089799999999997</v>
      </c>
      <c r="K87">
        <v>72.5</v>
      </c>
      <c r="L87">
        <v>57.594833333333298</v>
      </c>
      <c r="M87">
        <v>55.514166666666704</v>
      </c>
      <c r="N87">
        <v>77.049000000000007</v>
      </c>
      <c r="O87">
        <v>75.206999999999994</v>
      </c>
      <c r="P87">
        <v>91.510428571428605</v>
      </c>
      <c r="Q87">
        <v>89.127666666666698</v>
      </c>
      <c r="R87">
        <v>78.98</v>
      </c>
      <c r="S87">
        <v>55.186500000000002</v>
      </c>
      <c r="T87">
        <v>77.414599999999993</v>
      </c>
      <c r="U87">
        <v>58.823250000000002</v>
      </c>
    </row>
    <row r="88" spans="1:21" x14ac:dyDescent="0.2">
      <c r="A88" t="s">
        <v>61</v>
      </c>
      <c r="B88" t="s">
        <v>62</v>
      </c>
      <c r="C88">
        <v>79.581691176470599</v>
      </c>
      <c r="D88">
        <v>19</v>
      </c>
      <c r="E88">
        <v>99.229500000000002</v>
      </c>
      <c r="F88">
        <v>75.309250000000006</v>
      </c>
      <c r="G88">
        <v>94.756785714285698</v>
      </c>
      <c r="H88">
        <v>97.606999999999999</v>
      </c>
      <c r="I88">
        <v>61.607750000000003</v>
      </c>
      <c r="J88">
        <v>85.892799999999994</v>
      </c>
      <c r="K88">
        <v>72.055499999999995</v>
      </c>
      <c r="L88">
        <v>86.756833333333404</v>
      </c>
      <c r="M88">
        <v>93.738333333333301</v>
      </c>
      <c r="N88">
        <v>80.519499999999994</v>
      </c>
      <c r="O88">
        <v>86.915000000000006</v>
      </c>
      <c r="P88">
        <v>67.259714285714296</v>
      </c>
      <c r="Q88">
        <v>69.124666666666698</v>
      </c>
      <c r="R88">
        <v>55.108166666666698</v>
      </c>
      <c r="S88">
        <v>63.863</v>
      </c>
      <c r="T88">
        <v>90.359200000000001</v>
      </c>
      <c r="U88">
        <v>72.785749999999993</v>
      </c>
    </row>
    <row r="89" spans="1:21" x14ac:dyDescent="0.2">
      <c r="A89" t="s">
        <v>151</v>
      </c>
      <c r="B89" t="s">
        <v>152</v>
      </c>
      <c r="C89">
        <v>71.1359472901282</v>
      </c>
      <c r="D89">
        <v>65</v>
      </c>
      <c r="E89">
        <v>99.960999999999999</v>
      </c>
      <c r="F89">
        <v>59.170124999999999</v>
      </c>
      <c r="G89">
        <v>80.255428571428595</v>
      </c>
      <c r="H89">
        <v>86.190749999999994</v>
      </c>
      <c r="I89">
        <v>71.562250000000006</v>
      </c>
      <c r="J89">
        <v>75.132599999999996</v>
      </c>
      <c r="K89">
        <v>62.997999999999998</v>
      </c>
      <c r="L89">
        <v>71.113833333333304</v>
      </c>
      <c r="M89">
        <v>46.426000000000002</v>
      </c>
      <c r="N89">
        <v>96.983500000000006</v>
      </c>
      <c r="O89">
        <v>78.781999999999996</v>
      </c>
      <c r="P89">
        <v>85.343285714285699</v>
      </c>
      <c r="Q89">
        <v>52.645333333333298</v>
      </c>
      <c r="S89">
        <v>57.315600000000003</v>
      </c>
      <c r="T89">
        <v>68.726222222222205</v>
      </c>
      <c r="U89">
        <v>54.515500000000003</v>
      </c>
    </row>
    <row r="90" spans="1:21" x14ac:dyDescent="0.2">
      <c r="A90" t="s">
        <v>265</v>
      </c>
      <c r="B90" t="s">
        <v>266</v>
      </c>
      <c r="C90">
        <v>60.9574797385621</v>
      </c>
      <c r="D90">
        <v>118</v>
      </c>
      <c r="E90">
        <v>45.471499999999999</v>
      </c>
      <c r="F90">
        <v>56.941249999999997</v>
      </c>
      <c r="G90">
        <v>51.480357142857201</v>
      </c>
      <c r="H90">
        <v>57.286000000000001</v>
      </c>
      <c r="I90">
        <v>68.6995</v>
      </c>
      <c r="J90">
        <v>46.762</v>
      </c>
      <c r="K90">
        <v>64.637249999999995</v>
      </c>
      <c r="L90">
        <v>70.081000000000003</v>
      </c>
      <c r="M90">
        <v>36.332333333333303</v>
      </c>
      <c r="N90">
        <v>49.548999999999999</v>
      </c>
      <c r="O90">
        <v>57.335250000000002</v>
      </c>
      <c r="P90">
        <v>95.863142857142904</v>
      </c>
      <c r="Q90">
        <v>98.146000000000001</v>
      </c>
      <c r="R90">
        <v>71.675833333333301</v>
      </c>
      <c r="S90">
        <v>59.040599999999998</v>
      </c>
      <c r="T90">
        <v>57.104888888888901</v>
      </c>
      <c r="U90">
        <v>49.871250000000003</v>
      </c>
    </row>
    <row r="91" spans="1:21" x14ac:dyDescent="0.2">
      <c r="A91" t="s">
        <v>109</v>
      </c>
      <c r="B91" t="s">
        <v>110</v>
      </c>
      <c r="C91">
        <v>73.723342551566105</v>
      </c>
      <c r="D91">
        <v>48</v>
      </c>
      <c r="E91">
        <v>85.694000000000003</v>
      </c>
      <c r="F91">
        <v>61.6164285714286</v>
      </c>
      <c r="G91">
        <v>74.837500000000006</v>
      </c>
      <c r="H91">
        <v>94.858500000000006</v>
      </c>
      <c r="I91">
        <v>58.907249999999998</v>
      </c>
      <c r="J91">
        <v>66.467399999999998</v>
      </c>
      <c r="K91">
        <v>80.008750000000006</v>
      </c>
      <c r="L91">
        <v>61.195333333333302</v>
      </c>
      <c r="M91">
        <v>32.392499999999998</v>
      </c>
      <c r="N91">
        <v>93.495000000000005</v>
      </c>
      <c r="O91">
        <v>85.107249999999993</v>
      </c>
      <c r="P91">
        <v>94.878285714285695</v>
      </c>
      <c r="Q91">
        <v>93.186000000000007</v>
      </c>
      <c r="S91">
        <v>70.873000000000005</v>
      </c>
      <c r="T91">
        <v>67.526200000000003</v>
      </c>
      <c r="U91">
        <v>70.063749999999999</v>
      </c>
    </row>
    <row r="92" spans="1:21" x14ac:dyDescent="0.2">
      <c r="A92" t="s">
        <v>225</v>
      </c>
      <c r="B92" t="s">
        <v>226</v>
      </c>
      <c r="C92">
        <v>63.753397776610598</v>
      </c>
      <c r="D92">
        <v>107</v>
      </c>
      <c r="E92">
        <v>73.484499999999997</v>
      </c>
      <c r="F92">
        <v>66.332374999999999</v>
      </c>
      <c r="G92">
        <v>63.3698571428571</v>
      </c>
      <c r="H92">
        <v>66.464250000000007</v>
      </c>
      <c r="I92">
        <v>55.15</v>
      </c>
      <c r="J92">
        <v>62.851199999999999</v>
      </c>
      <c r="K92">
        <v>71.176000000000002</v>
      </c>
      <c r="L92">
        <v>55.488666666666703</v>
      </c>
      <c r="M92">
        <v>26.400833333333299</v>
      </c>
      <c r="O92">
        <v>71.103499999999997</v>
      </c>
      <c r="P92">
        <v>96.786857142857102</v>
      </c>
      <c r="Q92">
        <v>94.315333333333299</v>
      </c>
      <c r="R92">
        <v>54.986333333333299</v>
      </c>
      <c r="S92">
        <v>48.989600000000003</v>
      </c>
      <c r="T92">
        <v>60.074800000000003</v>
      </c>
      <c r="U92">
        <v>52.4985</v>
      </c>
    </row>
    <row r="93" spans="1:21" x14ac:dyDescent="0.2">
      <c r="A93" t="s">
        <v>369</v>
      </c>
      <c r="B93" t="s">
        <v>370</v>
      </c>
    </row>
    <row r="94" spans="1:21" x14ac:dyDescent="0.2">
      <c r="A94" t="s">
        <v>371</v>
      </c>
      <c r="B94" t="s">
        <v>372</v>
      </c>
    </row>
    <row r="95" spans="1:21" x14ac:dyDescent="0.2">
      <c r="A95" t="s">
        <v>81</v>
      </c>
      <c r="B95" t="s">
        <v>82</v>
      </c>
      <c r="C95">
        <v>77.895219164332403</v>
      </c>
      <c r="D95">
        <v>27</v>
      </c>
      <c r="E95">
        <v>99.3125</v>
      </c>
      <c r="F95">
        <v>82.463374999999999</v>
      </c>
      <c r="G95">
        <v>92.027928571428603</v>
      </c>
      <c r="H95">
        <v>94.869749999999996</v>
      </c>
      <c r="I95">
        <v>65.193250000000006</v>
      </c>
      <c r="J95">
        <v>74.840800000000002</v>
      </c>
      <c r="K95">
        <v>70.427999999999997</v>
      </c>
      <c r="L95">
        <v>83.1666666666667</v>
      </c>
      <c r="M95">
        <v>98.843666666666707</v>
      </c>
      <c r="N95">
        <v>80.132000000000005</v>
      </c>
      <c r="O95">
        <v>88.655666666666704</v>
      </c>
      <c r="P95">
        <v>78.888000000000005</v>
      </c>
      <c r="Q95">
        <v>65.885000000000005</v>
      </c>
      <c r="R95">
        <v>53.210166666666701</v>
      </c>
      <c r="S95">
        <v>54.601399999999998</v>
      </c>
      <c r="T95">
        <v>78.492555555555597</v>
      </c>
      <c r="U95">
        <v>63.207999999999998</v>
      </c>
    </row>
    <row r="96" spans="1:21" x14ac:dyDescent="0.2">
      <c r="A96" t="s">
        <v>235</v>
      </c>
      <c r="B96" t="s">
        <v>236</v>
      </c>
      <c r="C96">
        <v>64.5309470460912</v>
      </c>
      <c r="D96">
        <v>101</v>
      </c>
      <c r="F96">
        <v>70.010249999999999</v>
      </c>
      <c r="G96">
        <v>83.889785714285694</v>
      </c>
      <c r="H96">
        <v>84.024000000000001</v>
      </c>
      <c r="I96">
        <v>53.599499999999999</v>
      </c>
      <c r="J96">
        <v>57.019399999999997</v>
      </c>
      <c r="K96">
        <v>68.809250000000006</v>
      </c>
      <c r="L96">
        <v>55.648249999999997</v>
      </c>
      <c r="M96">
        <v>61.707999999999998</v>
      </c>
      <c r="O96">
        <v>48.753500000000003</v>
      </c>
      <c r="P96">
        <v>63.749285714285698</v>
      </c>
      <c r="Q96">
        <v>20.280666666666701</v>
      </c>
      <c r="R96">
        <v>51.447400000000002</v>
      </c>
      <c r="S96">
        <v>52.753333333333302</v>
      </c>
      <c r="T96">
        <v>79.944857142857103</v>
      </c>
      <c r="U96">
        <v>75.945666666666696</v>
      </c>
    </row>
    <row r="97" spans="1:21" x14ac:dyDescent="0.2">
      <c r="A97" t="s">
        <v>249</v>
      </c>
      <c r="B97" t="s">
        <v>250</v>
      </c>
      <c r="C97">
        <v>63.392735158730197</v>
      </c>
      <c r="D97">
        <v>111</v>
      </c>
      <c r="E97">
        <v>57.194499999999998</v>
      </c>
      <c r="F97">
        <v>61.336374999999997</v>
      </c>
      <c r="G97">
        <v>53.456214285714303</v>
      </c>
      <c r="H97">
        <v>69.187250000000006</v>
      </c>
      <c r="I97">
        <v>72.858500000000006</v>
      </c>
      <c r="J97">
        <v>69.163600000000002</v>
      </c>
      <c r="K97">
        <v>73.017750000000007</v>
      </c>
      <c r="L97">
        <v>69.4846</v>
      </c>
      <c r="M97">
        <v>20.483333333333299</v>
      </c>
      <c r="N97">
        <v>63.459499999999998</v>
      </c>
      <c r="O97">
        <v>77.328749999999999</v>
      </c>
      <c r="P97">
        <v>95.975714285714304</v>
      </c>
      <c r="Q97">
        <v>88.273666666666699</v>
      </c>
      <c r="S97">
        <v>45.462200000000003</v>
      </c>
      <c r="T97">
        <v>45.703428571428603</v>
      </c>
      <c r="U97">
        <v>54.934333333333299</v>
      </c>
    </row>
    <row r="98" spans="1:21" x14ac:dyDescent="0.2">
      <c r="A98" t="s">
        <v>209</v>
      </c>
      <c r="B98" t="s">
        <v>210</v>
      </c>
      <c r="C98">
        <v>66.299341526610704</v>
      </c>
      <c r="D98">
        <v>97</v>
      </c>
      <c r="E98">
        <v>99.506500000000003</v>
      </c>
      <c r="F98">
        <v>56.177124999999997</v>
      </c>
      <c r="G98">
        <v>75.0667857142857</v>
      </c>
      <c r="H98">
        <v>99.546999999999997</v>
      </c>
      <c r="I98">
        <v>41.794249999999998</v>
      </c>
      <c r="J98">
        <v>68.4422</v>
      </c>
      <c r="K98">
        <v>62.057333333333297</v>
      </c>
      <c r="L98">
        <v>52.119</v>
      </c>
      <c r="M98">
        <v>58.471600000000002</v>
      </c>
      <c r="N98">
        <v>84.4435</v>
      </c>
      <c r="O98">
        <v>40.625999999999998</v>
      </c>
      <c r="P98">
        <v>87.1284285714286</v>
      </c>
      <c r="Q98">
        <v>85.471000000000004</v>
      </c>
      <c r="R98">
        <v>59.242800000000003</v>
      </c>
      <c r="S98">
        <v>62.105200000000004</v>
      </c>
      <c r="T98">
        <v>55.565333333333299</v>
      </c>
      <c r="U98">
        <v>39.324750000000002</v>
      </c>
    </row>
    <row r="99" spans="1:21" x14ac:dyDescent="0.2">
      <c r="A99" t="s">
        <v>333</v>
      </c>
      <c r="B99" t="s">
        <v>334</v>
      </c>
      <c r="C99">
        <v>49.891075210083997</v>
      </c>
      <c r="D99">
        <v>158</v>
      </c>
      <c r="E99">
        <v>21.204999999999998</v>
      </c>
      <c r="F99">
        <v>45.977428571428597</v>
      </c>
      <c r="G99">
        <v>38.688499999999998</v>
      </c>
      <c r="H99">
        <v>42.932499999999997</v>
      </c>
      <c r="I99">
        <v>39.922249999999998</v>
      </c>
      <c r="J99">
        <v>53.002000000000002</v>
      </c>
      <c r="K99">
        <v>17.751000000000001</v>
      </c>
      <c r="L99">
        <v>58.054833333333299</v>
      </c>
      <c r="M99">
        <v>7.6971666666666696</v>
      </c>
      <c r="N99">
        <v>72.107500000000002</v>
      </c>
      <c r="O99">
        <v>28.239000000000001</v>
      </c>
      <c r="P99">
        <v>97.712000000000003</v>
      </c>
      <c r="Q99">
        <v>98.584999999999994</v>
      </c>
      <c r="R99">
        <v>83.066000000000003</v>
      </c>
      <c r="S99">
        <v>46.238199999999999</v>
      </c>
      <c r="T99">
        <v>49.5929</v>
      </c>
      <c r="U99">
        <v>47.377000000000002</v>
      </c>
    </row>
    <row r="100" spans="1:21" x14ac:dyDescent="0.2">
      <c r="A100" t="s">
        <v>373</v>
      </c>
      <c r="B100" t="s">
        <v>374</v>
      </c>
    </row>
    <row r="101" spans="1:21" x14ac:dyDescent="0.2">
      <c r="A101" t="s">
        <v>375</v>
      </c>
      <c r="B101" t="s">
        <v>376</v>
      </c>
    </row>
    <row r="102" spans="1:21" x14ac:dyDescent="0.2">
      <c r="A102" t="s">
        <v>377</v>
      </c>
      <c r="B102" t="s">
        <v>378</v>
      </c>
    </row>
    <row r="103" spans="1:21" x14ac:dyDescent="0.2">
      <c r="A103" t="s">
        <v>185</v>
      </c>
      <c r="B103" t="s">
        <v>186</v>
      </c>
      <c r="C103">
        <v>70.033275980392204</v>
      </c>
      <c r="D103">
        <v>76</v>
      </c>
      <c r="E103">
        <v>92.646000000000001</v>
      </c>
      <c r="F103">
        <v>62.431375000000003</v>
      </c>
      <c r="G103">
        <v>78.789500000000004</v>
      </c>
      <c r="H103">
        <v>98.155000000000001</v>
      </c>
      <c r="I103">
        <v>51.860999999999997</v>
      </c>
      <c r="J103">
        <v>50.194000000000003</v>
      </c>
      <c r="K103">
        <v>71.815749999999994</v>
      </c>
      <c r="L103">
        <v>76.108000000000004</v>
      </c>
      <c r="M103">
        <v>37.484666666666698</v>
      </c>
      <c r="N103">
        <v>53.411999999999999</v>
      </c>
      <c r="O103">
        <v>81.575999999999993</v>
      </c>
      <c r="P103">
        <v>93.864000000000004</v>
      </c>
      <c r="Q103">
        <v>94.763000000000005</v>
      </c>
      <c r="R103">
        <v>75.471999999999994</v>
      </c>
      <c r="S103">
        <v>56.253399999999999</v>
      </c>
      <c r="T103">
        <v>65.9465</v>
      </c>
      <c r="U103">
        <v>49.793500000000002</v>
      </c>
    </row>
    <row r="104" spans="1:21" x14ac:dyDescent="0.2">
      <c r="A104" t="s">
        <v>305</v>
      </c>
      <c r="B104" t="s">
        <v>306</v>
      </c>
      <c r="C104">
        <v>55.056224774354199</v>
      </c>
      <c r="D104">
        <v>135</v>
      </c>
      <c r="E104">
        <v>29.57</v>
      </c>
      <c r="F104">
        <v>53.372750000000003</v>
      </c>
      <c r="G104">
        <v>23.5539285714286</v>
      </c>
      <c r="H104">
        <v>54.226999999999997</v>
      </c>
      <c r="I104">
        <v>74.136250000000004</v>
      </c>
      <c r="J104">
        <v>49.726999999999997</v>
      </c>
      <c r="K104">
        <v>31.460333333333299</v>
      </c>
      <c r="L104">
        <v>50.226999999999997</v>
      </c>
      <c r="M104">
        <v>20.753166666666701</v>
      </c>
      <c r="N104">
        <v>27.462</v>
      </c>
      <c r="O104">
        <v>61.79325</v>
      </c>
      <c r="P104">
        <v>96.614599999999996</v>
      </c>
      <c r="Q104">
        <v>97.452500000000001</v>
      </c>
      <c r="S104">
        <v>74.212999999999994</v>
      </c>
      <c r="T104">
        <v>45.197555555555603</v>
      </c>
      <c r="U104">
        <v>78.197500000000005</v>
      </c>
    </row>
    <row r="105" spans="1:21" x14ac:dyDescent="0.2">
      <c r="A105" t="s">
        <v>93</v>
      </c>
      <c r="B105" t="s">
        <v>94</v>
      </c>
      <c r="C105">
        <v>75.424512324930006</v>
      </c>
      <c r="D105">
        <v>39</v>
      </c>
      <c r="E105">
        <v>98.964500000000001</v>
      </c>
      <c r="F105">
        <v>63.765500000000003</v>
      </c>
      <c r="G105">
        <v>84.969928571428596</v>
      </c>
      <c r="H105">
        <v>98.409000000000006</v>
      </c>
      <c r="I105">
        <v>74.363500000000002</v>
      </c>
      <c r="J105">
        <v>80.342200000000005</v>
      </c>
      <c r="K105">
        <v>63.959000000000003</v>
      </c>
      <c r="L105">
        <v>78.173000000000002</v>
      </c>
      <c r="M105">
        <v>69.832999999999998</v>
      </c>
      <c r="N105">
        <v>70.325500000000005</v>
      </c>
      <c r="O105">
        <v>84.03725</v>
      </c>
      <c r="P105">
        <v>61.922714285714299</v>
      </c>
      <c r="Q105">
        <v>58.186666666666703</v>
      </c>
      <c r="R105">
        <v>68.044799999999995</v>
      </c>
      <c r="S105">
        <v>95.136799999999994</v>
      </c>
      <c r="T105">
        <v>78.002600000000001</v>
      </c>
      <c r="U105">
        <v>53.780749999999998</v>
      </c>
    </row>
    <row r="106" spans="1:21" x14ac:dyDescent="0.2">
      <c r="A106" t="s">
        <v>85</v>
      </c>
      <c r="B106" t="s">
        <v>86</v>
      </c>
      <c r="C106">
        <v>75.744223468137307</v>
      </c>
      <c r="D106">
        <v>36</v>
      </c>
      <c r="E106">
        <v>99.493499999999997</v>
      </c>
      <c r="F106">
        <v>59.691375000000001</v>
      </c>
      <c r="G106">
        <v>95.570142857142898</v>
      </c>
      <c r="H106">
        <v>99.433999999999997</v>
      </c>
      <c r="I106">
        <v>78.651333333333298</v>
      </c>
      <c r="J106">
        <v>81.763000000000005</v>
      </c>
      <c r="K106">
        <v>52.639499999999998</v>
      </c>
      <c r="L106">
        <v>73.861999999999995</v>
      </c>
      <c r="M106">
        <v>87.040666666666695</v>
      </c>
      <c r="N106">
        <v>82.310500000000005</v>
      </c>
      <c r="O106">
        <v>97.553250000000006</v>
      </c>
      <c r="P106">
        <v>46.705857142857198</v>
      </c>
      <c r="Q106">
        <v>44.901666666666699</v>
      </c>
      <c r="S106">
        <v>66.4054</v>
      </c>
      <c r="T106">
        <v>90.261799999999994</v>
      </c>
      <c r="U106">
        <v>67.654499999999999</v>
      </c>
    </row>
    <row r="107" spans="1:21" x14ac:dyDescent="0.2">
      <c r="A107" t="s">
        <v>47</v>
      </c>
      <c r="B107" t="s">
        <v>48</v>
      </c>
      <c r="C107">
        <v>80.279020658263306</v>
      </c>
      <c r="D107">
        <v>14</v>
      </c>
      <c r="E107">
        <v>99.352500000000006</v>
      </c>
      <c r="F107">
        <v>65.087625000000003</v>
      </c>
      <c r="G107">
        <v>84.241714285714295</v>
      </c>
      <c r="H107">
        <v>97.478750000000005</v>
      </c>
      <c r="I107">
        <v>78.050749999999994</v>
      </c>
      <c r="J107">
        <v>89.5124</v>
      </c>
      <c r="K107">
        <v>89.927750000000003</v>
      </c>
      <c r="L107">
        <v>83.585333333333296</v>
      </c>
      <c r="M107">
        <v>72.489666666666693</v>
      </c>
      <c r="N107">
        <v>74.296000000000006</v>
      </c>
      <c r="O107">
        <v>87.908749999999998</v>
      </c>
      <c r="P107">
        <v>71.6284285714286</v>
      </c>
      <c r="Q107">
        <v>63.213333333333303</v>
      </c>
      <c r="R107">
        <v>80.545000000000002</v>
      </c>
      <c r="S107">
        <v>97.858400000000003</v>
      </c>
      <c r="T107">
        <v>82.359200000000001</v>
      </c>
      <c r="U107">
        <v>47.207749999999997</v>
      </c>
    </row>
    <row r="108" spans="1:21" x14ac:dyDescent="0.2">
      <c r="A108" t="s">
        <v>159</v>
      </c>
      <c r="B108" t="s">
        <v>160</v>
      </c>
      <c r="C108">
        <v>68.9807887254902</v>
      </c>
      <c r="D108">
        <v>84</v>
      </c>
      <c r="E108">
        <v>94.843000000000004</v>
      </c>
      <c r="F108">
        <v>62.530374999999999</v>
      </c>
      <c r="G108">
        <v>74.627857142857096</v>
      </c>
      <c r="H108">
        <v>78.530500000000004</v>
      </c>
      <c r="I108">
        <v>42.777000000000001</v>
      </c>
      <c r="J108">
        <v>64.547600000000003</v>
      </c>
      <c r="K108">
        <v>70.516999999999996</v>
      </c>
      <c r="L108">
        <v>61.002666666666698</v>
      </c>
      <c r="M108">
        <v>45.660333333333298</v>
      </c>
      <c r="N108">
        <v>53.942500000000003</v>
      </c>
      <c r="O108">
        <v>75.521249999999995</v>
      </c>
      <c r="P108">
        <v>93.384142857142805</v>
      </c>
      <c r="Q108">
        <v>93.451333333333395</v>
      </c>
      <c r="R108">
        <v>56.939</v>
      </c>
      <c r="S108">
        <v>69.233599999999996</v>
      </c>
      <c r="T108">
        <v>73.638999999999996</v>
      </c>
      <c r="U108">
        <v>61.526249999999997</v>
      </c>
    </row>
    <row r="109" spans="1:21" x14ac:dyDescent="0.2">
      <c r="A109" t="s">
        <v>379</v>
      </c>
      <c r="B109" t="s">
        <v>380</v>
      </c>
    </row>
    <row r="110" spans="1:21" x14ac:dyDescent="0.2">
      <c r="A110" t="s">
        <v>69</v>
      </c>
      <c r="B110" t="s">
        <v>70</v>
      </c>
      <c r="C110">
        <v>73.930670796197305</v>
      </c>
      <c r="D110">
        <v>46</v>
      </c>
      <c r="E110">
        <v>99.567499999999995</v>
      </c>
      <c r="F110">
        <v>58.847166666666702</v>
      </c>
      <c r="G110">
        <v>77.045785714285699</v>
      </c>
      <c r="H110">
        <v>99.361249999999998</v>
      </c>
      <c r="I110">
        <v>69.815749999999994</v>
      </c>
      <c r="J110">
        <v>72.185199999999995</v>
      </c>
      <c r="K110">
        <v>76.887249999999995</v>
      </c>
      <c r="L110">
        <v>67.698499999999996</v>
      </c>
      <c r="M110">
        <v>28.5215</v>
      </c>
      <c r="N110">
        <v>99.9375</v>
      </c>
      <c r="O110">
        <v>66.474000000000004</v>
      </c>
      <c r="P110">
        <v>85.288714285714306</v>
      </c>
      <c r="Q110">
        <v>88.894333333333293</v>
      </c>
      <c r="S110">
        <v>57.274000000000001</v>
      </c>
      <c r="T110">
        <v>72.954777777777807</v>
      </c>
      <c r="U110">
        <v>73.878500000000003</v>
      </c>
    </row>
    <row r="111" spans="1:21" x14ac:dyDescent="0.2">
      <c r="A111" t="s">
        <v>331</v>
      </c>
      <c r="B111" t="s">
        <v>332</v>
      </c>
      <c r="C111">
        <v>50.120448132586397</v>
      </c>
      <c r="D111">
        <v>156</v>
      </c>
      <c r="E111">
        <v>0</v>
      </c>
      <c r="F111">
        <v>56.932000000000002</v>
      </c>
      <c r="G111">
        <v>38.762</v>
      </c>
      <c r="H111">
        <v>54.226750000000003</v>
      </c>
      <c r="I111">
        <v>70.874750000000006</v>
      </c>
      <c r="J111">
        <v>44.8658</v>
      </c>
      <c r="K111">
        <v>27.5356666666667</v>
      </c>
      <c r="L111">
        <v>58.188000000000002</v>
      </c>
      <c r="M111">
        <v>9.6261666666666699</v>
      </c>
      <c r="N111">
        <v>40.17</v>
      </c>
      <c r="O111">
        <v>50.936</v>
      </c>
      <c r="P111">
        <v>97.477857142857204</v>
      </c>
      <c r="Q111">
        <v>99.215999999999994</v>
      </c>
      <c r="R111">
        <v>69.700833333333307</v>
      </c>
      <c r="S111">
        <v>47.9636</v>
      </c>
      <c r="T111">
        <v>43.385444444444403</v>
      </c>
      <c r="U111">
        <v>42.186750000000004</v>
      </c>
    </row>
    <row r="112" spans="1:21" x14ac:dyDescent="0.2">
      <c r="A112" t="s">
        <v>155</v>
      </c>
      <c r="B112" t="s">
        <v>156</v>
      </c>
      <c r="C112">
        <v>71.025625070027999</v>
      </c>
      <c r="D112">
        <v>67</v>
      </c>
      <c r="E112">
        <v>99.683000000000007</v>
      </c>
      <c r="F112">
        <v>42.774333333333303</v>
      </c>
      <c r="G112">
        <v>86.858142857142894</v>
      </c>
      <c r="H112">
        <v>95.740750000000006</v>
      </c>
      <c r="I112">
        <v>39.578249999999997</v>
      </c>
      <c r="J112">
        <v>74.825249999999997</v>
      </c>
      <c r="K112">
        <v>84.812666666666701</v>
      </c>
      <c r="L112">
        <v>58.48</v>
      </c>
      <c r="M112">
        <v>35.369399999999999</v>
      </c>
      <c r="N112">
        <v>85.617000000000004</v>
      </c>
      <c r="O112">
        <v>81.08475</v>
      </c>
      <c r="P112">
        <v>82.816999999999993</v>
      </c>
      <c r="Q112">
        <v>91.692499999999995</v>
      </c>
      <c r="R112">
        <v>64.926500000000004</v>
      </c>
      <c r="S112">
        <v>52.283333333333303</v>
      </c>
      <c r="T112">
        <v>72.691000000000003</v>
      </c>
      <c r="U112">
        <v>58.201749999999997</v>
      </c>
    </row>
    <row r="113" spans="1:21" x14ac:dyDescent="0.2">
      <c r="A113" t="s">
        <v>179</v>
      </c>
      <c r="B113" t="s">
        <v>180</v>
      </c>
      <c r="C113">
        <v>70.204482492997201</v>
      </c>
      <c r="D113">
        <v>74</v>
      </c>
      <c r="E113">
        <v>90.787999999999997</v>
      </c>
      <c r="F113">
        <v>60.469000000000001</v>
      </c>
      <c r="G113">
        <v>78.252642857142902</v>
      </c>
      <c r="H113">
        <v>95.948750000000004</v>
      </c>
      <c r="I113">
        <v>77.875</v>
      </c>
      <c r="J113">
        <v>77.491600000000005</v>
      </c>
      <c r="K113">
        <v>68.335999999999999</v>
      </c>
      <c r="L113">
        <v>63.742833333333301</v>
      </c>
      <c r="M113">
        <v>49.008499999999998</v>
      </c>
      <c r="N113">
        <v>39.163499999999999</v>
      </c>
      <c r="O113">
        <v>81.218249999999998</v>
      </c>
      <c r="P113">
        <v>86.000142857142805</v>
      </c>
      <c r="Q113">
        <v>84.856999999999999</v>
      </c>
      <c r="R113">
        <v>66.3958333333333</v>
      </c>
      <c r="S113">
        <v>55.032400000000003</v>
      </c>
      <c r="T113">
        <v>54.378500000000003</v>
      </c>
      <c r="U113">
        <v>64.518249999999995</v>
      </c>
    </row>
    <row r="114" spans="1:21" x14ac:dyDescent="0.2">
      <c r="A114" t="s">
        <v>381</v>
      </c>
      <c r="B114" t="s">
        <v>382</v>
      </c>
    </row>
    <row r="115" spans="1:21" x14ac:dyDescent="0.2">
      <c r="A115" t="s">
        <v>139</v>
      </c>
      <c r="B115" t="s">
        <v>140</v>
      </c>
      <c r="C115">
        <v>72.307508798064703</v>
      </c>
      <c r="D115">
        <v>57</v>
      </c>
      <c r="E115">
        <v>93.262</v>
      </c>
      <c r="F115">
        <v>63.333428571428598</v>
      </c>
      <c r="G115">
        <v>77.001499999999993</v>
      </c>
      <c r="H115">
        <v>75.260000000000005</v>
      </c>
      <c r="I115">
        <v>59.009250000000002</v>
      </c>
      <c r="J115">
        <v>72.018600000000006</v>
      </c>
      <c r="K115">
        <v>67.361999999999995</v>
      </c>
      <c r="L115">
        <v>64.526499999999999</v>
      </c>
      <c r="M115">
        <v>39.097333333333303</v>
      </c>
      <c r="N115">
        <v>78.816000000000003</v>
      </c>
      <c r="O115">
        <v>75.658000000000001</v>
      </c>
      <c r="P115">
        <v>85.645428571428596</v>
      </c>
      <c r="Q115">
        <v>89.001333333333307</v>
      </c>
      <c r="S115">
        <v>80.705399999999997</v>
      </c>
      <c r="T115">
        <v>77.753200000000007</v>
      </c>
      <c r="U115">
        <v>68.587999999999994</v>
      </c>
    </row>
    <row r="116" spans="1:21" x14ac:dyDescent="0.2">
      <c r="A116" t="s">
        <v>281</v>
      </c>
      <c r="B116" t="s">
        <v>282</v>
      </c>
      <c r="C116">
        <v>54.051311772486798</v>
      </c>
      <c r="D116">
        <v>142</v>
      </c>
      <c r="E116">
        <v>24.9725</v>
      </c>
      <c r="F116">
        <v>58.333750000000002</v>
      </c>
      <c r="G116">
        <v>38.285785714285701</v>
      </c>
      <c r="H116">
        <v>10.608750000000001</v>
      </c>
      <c r="I116">
        <v>43.493000000000002</v>
      </c>
      <c r="J116">
        <v>61.710599999999999</v>
      </c>
      <c r="K116">
        <v>41.848666666666702</v>
      </c>
      <c r="L116">
        <v>64.245833333333294</v>
      </c>
      <c r="M116">
        <v>16.849499999999999</v>
      </c>
      <c r="N116">
        <v>80.409499999999994</v>
      </c>
      <c r="O116">
        <v>55.581000000000003</v>
      </c>
      <c r="P116">
        <v>95.580285714285694</v>
      </c>
      <c r="Q116">
        <v>98.773666666666699</v>
      </c>
      <c r="S116">
        <v>57.3626</v>
      </c>
      <c r="T116">
        <v>56.399625</v>
      </c>
      <c r="U116">
        <v>46.419249999999998</v>
      </c>
    </row>
    <row r="117" spans="1:21" x14ac:dyDescent="0.2">
      <c r="A117" t="s">
        <v>101</v>
      </c>
      <c r="B117" t="s">
        <v>102</v>
      </c>
      <c r="C117">
        <v>76.769503944911307</v>
      </c>
      <c r="D117">
        <v>33</v>
      </c>
      <c r="E117">
        <v>99.847999999999999</v>
      </c>
      <c r="F117">
        <v>67.157375000000002</v>
      </c>
      <c r="G117">
        <v>90.807857142857202</v>
      </c>
      <c r="H117">
        <v>98.445250000000001</v>
      </c>
      <c r="I117">
        <v>63.760750000000002</v>
      </c>
      <c r="J117">
        <v>68.467600000000004</v>
      </c>
      <c r="K117">
        <v>70.992000000000004</v>
      </c>
      <c r="L117">
        <v>82.314599999999999</v>
      </c>
      <c r="M117">
        <v>68.004666666666694</v>
      </c>
      <c r="N117">
        <v>93.185000000000002</v>
      </c>
      <c r="O117">
        <v>88.663333333333298</v>
      </c>
      <c r="P117">
        <v>67.544857142857097</v>
      </c>
      <c r="Q117">
        <v>72.459333333333305</v>
      </c>
      <c r="R117">
        <v>62.406166666666699</v>
      </c>
      <c r="S117">
        <v>78.903666666666695</v>
      </c>
      <c r="T117">
        <v>79.821111111111094</v>
      </c>
      <c r="U117">
        <v>52.3</v>
      </c>
    </row>
    <row r="118" spans="1:21" x14ac:dyDescent="0.2">
      <c r="A118" t="s">
        <v>269</v>
      </c>
      <c r="B118" t="s">
        <v>270</v>
      </c>
      <c r="C118">
        <v>64.265061624649903</v>
      </c>
      <c r="D118">
        <v>103</v>
      </c>
      <c r="E118">
        <v>80.039000000000001</v>
      </c>
      <c r="F118">
        <v>63.727625000000003</v>
      </c>
      <c r="G118">
        <v>53.834785714285701</v>
      </c>
      <c r="H118">
        <v>61.115499999999997</v>
      </c>
      <c r="I118">
        <v>62.628749999999997</v>
      </c>
      <c r="J118">
        <v>68.4666</v>
      </c>
      <c r="K118">
        <v>67.267499999999998</v>
      </c>
      <c r="L118">
        <v>62.569666666666699</v>
      </c>
      <c r="M118">
        <v>25.6555</v>
      </c>
      <c r="N118">
        <v>87.242999999999995</v>
      </c>
      <c r="O118">
        <v>54.506999999999998</v>
      </c>
      <c r="P118">
        <v>96.850428571428594</v>
      </c>
      <c r="Q118">
        <v>97.349666666666707</v>
      </c>
      <c r="R118">
        <v>51.454000000000001</v>
      </c>
      <c r="S118">
        <v>53.577399999999997</v>
      </c>
      <c r="T118">
        <v>59.282874999999997</v>
      </c>
      <c r="U118">
        <v>46.936750000000004</v>
      </c>
    </row>
    <row r="119" spans="1:21" x14ac:dyDescent="0.2">
      <c r="A119" t="s">
        <v>153</v>
      </c>
      <c r="B119" t="s">
        <v>154</v>
      </c>
      <c r="C119">
        <v>68.807653781512599</v>
      </c>
      <c r="D119">
        <v>86</v>
      </c>
      <c r="E119">
        <v>94.756</v>
      </c>
      <c r="F119">
        <v>51.447285714285698</v>
      </c>
      <c r="G119">
        <v>76.5034285714286</v>
      </c>
      <c r="H119">
        <v>90.176749999999998</v>
      </c>
      <c r="I119">
        <v>53.088749999999997</v>
      </c>
      <c r="J119">
        <v>67.999333333333297</v>
      </c>
      <c r="K119">
        <v>75.764499999999998</v>
      </c>
      <c r="L119">
        <v>62.581000000000003</v>
      </c>
      <c r="M119">
        <v>54.550333333333299</v>
      </c>
      <c r="N119">
        <v>58.194499999999998</v>
      </c>
      <c r="O119">
        <v>68.009</v>
      </c>
      <c r="P119">
        <v>73.135599999999997</v>
      </c>
      <c r="Q119">
        <v>90.588999999999999</v>
      </c>
      <c r="R119">
        <v>44.894799999999996</v>
      </c>
      <c r="S119">
        <v>54.457999999999998</v>
      </c>
      <c r="T119">
        <v>75.569333333333304</v>
      </c>
      <c r="U119">
        <v>78.012500000000003</v>
      </c>
    </row>
    <row r="120" spans="1:21" x14ac:dyDescent="0.2">
      <c r="A120" t="s">
        <v>231</v>
      </c>
      <c r="B120" t="s">
        <v>232</v>
      </c>
      <c r="C120">
        <v>63.514302735760999</v>
      </c>
      <c r="D120">
        <v>109</v>
      </c>
      <c r="E120">
        <v>97.634500000000003</v>
      </c>
      <c r="F120">
        <v>47.292714285714297</v>
      </c>
      <c r="G120">
        <v>64.628071428571403</v>
      </c>
      <c r="H120">
        <v>96.162000000000006</v>
      </c>
      <c r="I120">
        <v>65.091750000000005</v>
      </c>
      <c r="J120">
        <v>65.517600000000002</v>
      </c>
      <c r="K120">
        <v>37.41225</v>
      </c>
      <c r="L120">
        <v>70.206166666666704</v>
      </c>
      <c r="M120">
        <v>33.965166666666697</v>
      </c>
      <c r="N120">
        <v>81.051000000000002</v>
      </c>
      <c r="O120">
        <v>42.598999999999997</v>
      </c>
      <c r="P120">
        <v>70.084428571428603</v>
      </c>
      <c r="Q120">
        <v>39.374666666666698</v>
      </c>
      <c r="S120">
        <v>75.077600000000004</v>
      </c>
      <c r="T120">
        <v>63.982700000000001</v>
      </c>
      <c r="U120">
        <v>69.306749999999994</v>
      </c>
    </row>
    <row r="121" spans="1:21" x14ac:dyDescent="0.2">
      <c r="A121" t="s">
        <v>317</v>
      </c>
      <c r="B121" t="s">
        <v>318</v>
      </c>
      <c r="C121">
        <v>53.574181512605001</v>
      </c>
      <c r="D121">
        <v>143</v>
      </c>
      <c r="E121">
        <v>8.7810000000000006</v>
      </c>
      <c r="F121">
        <v>45.790142857142897</v>
      </c>
      <c r="G121">
        <v>35.571428571428598</v>
      </c>
      <c r="H121">
        <v>50.881666666666703</v>
      </c>
      <c r="I121">
        <v>65.015000000000001</v>
      </c>
      <c r="J121">
        <v>53.566400000000002</v>
      </c>
      <c r="K121">
        <v>54.471249999999998</v>
      </c>
      <c r="L121">
        <v>60.8363333333333</v>
      </c>
      <c r="M121">
        <v>11.708166666666701</v>
      </c>
      <c r="N121">
        <v>12.676</v>
      </c>
      <c r="O121">
        <v>58.733499999999999</v>
      </c>
      <c r="P121">
        <v>98.6237142857143</v>
      </c>
      <c r="Q121">
        <v>97.983666666666693</v>
      </c>
      <c r="R121">
        <v>76.798500000000004</v>
      </c>
      <c r="S121">
        <v>61.793399999999998</v>
      </c>
      <c r="T121">
        <v>53.336666666666702</v>
      </c>
      <c r="U121">
        <v>64.194249999999997</v>
      </c>
    </row>
    <row r="122" spans="1:21" x14ac:dyDescent="0.2">
      <c r="A122" t="s">
        <v>285</v>
      </c>
      <c r="B122" t="s">
        <v>286</v>
      </c>
      <c r="C122">
        <v>55.826484803921602</v>
      </c>
      <c r="D122">
        <v>132</v>
      </c>
      <c r="E122">
        <v>76.695499999999996</v>
      </c>
      <c r="F122">
        <v>44.140142857142898</v>
      </c>
      <c r="G122">
        <v>43.939</v>
      </c>
      <c r="H122">
        <v>39.399000000000001</v>
      </c>
      <c r="I122">
        <v>32.067250000000001</v>
      </c>
      <c r="J122">
        <v>58.159799999999997</v>
      </c>
      <c r="K122">
        <v>49.871666666666698</v>
      </c>
      <c r="L122">
        <v>42.688833333333299</v>
      </c>
      <c r="M122">
        <v>21.05</v>
      </c>
      <c r="N122">
        <v>81.847999999999999</v>
      </c>
      <c r="O122">
        <v>38.610250000000001</v>
      </c>
      <c r="P122">
        <v>92.658857142857102</v>
      </c>
      <c r="Q122">
        <v>96.966999999999999</v>
      </c>
      <c r="R122">
        <v>69.624499999999998</v>
      </c>
      <c r="S122">
        <v>60.882399999999997</v>
      </c>
      <c r="T122">
        <v>49.917375</v>
      </c>
      <c r="U122">
        <v>50.530666666666697</v>
      </c>
    </row>
    <row r="123" spans="1:21" x14ac:dyDescent="0.2">
      <c r="A123" t="s">
        <v>205</v>
      </c>
      <c r="B123" t="s">
        <v>206</v>
      </c>
      <c r="C123">
        <v>68.395022198879502</v>
      </c>
      <c r="D123">
        <v>89</v>
      </c>
      <c r="E123">
        <v>98.144000000000005</v>
      </c>
      <c r="F123">
        <v>66.193666666666701</v>
      </c>
      <c r="G123">
        <v>76.862285714285704</v>
      </c>
      <c r="H123">
        <v>95.83775</v>
      </c>
      <c r="I123">
        <v>53.044499999999999</v>
      </c>
      <c r="J123">
        <v>71.759</v>
      </c>
      <c r="K123">
        <v>74.384500000000003</v>
      </c>
      <c r="L123">
        <v>68.659333333333393</v>
      </c>
      <c r="M123">
        <v>40.801166666666703</v>
      </c>
      <c r="N123">
        <v>65.338999999999999</v>
      </c>
      <c r="O123">
        <v>88.813000000000002</v>
      </c>
      <c r="P123">
        <v>74.808800000000005</v>
      </c>
      <c r="Q123">
        <v>92.177499999999995</v>
      </c>
      <c r="R123">
        <v>46.732999999999997</v>
      </c>
      <c r="S123">
        <v>27.409749999999999</v>
      </c>
      <c r="T123">
        <v>73.034125000000003</v>
      </c>
      <c r="U123">
        <v>48.713999999999999</v>
      </c>
    </row>
    <row r="124" spans="1:21" x14ac:dyDescent="0.2">
      <c r="A124" t="s">
        <v>289</v>
      </c>
      <c r="B124" t="s">
        <v>290</v>
      </c>
      <c r="C124">
        <v>53.252214643635199</v>
      </c>
      <c r="D124">
        <v>145</v>
      </c>
      <c r="E124">
        <v>1.9764999999999999</v>
      </c>
      <c r="F124">
        <v>59.440857142857098</v>
      </c>
      <c r="G124">
        <v>48.446857142857098</v>
      </c>
      <c r="H124">
        <v>51.319000000000003</v>
      </c>
      <c r="I124">
        <v>74.710250000000002</v>
      </c>
      <c r="J124">
        <v>52.4754</v>
      </c>
      <c r="K124">
        <v>29.193666666666701</v>
      </c>
      <c r="L124">
        <v>60.2605</v>
      </c>
      <c r="M124">
        <v>11.516666666666699</v>
      </c>
      <c r="N124">
        <v>30.3995</v>
      </c>
      <c r="O124">
        <v>55.054499999999997</v>
      </c>
      <c r="P124">
        <v>98.552714285714302</v>
      </c>
      <c r="Q124">
        <v>99.450999999999993</v>
      </c>
      <c r="S124">
        <v>62.613599999999998</v>
      </c>
      <c r="T124">
        <v>55.4619</v>
      </c>
      <c r="U124">
        <v>46.41675</v>
      </c>
    </row>
    <row r="125" spans="1:21" x14ac:dyDescent="0.2">
      <c r="A125" t="s">
        <v>175</v>
      </c>
      <c r="B125" t="s">
        <v>176</v>
      </c>
      <c r="C125">
        <v>70.383942577030794</v>
      </c>
      <c r="D125">
        <v>72</v>
      </c>
      <c r="E125">
        <v>99.980500000000006</v>
      </c>
      <c r="F125">
        <v>48.411000000000001</v>
      </c>
      <c r="G125">
        <v>80.493285714285705</v>
      </c>
      <c r="H125">
        <v>92.883250000000004</v>
      </c>
      <c r="I125">
        <v>57.534750000000003</v>
      </c>
      <c r="J125">
        <v>78.747600000000006</v>
      </c>
      <c r="K125">
        <v>67.6785</v>
      </c>
      <c r="L125">
        <v>74.908166666666702</v>
      </c>
      <c r="M125">
        <v>77.373166666666705</v>
      </c>
      <c r="N125">
        <v>47.438499999999998</v>
      </c>
      <c r="O125">
        <v>86.082999999999998</v>
      </c>
      <c r="P125">
        <v>82.103571428571399</v>
      </c>
      <c r="Q125">
        <v>73.690666666666701</v>
      </c>
      <c r="R125">
        <v>63.925166666666698</v>
      </c>
      <c r="S125">
        <v>37.891399999999997</v>
      </c>
      <c r="T125">
        <v>70.539500000000004</v>
      </c>
      <c r="U125">
        <v>56.844999999999999</v>
      </c>
    </row>
    <row r="126" spans="1:21" x14ac:dyDescent="0.2">
      <c r="A126" t="s">
        <v>237</v>
      </c>
      <c r="B126" t="s">
        <v>238</v>
      </c>
      <c r="C126">
        <v>62.716526867413599</v>
      </c>
      <c r="D126">
        <v>114</v>
      </c>
      <c r="E126">
        <v>47.1295</v>
      </c>
      <c r="F126">
        <v>48.156624999999998</v>
      </c>
      <c r="G126">
        <v>48.533142857142899</v>
      </c>
      <c r="H126">
        <v>81.734999999999999</v>
      </c>
      <c r="I126">
        <v>86.64725</v>
      </c>
      <c r="J126">
        <v>57.2622</v>
      </c>
      <c r="K126">
        <v>44.52825</v>
      </c>
      <c r="L126">
        <v>60.048000000000002</v>
      </c>
      <c r="M126">
        <v>30.838000000000001</v>
      </c>
      <c r="N126">
        <v>5.4930000000000003</v>
      </c>
      <c r="O126">
        <v>66.401499999999999</v>
      </c>
      <c r="P126">
        <v>87.654166666666697</v>
      </c>
      <c r="Q126">
        <v>88.811000000000007</v>
      </c>
      <c r="R126">
        <v>80.748166666666705</v>
      </c>
      <c r="S126">
        <v>87.139600000000002</v>
      </c>
      <c r="T126">
        <v>67.953555555555596</v>
      </c>
      <c r="U126">
        <v>77.102000000000004</v>
      </c>
    </row>
    <row r="127" spans="1:21" x14ac:dyDescent="0.2">
      <c r="A127" t="s">
        <v>341</v>
      </c>
      <c r="B127" t="s">
        <v>342</v>
      </c>
      <c r="C127">
        <v>52.200807920946197</v>
      </c>
      <c r="D127">
        <v>149</v>
      </c>
      <c r="E127">
        <v>28.367999999999999</v>
      </c>
      <c r="F127">
        <v>47.932428571428602</v>
      </c>
      <c r="G127">
        <v>40.3687857142857</v>
      </c>
      <c r="H127">
        <v>2.8002500000000001</v>
      </c>
      <c r="I127">
        <v>36.641750000000002</v>
      </c>
      <c r="J127">
        <v>43.306800000000003</v>
      </c>
      <c r="K127">
        <v>35.127499999999998</v>
      </c>
      <c r="L127">
        <v>64.076666666666696</v>
      </c>
      <c r="M127">
        <v>5.1303333333333301</v>
      </c>
      <c r="N127">
        <v>75.484999999999999</v>
      </c>
      <c r="O127">
        <v>49.997500000000002</v>
      </c>
      <c r="P127">
        <v>96.6756666666667</v>
      </c>
      <c r="Q127">
        <v>99.424999999999997</v>
      </c>
      <c r="S127">
        <v>79.183400000000006</v>
      </c>
      <c r="T127">
        <v>55.009666666666703</v>
      </c>
      <c r="U127">
        <v>59.887</v>
      </c>
    </row>
    <row r="128" spans="1:21" x14ac:dyDescent="0.2">
      <c r="A128" t="s">
        <v>311</v>
      </c>
      <c r="B128" t="s">
        <v>312</v>
      </c>
      <c r="C128">
        <v>54.233591129785196</v>
      </c>
      <c r="D128">
        <v>139</v>
      </c>
      <c r="E128">
        <v>34.319000000000003</v>
      </c>
      <c r="F128">
        <v>61.098999999999997</v>
      </c>
      <c r="G128">
        <v>31.500785714285701</v>
      </c>
      <c r="H128">
        <v>38.750666666666703</v>
      </c>
      <c r="I128">
        <v>41.161499999999997</v>
      </c>
      <c r="J128">
        <v>59.739600000000003</v>
      </c>
      <c r="K128">
        <v>46.9</v>
      </c>
      <c r="L128">
        <v>55.700600000000001</v>
      </c>
      <c r="M128">
        <v>33.246666666666698</v>
      </c>
      <c r="N128">
        <v>49.733499999999999</v>
      </c>
      <c r="O128">
        <v>26.2135</v>
      </c>
      <c r="P128">
        <v>95.947285714285698</v>
      </c>
      <c r="Q128">
        <v>96.212666666666706</v>
      </c>
      <c r="R128">
        <v>64.970833333333303</v>
      </c>
      <c r="S128">
        <v>76.025999999999996</v>
      </c>
      <c r="T128">
        <v>41.399444444444399</v>
      </c>
      <c r="U128">
        <v>69.05</v>
      </c>
    </row>
    <row r="129" spans="1:21" x14ac:dyDescent="0.2">
      <c r="A129" t="s">
        <v>227</v>
      </c>
      <c r="B129" t="s">
        <v>228</v>
      </c>
      <c r="C129">
        <v>67.144575910364196</v>
      </c>
      <c r="D129">
        <v>92</v>
      </c>
      <c r="E129">
        <v>86.858999999999995</v>
      </c>
      <c r="F129">
        <v>53.887</v>
      </c>
      <c r="G129">
        <v>75.44</v>
      </c>
      <c r="H129">
        <v>77.984499999999997</v>
      </c>
      <c r="I129">
        <v>81.929500000000004</v>
      </c>
      <c r="J129">
        <v>66.340599999999995</v>
      </c>
      <c r="K129">
        <v>79.991</v>
      </c>
      <c r="L129">
        <v>59.577666666666701</v>
      </c>
      <c r="M129">
        <v>17.713000000000001</v>
      </c>
      <c r="N129">
        <v>23.661999999999999</v>
      </c>
      <c r="O129">
        <v>78.995750000000001</v>
      </c>
      <c r="P129">
        <v>90.921857142857107</v>
      </c>
      <c r="Q129">
        <v>96.223333333333301</v>
      </c>
      <c r="R129">
        <v>67.928166666666698</v>
      </c>
      <c r="S129">
        <v>70.117999999999995</v>
      </c>
      <c r="T129">
        <v>58.248666666666701</v>
      </c>
      <c r="U129">
        <v>55.637749999999997</v>
      </c>
    </row>
    <row r="130" spans="1:21" x14ac:dyDescent="0.2">
      <c r="A130" t="s">
        <v>59</v>
      </c>
      <c r="B130" t="s">
        <v>60</v>
      </c>
      <c r="C130">
        <v>79.852798809523804</v>
      </c>
      <c r="D130">
        <v>17</v>
      </c>
      <c r="E130">
        <v>99.645499999999998</v>
      </c>
      <c r="F130">
        <v>67.683374999999998</v>
      </c>
      <c r="G130">
        <v>95.576499999999996</v>
      </c>
      <c r="H130">
        <v>98.340333333333305</v>
      </c>
      <c r="I130">
        <v>82.069500000000005</v>
      </c>
      <c r="J130">
        <v>87.560199999999995</v>
      </c>
      <c r="K130">
        <v>71.512500000000003</v>
      </c>
      <c r="L130">
        <v>86.951166666666694</v>
      </c>
      <c r="M130">
        <v>91.603999999999999</v>
      </c>
      <c r="N130">
        <v>93.217500000000001</v>
      </c>
      <c r="O130">
        <v>96.549750000000003</v>
      </c>
      <c r="P130">
        <v>55.035571428571401</v>
      </c>
      <c r="Q130">
        <v>53.180999999999997</v>
      </c>
      <c r="R130">
        <v>53.1323333333333</v>
      </c>
      <c r="S130">
        <v>78.259799999999998</v>
      </c>
      <c r="T130">
        <v>85.199799999999996</v>
      </c>
      <c r="U130">
        <v>61.978749999999998</v>
      </c>
    </row>
    <row r="131" spans="1:21" x14ac:dyDescent="0.2">
      <c r="A131" t="s">
        <v>33</v>
      </c>
      <c r="B131" t="s">
        <v>34</v>
      </c>
      <c r="C131">
        <v>82.349285784313693</v>
      </c>
      <c r="D131">
        <v>4</v>
      </c>
      <c r="E131">
        <v>99.513000000000005</v>
      </c>
      <c r="F131">
        <v>60.376375000000003</v>
      </c>
      <c r="G131">
        <v>97.2495714285714</v>
      </c>
      <c r="H131">
        <v>97.606999999999999</v>
      </c>
      <c r="I131">
        <v>90.395250000000004</v>
      </c>
      <c r="J131">
        <v>84.906999999999996</v>
      </c>
      <c r="K131">
        <v>96.760249999999999</v>
      </c>
      <c r="L131">
        <v>83.792500000000004</v>
      </c>
      <c r="M131">
        <v>91.334166666666704</v>
      </c>
      <c r="N131">
        <v>99.858999999999995</v>
      </c>
      <c r="O131">
        <v>94.005750000000006</v>
      </c>
      <c r="P131">
        <v>50.776428571428603</v>
      </c>
      <c r="Q131">
        <v>20.641666666666701</v>
      </c>
      <c r="R131">
        <v>73.902500000000003</v>
      </c>
      <c r="S131">
        <v>73.721400000000003</v>
      </c>
      <c r="T131">
        <v>90.453500000000005</v>
      </c>
      <c r="U131">
        <v>94.642499999999998</v>
      </c>
    </row>
    <row r="132" spans="1:21" x14ac:dyDescent="0.2">
      <c r="A132" t="s">
        <v>217</v>
      </c>
      <c r="B132" t="s">
        <v>218</v>
      </c>
      <c r="C132">
        <v>66.175832801120507</v>
      </c>
      <c r="D132">
        <v>98</v>
      </c>
      <c r="E132">
        <v>63.558500000000002</v>
      </c>
      <c r="F132">
        <v>58.737285714285697</v>
      </c>
      <c r="G132">
        <v>57.776928571428599</v>
      </c>
      <c r="H132">
        <v>89.350250000000003</v>
      </c>
      <c r="I132">
        <v>66.982500000000002</v>
      </c>
      <c r="J132">
        <v>70.801400000000001</v>
      </c>
      <c r="K132">
        <v>54.957000000000001</v>
      </c>
      <c r="L132">
        <v>67.479500000000002</v>
      </c>
      <c r="M132">
        <v>31.9746666666667</v>
      </c>
      <c r="N132">
        <v>80.222499999999997</v>
      </c>
      <c r="O132">
        <v>44.877499999999998</v>
      </c>
      <c r="P132">
        <v>97.87</v>
      </c>
      <c r="Q132">
        <v>96.915333333333294</v>
      </c>
      <c r="S132">
        <v>68.300399999999996</v>
      </c>
      <c r="T132">
        <v>60.744111111111103</v>
      </c>
      <c r="U132">
        <v>54.084499999999998</v>
      </c>
    </row>
    <row r="133" spans="1:21" x14ac:dyDescent="0.2">
      <c r="A133" t="s">
        <v>383</v>
      </c>
      <c r="B133" t="s">
        <v>384</v>
      </c>
    </row>
    <row r="134" spans="1:21" x14ac:dyDescent="0.2">
      <c r="A134" t="s">
        <v>73</v>
      </c>
      <c r="B134" t="s">
        <v>74</v>
      </c>
      <c r="C134">
        <v>78.304349719887895</v>
      </c>
      <c r="D134">
        <v>26</v>
      </c>
      <c r="E134">
        <v>99.973500000000001</v>
      </c>
      <c r="F134">
        <v>66.611428571428604</v>
      </c>
      <c r="G134">
        <v>92.817714285714302</v>
      </c>
      <c r="H134">
        <v>95.233999999999995</v>
      </c>
      <c r="I134">
        <v>89.781750000000002</v>
      </c>
      <c r="J134">
        <v>90.3262</v>
      </c>
      <c r="K134">
        <v>90.967749999999995</v>
      </c>
      <c r="L134">
        <v>87.885999999999996</v>
      </c>
      <c r="M134">
        <v>87.9523333333333</v>
      </c>
      <c r="N134">
        <v>66.875</v>
      </c>
      <c r="O134">
        <v>89.204499999999996</v>
      </c>
      <c r="P134">
        <v>52.4982857142857</v>
      </c>
      <c r="Q134">
        <v>56.525666666666702</v>
      </c>
      <c r="R134">
        <v>53.372166666666701</v>
      </c>
      <c r="S134">
        <v>49.585999999999999</v>
      </c>
      <c r="T134">
        <v>89.069900000000004</v>
      </c>
      <c r="U134">
        <v>72.491749999999996</v>
      </c>
    </row>
    <row r="135" spans="1:21" x14ac:dyDescent="0.2">
      <c r="A135" t="s">
        <v>199</v>
      </c>
      <c r="B135" t="s">
        <v>200</v>
      </c>
      <c r="C135">
        <v>69.194972186147197</v>
      </c>
      <c r="D135">
        <v>81</v>
      </c>
      <c r="F135">
        <v>61.967374999999997</v>
      </c>
      <c r="G135">
        <v>82.984999999999999</v>
      </c>
      <c r="H135">
        <v>93.21</v>
      </c>
      <c r="I135">
        <v>35.966999999999999</v>
      </c>
      <c r="J135">
        <v>53.148400000000002</v>
      </c>
      <c r="K135">
        <v>66.970249999999993</v>
      </c>
      <c r="L135">
        <v>72.992999999999995</v>
      </c>
      <c r="M135">
        <v>62.058500000000002</v>
      </c>
      <c r="O135">
        <v>77.795333333333303</v>
      </c>
      <c r="P135">
        <v>80.841714285714303</v>
      </c>
      <c r="Q135">
        <v>38.667666666666697</v>
      </c>
      <c r="R135">
        <v>73.670166666666702</v>
      </c>
      <c r="S135">
        <v>58.619333333333302</v>
      </c>
      <c r="T135">
        <v>79.888499999999993</v>
      </c>
      <c r="U135">
        <v>68.0893333333333</v>
      </c>
    </row>
    <row r="136" spans="1:21" x14ac:dyDescent="0.2">
      <c r="A136" t="s">
        <v>275</v>
      </c>
      <c r="B136" t="s">
        <v>276</v>
      </c>
      <c r="C136">
        <v>59.338261764705898</v>
      </c>
      <c r="D136">
        <v>125</v>
      </c>
      <c r="E136">
        <v>60.774999999999999</v>
      </c>
      <c r="F136">
        <v>50.85275</v>
      </c>
      <c r="G136">
        <v>48.296999999999997</v>
      </c>
      <c r="H136">
        <v>59.714666666666702</v>
      </c>
      <c r="I136">
        <v>28.696750000000002</v>
      </c>
      <c r="J136">
        <v>49.449399999999997</v>
      </c>
      <c r="K136">
        <v>63.838000000000001</v>
      </c>
      <c r="L136">
        <v>51.792200000000001</v>
      </c>
      <c r="M136">
        <v>29.1033333333333</v>
      </c>
      <c r="N136">
        <v>79.537999999999997</v>
      </c>
      <c r="O136">
        <v>51.311250000000001</v>
      </c>
      <c r="P136">
        <v>95.9</v>
      </c>
      <c r="Q136">
        <v>97.390666666666704</v>
      </c>
      <c r="R136">
        <v>67.034166666666707</v>
      </c>
      <c r="S136">
        <v>66.644400000000005</v>
      </c>
      <c r="T136">
        <v>51.248199999999997</v>
      </c>
      <c r="U136">
        <v>57.164666666666697</v>
      </c>
    </row>
    <row r="137" spans="1:21" x14ac:dyDescent="0.2">
      <c r="A137" t="s">
        <v>213</v>
      </c>
      <c r="B137" t="s">
        <v>214</v>
      </c>
      <c r="C137">
        <v>63.999157492997199</v>
      </c>
      <c r="D137">
        <v>105</v>
      </c>
      <c r="E137">
        <v>94.277000000000001</v>
      </c>
      <c r="F137">
        <v>49.009124999999997</v>
      </c>
      <c r="G137">
        <v>80.414714285714297</v>
      </c>
      <c r="H137">
        <v>59.711500000000001</v>
      </c>
      <c r="I137">
        <v>65.018749999999997</v>
      </c>
      <c r="J137">
        <v>73.935400000000001</v>
      </c>
      <c r="K137">
        <v>77.159000000000006</v>
      </c>
      <c r="L137">
        <v>64.531666666666695</v>
      </c>
      <c r="M137">
        <v>39.633000000000003</v>
      </c>
      <c r="N137">
        <v>18.5915</v>
      </c>
      <c r="O137">
        <v>84.887</v>
      </c>
      <c r="P137">
        <v>84.983571428571395</v>
      </c>
      <c r="Q137">
        <v>63.118000000000002</v>
      </c>
      <c r="R137">
        <v>67.363500000000002</v>
      </c>
      <c r="S137">
        <v>57.733199999999997</v>
      </c>
      <c r="T137">
        <v>67.705500000000001</v>
      </c>
      <c r="U137">
        <v>39.913249999999998</v>
      </c>
    </row>
    <row r="138" spans="1:21" x14ac:dyDescent="0.2">
      <c r="A138" t="s">
        <v>149</v>
      </c>
      <c r="B138" t="s">
        <v>150</v>
      </c>
      <c r="C138">
        <v>71.928091386554598</v>
      </c>
      <c r="D138">
        <v>58</v>
      </c>
      <c r="E138">
        <v>92.044499999999999</v>
      </c>
      <c r="F138">
        <v>69.512874999999994</v>
      </c>
      <c r="G138">
        <v>79.437357142857195</v>
      </c>
      <c r="H138">
        <v>98.657499999999999</v>
      </c>
      <c r="I138">
        <v>65.392250000000004</v>
      </c>
      <c r="J138">
        <v>81.148799999999994</v>
      </c>
      <c r="K138">
        <v>77.567750000000004</v>
      </c>
      <c r="L138">
        <v>65.454499999999996</v>
      </c>
      <c r="M138">
        <v>39.588333333333303</v>
      </c>
      <c r="N138">
        <v>40.625</v>
      </c>
      <c r="O138">
        <v>72.456999999999994</v>
      </c>
      <c r="P138">
        <v>90.905571428571406</v>
      </c>
      <c r="Q138">
        <v>92.653000000000006</v>
      </c>
      <c r="R138">
        <v>78.082666666666697</v>
      </c>
      <c r="S138">
        <v>58.405000000000001</v>
      </c>
      <c r="T138">
        <v>60.7652</v>
      </c>
      <c r="U138">
        <v>60.080249999999999</v>
      </c>
    </row>
    <row r="139" spans="1:21" x14ac:dyDescent="0.2">
      <c r="A139" t="s">
        <v>215</v>
      </c>
      <c r="B139" t="s">
        <v>216</v>
      </c>
      <c r="C139">
        <v>66.638341129785204</v>
      </c>
      <c r="D139">
        <v>95</v>
      </c>
      <c r="E139">
        <v>72.393000000000001</v>
      </c>
      <c r="F139">
        <v>65.54325</v>
      </c>
      <c r="G139">
        <v>60.097214285714301</v>
      </c>
      <c r="H139">
        <v>87.182000000000002</v>
      </c>
      <c r="I139">
        <v>63.79025</v>
      </c>
      <c r="J139">
        <v>69.961600000000004</v>
      </c>
      <c r="K139">
        <v>70.78</v>
      </c>
      <c r="L139">
        <v>60.793333333333301</v>
      </c>
      <c r="M139">
        <v>37.745333333333299</v>
      </c>
      <c r="N139">
        <v>34.78</v>
      </c>
      <c r="O139">
        <v>71.345749999999995</v>
      </c>
      <c r="P139">
        <v>94.565857142857098</v>
      </c>
      <c r="Q139">
        <v>94.450333333333305</v>
      </c>
      <c r="R139">
        <v>75.242333333333306</v>
      </c>
      <c r="S139">
        <v>57.390599999999999</v>
      </c>
      <c r="T139">
        <v>61.677444444444497</v>
      </c>
      <c r="U139">
        <v>55.113500000000002</v>
      </c>
    </row>
    <row r="140" spans="1:21" x14ac:dyDescent="0.2">
      <c r="A140" t="s">
        <v>385</v>
      </c>
      <c r="B140" t="s">
        <v>386</v>
      </c>
    </row>
    <row r="141" spans="1:21" x14ac:dyDescent="0.2">
      <c r="A141" t="s">
        <v>315</v>
      </c>
      <c r="B141" t="s">
        <v>316</v>
      </c>
      <c r="C141">
        <v>53.561595098039199</v>
      </c>
      <c r="D141">
        <v>144</v>
      </c>
      <c r="E141">
        <v>29.490500000000001</v>
      </c>
      <c r="F141">
        <v>31.605</v>
      </c>
      <c r="G141">
        <v>44.16</v>
      </c>
      <c r="H141">
        <v>53.883000000000003</v>
      </c>
      <c r="I141">
        <v>47.985999999999997</v>
      </c>
      <c r="J141">
        <v>42.488199999999999</v>
      </c>
      <c r="K141">
        <v>43.141666666666701</v>
      </c>
      <c r="L141">
        <v>72.281000000000006</v>
      </c>
      <c r="M141">
        <v>6.6081666666666701</v>
      </c>
      <c r="N141">
        <v>43.6875</v>
      </c>
      <c r="O141">
        <v>71.810500000000005</v>
      </c>
      <c r="P141">
        <v>97.626833333333295</v>
      </c>
      <c r="Q141">
        <v>94.358999999999995</v>
      </c>
      <c r="R141">
        <v>72.165333333333294</v>
      </c>
      <c r="S141">
        <v>64.444249999999997</v>
      </c>
      <c r="T141">
        <v>55.692166666666701</v>
      </c>
      <c r="U141">
        <v>39.118000000000002</v>
      </c>
    </row>
    <row r="142" spans="1:21" x14ac:dyDescent="0.2">
      <c r="A142" t="s">
        <v>37</v>
      </c>
      <c r="B142" t="s">
        <v>38</v>
      </c>
      <c r="C142">
        <v>80.536741316526602</v>
      </c>
      <c r="D142">
        <v>12</v>
      </c>
      <c r="E142">
        <v>99.908500000000004</v>
      </c>
      <c r="F142">
        <v>68.14425</v>
      </c>
      <c r="G142">
        <v>83.8000714285714</v>
      </c>
      <c r="H142">
        <v>98.84675</v>
      </c>
      <c r="I142">
        <v>72.473749999999995</v>
      </c>
      <c r="J142">
        <v>85.152799999999999</v>
      </c>
      <c r="K142">
        <v>70.210999999999999</v>
      </c>
      <c r="L142">
        <v>83.744666666666703</v>
      </c>
      <c r="M142">
        <v>75.790999999999997</v>
      </c>
      <c r="N142">
        <v>93.384500000000003</v>
      </c>
      <c r="O142">
        <v>85.770499999999998</v>
      </c>
      <c r="P142">
        <v>78.740714285714304</v>
      </c>
      <c r="Q142">
        <v>72.216999999999999</v>
      </c>
      <c r="R142">
        <v>64.239500000000007</v>
      </c>
      <c r="S142">
        <v>92.348600000000005</v>
      </c>
      <c r="T142">
        <v>81.484499999999997</v>
      </c>
      <c r="U142">
        <v>62.866500000000002</v>
      </c>
    </row>
    <row r="143" spans="1:21" x14ac:dyDescent="0.2">
      <c r="A143" t="s">
        <v>387</v>
      </c>
      <c r="B143" t="s">
        <v>388</v>
      </c>
    </row>
    <row r="144" spans="1:21" x14ac:dyDescent="0.2">
      <c r="A144" t="s">
        <v>55</v>
      </c>
      <c r="B144" t="s">
        <v>56</v>
      </c>
      <c r="C144">
        <v>79.226426890756301</v>
      </c>
      <c r="D144">
        <v>20</v>
      </c>
      <c r="E144">
        <v>99.360500000000002</v>
      </c>
      <c r="F144">
        <v>64.005250000000004</v>
      </c>
      <c r="G144">
        <v>92.556285714285707</v>
      </c>
      <c r="H144">
        <v>94.952500000000001</v>
      </c>
      <c r="I144">
        <v>83.737250000000003</v>
      </c>
      <c r="J144">
        <v>80.876400000000004</v>
      </c>
      <c r="K144">
        <v>82.636750000000006</v>
      </c>
      <c r="L144">
        <v>80.273333333333298</v>
      </c>
      <c r="M144">
        <v>75.744833333333304</v>
      </c>
      <c r="N144">
        <v>83.424499999999995</v>
      </c>
      <c r="O144">
        <v>89.639499999999998</v>
      </c>
      <c r="P144">
        <v>71.983571428571395</v>
      </c>
      <c r="Q144">
        <v>80.335999999999999</v>
      </c>
      <c r="R144">
        <v>42.994833333333297</v>
      </c>
      <c r="S144">
        <v>73.581000000000003</v>
      </c>
      <c r="T144">
        <v>88.261499999999998</v>
      </c>
      <c r="U144">
        <v>62.485250000000001</v>
      </c>
    </row>
    <row r="145" spans="1:21" x14ac:dyDescent="0.2">
      <c r="A145" t="s">
        <v>195</v>
      </c>
      <c r="B145" t="s">
        <v>196</v>
      </c>
      <c r="C145">
        <v>67.434815042016794</v>
      </c>
      <c r="D145">
        <v>91</v>
      </c>
      <c r="E145">
        <v>95.522999999999996</v>
      </c>
      <c r="F145">
        <v>73.634375000000006</v>
      </c>
      <c r="G145">
        <v>71.849500000000006</v>
      </c>
      <c r="H145">
        <v>69.637500000000003</v>
      </c>
      <c r="I145">
        <v>66.326250000000002</v>
      </c>
      <c r="J145">
        <v>76.664199999999994</v>
      </c>
      <c r="K145">
        <v>91.32</v>
      </c>
      <c r="L145">
        <v>67.425333333333299</v>
      </c>
      <c r="M145">
        <v>30.966166666666702</v>
      </c>
      <c r="N145">
        <v>24.366</v>
      </c>
      <c r="O145">
        <v>75.686666666666696</v>
      </c>
      <c r="P145">
        <v>84.847285714285704</v>
      </c>
      <c r="Q145">
        <v>90.581999999999994</v>
      </c>
      <c r="S145">
        <v>52.973599999999998</v>
      </c>
      <c r="T145">
        <v>52.941499999999998</v>
      </c>
      <c r="U145">
        <v>54.596249999999998</v>
      </c>
    </row>
    <row r="146" spans="1:21" x14ac:dyDescent="0.2">
      <c r="A146" t="s">
        <v>219</v>
      </c>
      <c r="B146" t="s">
        <v>220</v>
      </c>
      <c r="C146">
        <v>66.784738012477703</v>
      </c>
      <c r="D146">
        <v>94</v>
      </c>
      <c r="F146">
        <v>71.828714285714298</v>
      </c>
      <c r="G146">
        <v>87.607571428571504</v>
      </c>
      <c r="H146">
        <v>92.659000000000006</v>
      </c>
      <c r="I146">
        <v>57.247</v>
      </c>
      <c r="J146">
        <v>53.970399999999998</v>
      </c>
      <c r="K146">
        <v>66.661000000000001</v>
      </c>
      <c r="L146">
        <v>76.509249999999994</v>
      </c>
      <c r="M146">
        <v>81.364000000000004</v>
      </c>
      <c r="O146">
        <v>35.714500000000001</v>
      </c>
      <c r="P146">
        <v>75.292714285714297</v>
      </c>
      <c r="Q146">
        <v>0</v>
      </c>
      <c r="R146">
        <v>76.0364</v>
      </c>
      <c r="S146">
        <v>68.095666666666702</v>
      </c>
      <c r="T146">
        <v>79.876374999999996</v>
      </c>
      <c r="U146">
        <v>43.034999999999997</v>
      </c>
    </row>
    <row r="147" spans="1:21" x14ac:dyDescent="0.2">
      <c r="A147" t="s">
        <v>89</v>
      </c>
      <c r="B147" t="s">
        <v>90</v>
      </c>
      <c r="C147">
        <v>77.721153851540606</v>
      </c>
      <c r="D147">
        <v>30</v>
      </c>
      <c r="E147">
        <v>95.975999999999999</v>
      </c>
      <c r="F147">
        <v>70.689625000000007</v>
      </c>
      <c r="G147">
        <v>81.054214285714295</v>
      </c>
      <c r="H147">
        <v>83.422499999999999</v>
      </c>
      <c r="I147">
        <v>57.343499999999999</v>
      </c>
      <c r="J147">
        <v>79.813999999999993</v>
      </c>
      <c r="K147">
        <v>77.678250000000006</v>
      </c>
      <c r="L147">
        <v>80.037666666666695</v>
      </c>
      <c r="M147">
        <v>61.377333333333297</v>
      </c>
      <c r="N147">
        <v>75.81</v>
      </c>
      <c r="O147">
        <v>80.864500000000007</v>
      </c>
      <c r="P147">
        <v>83.613142857142805</v>
      </c>
      <c r="Q147">
        <v>85.436000000000007</v>
      </c>
      <c r="R147">
        <v>85.441599999999994</v>
      </c>
      <c r="S147">
        <v>79.533199999999994</v>
      </c>
      <c r="T147">
        <v>77.479333333333301</v>
      </c>
      <c r="U147">
        <v>65.688749999999999</v>
      </c>
    </row>
    <row r="148" spans="1:21" x14ac:dyDescent="0.2">
      <c r="A148" t="s">
        <v>117</v>
      </c>
      <c r="B148" t="s">
        <v>118</v>
      </c>
      <c r="C148">
        <v>74.074165406162507</v>
      </c>
      <c r="D148">
        <v>45</v>
      </c>
      <c r="E148">
        <v>99.896000000000001</v>
      </c>
      <c r="F148">
        <v>57.520166666666697</v>
      </c>
      <c r="G148">
        <v>79.370999999999995</v>
      </c>
      <c r="H148">
        <v>97.117500000000007</v>
      </c>
      <c r="I148">
        <v>66.606999999999999</v>
      </c>
      <c r="J148">
        <v>77.991799999999998</v>
      </c>
      <c r="K148">
        <v>65.283749999999998</v>
      </c>
      <c r="L148">
        <v>76.917500000000004</v>
      </c>
      <c r="M148">
        <v>71.678166666666698</v>
      </c>
      <c r="N148">
        <v>76.852999999999994</v>
      </c>
      <c r="O148">
        <v>85.520333333333298</v>
      </c>
      <c r="P148">
        <v>84.665428571428606</v>
      </c>
      <c r="Q148">
        <v>70.760333333333307</v>
      </c>
      <c r="R148">
        <v>55.506666666666703</v>
      </c>
      <c r="S148">
        <v>66.084999999999994</v>
      </c>
      <c r="T148">
        <v>56.559666666666701</v>
      </c>
      <c r="U148">
        <v>70.927499999999995</v>
      </c>
    </row>
    <row r="149" spans="1:21" x14ac:dyDescent="0.2">
      <c r="A149" t="s">
        <v>271</v>
      </c>
      <c r="B149" t="s">
        <v>272</v>
      </c>
      <c r="C149">
        <v>59.415672836912499</v>
      </c>
      <c r="D149">
        <v>124</v>
      </c>
      <c r="E149">
        <v>17.272500000000001</v>
      </c>
      <c r="F149">
        <v>59.852125000000001</v>
      </c>
      <c r="G149">
        <v>59.501214285714298</v>
      </c>
      <c r="H149">
        <v>54.694249999999997</v>
      </c>
      <c r="I149">
        <v>80.867999999999995</v>
      </c>
      <c r="J149">
        <v>59.511400000000002</v>
      </c>
      <c r="K149">
        <v>38.573999999999998</v>
      </c>
      <c r="L149">
        <v>69.015333333333402</v>
      </c>
      <c r="M149">
        <v>23.483499999999999</v>
      </c>
      <c r="N149">
        <v>34.901499999999999</v>
      </c>
      <c r="O149">
        <v>55.695500000000003</v>
      </c>
      <c r="P149">
        <v>95.373428571428605</v>
      </c>
      <c r="Q149">
        <v>99.147999999999996</v>
      </c>
      <c r="S149">
        <v>65.341200000000001</v>
      </c>
      <c r="T149">
        <v>70.855000000000004</v>
      </c>
      <c r="U149">
        <v>57.981499999999997</v>
      </c>
    </row>
    <row r="150" spans="1:21" x14ac:dyDescent="0.2">
      <c r="A150" t="s">
        <v>207</v>
      </c>
      <c r="B150" t="s">
        <v>208</v>
      </c>
      <c r="C150">
        <v>66.562038712757797</v>
      </c>
      <c r="D150">
        <v>96</v>
      </c>
      <c r="F150">
        <v>58.815874999999998</v>
      </c>
      <c r="G150">
        <v>78.194857142857103</v>
      </c>
      <c r="H150">
        <v>78.898750000000007</v>
      </c>
      <c r="I150">
        <v>46.02075</v>
      </c>
      <c r="J150">
        <v>56.0944</v>
      </c>
      <c r="K150">
        <v>68.652500000000003</v>
      </c>
      <c r="L150">
        <v>71.751249999999999</v>
      </c>
      <c r="M150">
        <v>79.209333333333305</v>
      </c>
      <c r="O150">
        <v>47.889499999999998</v>
      </c>
      <c r="P150">
        <v>74.187571428571403</v>
      </c>
      <c r="Q150">
        <v>50.6176666666667</v>
      </c>
      <c r="R150">
        <v>63.691499999999998</v>
      </c>
      <c r="S150">
        <v>49.264000000000003</v>
      </c>
      <c r="T150">
        <v>80.434749999999994</v>
      </c>
      <c r="U150">
        <v>58.389000000000003</v>
      </c>
    </row>
    <row r="151" spans="1:21" x14ac:dyDescent="0.2">
      <c r="A151" t="s">
        <v>339</v>
      </c>
      <c r="B151" t="s">
        <v>340</v>
      </c>
      <c r="C151">
        <v>49.6261396358544</v>
      </c>
      <c r="D151">
        <v>159</v>
      </c>
      <c r="E151">
        <v>40.756</v>
      </c>
      <c r="F151">
        <v>24.655200000000001</v>
      </c>
      <c r="G151">
        <v>51.330142857142803</v>
      </c>
      <c r="H151">
        <v>31.793749999999999</v>
      </c>
      <c r="I151">
        <v>41.107250000000001</v>
      </c>
      <c r="J151">
        <v>32.6</v>
      </c>
      <c r="K151">
        <v>68.773499999999999</v>
      </c>
      <c r="L151">
        <v>34.405166666666702</v>
      </c>
      <c r="M151">
        <v>16.766999999999999</v>
      </c>
      <c r="N151">
        <v>75.032499999999999</v>
      </c>
      <c r="O151">
        <v>30.280249999999999</v>
      </c>
      <c r="P151">
        <v>95.067142857142898</v>
      </c>
      <c r="Q151">
        <v>99.18</v>
      </c>
      <c r="R151">
        <v>64.303399999999996</v>
      </c>
      <c r="S151">
        <v>49.357500000000002</v>
      </c>
      <c r="T151">
        <v>53.088571428571399</v>
      </c>
      <c r="U151">
        <v>35.146999999999998</v>
      </c>
    </row>
    <row r="152" spans="1:21" x14ac:dyDescent="0.2">
      <c r="A152" t="s">
        <v>261</v>
      </c>
      <c r="B152" t="s">
        <v>262</v>
      </c>
      <c r="C152">
        <v>58.703389495798298</v>
      </c>
      <c r="D152">
        <v>126</v>
      </c>
      <c r="E152">
        <v>28.85</v>
      </c>
      <c r="F152">
        <v>62.197249999999997</v>
      </c>
      <c r="G152">
        <v>57.656142857142903</v>
      </c>
      <c r="H152">
        <v>28.56175</v>
      </c>
      <c r="I152">
        <v>44.134500000000003</v>
      </c>
      <c r="J152">
        <v>64.911000000000001</v>
      </c>
      <c r="K152">
        <v>58.083500000000001</v>
      </c>
      <c r="L152">
        <v>72.349999999999994</v>
      </c>
      <c r="M152">
        <v>23.9218333333333</v>
      </c>
      <c r="N152">
        <v>51.034500000000001</v>
      </c>
      <c r="O152">
        <v>64.055750000000003</v>
      </c>
      <c r="P152">
        <v>96.227428571428604</v>
      </c>
      <c r="Q152">
        <v>97.46</v>
      </c>
      <c r="R152">
        <v>65.721166666666704</v>
      </c>
      <c r="S152">
        <v>62.328400000000002</v>
      </c>
      <c r="T152">
        <v>63.926400000000001</v>
      </c>
      <c r="U152">
        <v>56.537999999999997</v>
      </c>
    </row>
    <row r="153" spans="1:21" x14ac:dyDescent="0.2">
      <c r="A153" t="s">
        <v>147</v>
      </c>
      <c r="B153" t="s">
        <v>148</v>
      </c>
      <c r="C153">
        <v>71.719216660830995</v>
      </c>
      <c r="D153">
        <v>60</v>
      </c>
      <c r="E153">
        <v>98.460499999999996</v>
      </c>
      <c r="F153">
        <v>76.097666666666697</v>
      </c>
      <c r="G153">
        <v>94.883214285714303</v>
      </c>
      <c r="H153">
        <v>97.681749999999994</v>
      </c>
      <c r="I153">
        <v>72.238500000000002</v>
      </c>
      <c r="J153">
        <v>74.186000000000007</v>
      </c>
      <c r="K153">
        <v>71.936499999999995</v>
      </c>
      <c r="L153">
        <v>70.028499999999994</v>
      </c>
      <c r="M153">
        <v>90.641833333333295</v>
      </c>
      <c r="O153">
        <v>94.736999999999995</v>
      </c>
      <c r="P153">
        <v>56.963857142857101</v>
      </c>
      <c r="Q153">
        <v>53.703333333333298</v>
      </c>
      <c r="R153">
        <v>43.499400000000001</v>
      </c>
      <c r="S153">
        <v>30.148250000000001</v>
      </c>
      <c r="T153">
        <v>86.935555555555595</v>
      </c>
      <c r="U153">
        <v>42.749666666666698</v>
      </c>
    </row>
    <row r="154" spans="1:21" x14ac:dyDescent="0.2">
      <c r="A154" t="s">
        <v>389</v>
      </c>
      <c r="B154" t="s">
        <v>390</v>
      </c>
    </row>
    <row r="155" spans="1:21" x14ac:dyDescent="0.2">
      <c r="A155" t="s">
        <v>293</v>
      </c>
      <c r="B155" t="s">
        <v>294</v>
      </c>
      <c r="C155">
        <v>52.9814285014006</v>
      </c>
      <c r="D155">
        <v>146</v>
      </c>
      <c r="E155">
        <v>25.165500000000002</v>
      </c>
      <c r="F155">
        <v>56.005875000000003</v>
      </c>
      <c r="G155">
        <v>31.7205714285714</v>
      </c>
      <c r="H155">
        <v>54.661999999999999</v>
      </c>
      <c r="I155">
        <v>51.185499999999998</v>
      </c>
      <c r="J155">
        <v>49.09</v>
      </c>
      <c r="K155">
        <v>6.2243333333333304</v>
      </c>
      <c r="L155">
        <v>59.256</v>
      </c>
      <c r="M155">
        <v>6.9608333333333299</v>
      </c>
      <c r="N155">
        <v>69.700500000000005</v>
      </c>
      <c r="O155">
        <v>35.890500000000003</v>
      </c>
      <c r="P155">
        <v>98.268571428571505</v>
      </c>
      <c r="Q155">
        <v>99.254333333333307</v>
      </c>
      <c r="R155">
        <v>72.799833333333297</v>
      </c>
      <c r="S155">
        <v>56.590600000000002</v>
      </c>
      <c r="T155">
        <v>58.926000000000002</v>
      </c>
      <c r="U155">
        <v>68.983333333333306</v>
      </c>
    </row>
    <row r="156" spans="1:21" x14ac:dyDescent="0.2">
      <c r="A156" t="s">
        <v>165</v>
      </c>
      <c r="B156" t="s">
        <v>166</v>
      </c>
      <c r="C156">
        <v>69.6031923669468</v>
      </c>
      <c r="D156">
        <v>79</v>
      </c>
      <c r="E156">
        <v>93.608000000000004</v>
      </c>
      <c r="F156">
        <v>54.137625</v>
      </c>
      <c r="G156">
        <v>78.080642857142905</v>
      </c>
      <c r="H156">
        <v>76.139499999999998</v>
      </c>
      <c r="I156">
        <v>68.416749999999993</v>
      </c>
      <c r="J156">
        <v>72.444400000000002</v>
      </c>
      <c r="K156">
        <v>87.523250000000004</v>
      </c>
      <c r="L156">
        <v>62.338333333333303</v>
      </c>
      <c r="M156">
        <v>24.822666666666699</v>
      </c>
      <c r="N156">
        <v>58.490499999999997</v>
      </c>
      <c r="O156">
        <v>82.939499999999995</v>
      </c>
      <c r="P156">
        <v>89.869285714285695</v>
      </c>
      <c r="Q156">
        <v>93.853666666666697</v>
      </c>
      <c r="R156">
        <v>47.587000000000003</v>
      </c>
      <c r="S156">
        <v>69.986000000000004</v>
      </c>
      <c r="T156">
        <v>58.4529</v>
      </c>
      <c r="U156">
        <v>64.564250000000001</v>
      </c>
    </row>
    <row r="157" spans="1:21" x14ac:dyDescent="0.2">
      <c r="A157" t="s">
        <v>391</v>
      </c>
      <c r="B157" t="s">
        <v>392</v>
      </c>
    </row>
    <row r="158" spans="1:21" x14ac:dyDescent="0.2">
      <c r="A158" t="s">
        <v>343</v>
      </c>
      <c r="B158" t="s">
        <v>344</v>
      </c>
      <c r="C158">
        <v>45.567349976657297</v>
      </c>
      <c r="D158">
        <v>160</v>
      </c>
      <c r="E158">
        <v>11.756</v>
      </c>
      <c r="F158">
        <v>26.902000000000001</v>
      </c>
      <c r="G158">
        <v>21.234500000000001</v>
      </c>
      <c r="I158">
        <v>25.5676666666667</v>
      </c>
      <c r="J158">
        <v>49.3</v>
      </c>
      <c r="K158">
        <v>32.470666666666702</v>
      </c>
      <c r="L158">
        <v>49.348999999999997</v>
      </c>
      <c r="M158">
        <v>1.9135</v>
      </c>
      <c r="N158">
        <v>73.802999999999997</v>
      </c>
      <c r="O158">
        <v>56.618749999999999</v>
      </c>
      <c r="P158">
        <v>94.421400000000006</v>
      </c>
      <c r="Q158">
        <v>99.921000000000006</v>
      </c>
      <c r="R158">
        <v>51.324800000000003</v>
      </c>
      <c r="S158">
        <v>53.997999999999998</v>
      </c>
      <c r="T158">
        <v>45.254199999999997</v>
      </c>
      <c r="U158">
        <v>33.3333333333333</v>
      </c>
    </row>
    <row r="159" spans="1:21" x14ac:dyDescent="0.2">
      <c r="A159" t="s">
        <v>91</v>
      </c>
      <c r="B159" t="s">
        <v>92</v>
      </c>
      <c r="C159">
        <v>75.887967691622094</v>
      </c>
      <c r="D159">
        <v>35</v>
      </c>
      <c r="E159">
        <v>99.787999999999997</v>
      </c>
      <c r="F159">
        <v>72.609375</v>
      </c>
      <c r="G159">
        <v>81.996714285714305</v>
      </c>
      <c r="H159">
        <v>94.176500000000004</v>
      </c>
      <c r="I159">
        <v>64.699250000000006</v>
      </c>
      <c r="J159">
        <v>75.391999999999996</v>
      </c>
      <c r="K159">
        <v>64.478999999999999</v>
      </c>
      <c r="L159">
        <v>74.141666666666694</v>
      </c>
      <c r="M159">
        <v>62.200666666666699</v>
      </c>
      <c r="N159">
        <v>69.621499999999997</v>
      </c>
      <c r="O159">
        <v>81.350999999999999</v>
      </c>
      <c r="P159">
        <v>85.9952857142857</v>
      </c>
      <c r="Q159">
        <v>85.513666666666694</v>
      </c>
      <c r="S159">
        <v>59.8874</v>
      </c>
      <c r="T159">
        <v>74.656000000000006</v>
      </c>
      <c r="U159">
        <v>81.397750000000002</v>
      </c>
    </row>
    <row r="160" spans="1:21" x14ac:dyDescent="0.2">
      <c r="A160" t="s">
        <v>351</v>
      </c>
      <c r="B160" t="s">
        <v>352</v>
      </c>
      <c r="C160">
        <v>39.045153159041398</v>
      </c>
      <c r="D160">
        <v>163</v>
      </c>
      <c r="E160">
        <v>0</v>
      </c>
      <c r="F160">
        <v>23.323499999999999</v>
      </c>
      <c r="G160">
        <v>23.108000000000001</v>
      </c>
      <c r="H160">
        <v>1.23325</v>
      </c>
      <c r="I160">
        <v>51.517249999999997</v>
      </c>
      <c r="J160">
        <v>41.040599999999998</v>
      </c>
      <c r="K160">
        <v>14.9943333333333</v>
      </c>
      <c r="L160">
        <v>50.0536666666667</v>
      </c>
      <c r="M160">
        <v>1.869</v>
      </c>
      <c r="N160">
        <v>26.619499999999999</v>
      </c>
      <c r="O160">
        <v>13.82625</v>
      </c>
      <c r="P160">
        <v>90.375399999999999</v>
      </c>
      <c r="Q160">
        <v>99.424999999999997</v>
      </c>
      <c r="S160">
        <v>74.750200000000007</v>
      </c>
      <c r="T160">
        <v>42.240666666666698</v>
      </c>
      <c r="U160">
        <v>41.393000000000001</v>
      </c>
    </row>
    <row r="161" spans="1:21" x14ac:dyDescent="0.2">
      <c r="A161" t="s">
        <v>257</v>
      </c>
      <c r="B161" t="s">
        <v>258</v>
      </c>
      <c r="C161">
        <v>59.422842986425302</v>
      </c>
      <c r="D161">
        <v>123</v>
      </c>
      <c r="E161">
        <v>26.735499999999998</v>
      </c>
      <c r="F161">
        <v>58.716999999999999</v>
      </c>
      <c r="G161">
        <v>65.484230769230805</v>
      </c>
      <c r="H161">
        <v>69.341499999999996</v>
      </c>
      <c r="I161">
        <v>50.778750000000002</v>
      </c>
      <c r="J161">
        <v>51.464750000000002</v>
      </c>
      <c r="K161">
        <v>51.188333333333297</v>
      </c>
      <c r="L161">
        <v>64.726333333333301</v>
      </c>
      <c r="M161">
        <v>20.300799999999999</v>
      </c>
      <c r="N161">
        <v>9.4365000000000006</v>
      </c>
      <c r="O161">
        <v>58.537999999999997</v>
      </c>
      <c r="P161">
        <v>95.683800000000005</v>
      </c>
      <c r="Q161">
        <v>98.715000000000003</v>
      </c>
      <c r="R161">
        <v>80.909499999999994</v>
      </c>
      <c r="S161">
        <v>74.459500000000006</v>
      </c>
      <c r="T161">
        <v>74.795166666666702</v>
      </c>
      <c r="U161">
        <v>58.9136666666667</v>
      </c>
    </row>
    <row r="162" spans="1:21" x14ac:dyDescent="0.2">
      <c r="A162" t="s">
        <v>203</v>
      </c>
      <c r="B162" t="s">
        <v>204</v>
      </c>
      <c r="C162">
        <v>71.590953338001896</v>
      </c>
      <c r="D162">
        <v>62</v>
      </c>
      <c r="E162">
        <v>75.331999999999994</v>
      </c>
      <c r="F162">
        <v>62.374857142857103</v>
      </c>
      <c r="G162">
        <v>68.897285714285701</v>
      </c>
      <c r="H162">
        <v>72.436999999999998</v>
      </c>
      <c r="I162">
        <v>65.798249999999996</v>
      </c>
      <c r="J162">
        <v>71.383750000000006</v>
      </c>
      <c r="K162">
        <v>90.195666666666696</v>
      </c>
      <c r="L162">
        <v>63.215000000000003</v>
      </c>
      <c r="M162">
        <v>42.239750000000001</v>
      </c>
      <c r="O162">
        <v>86.217749999999995</v>
      </c>
      <c r="P162">
        <v>84.914000000000001</v>
      </c>
      <c r="Q162">
        <v>81.045000000000002</v>
      </c>
      <c r="R162">
        <v>84.455500000000001</v>
      </c>
      <c r="S162">
        <v>78.200800000000001</v>
      </c>
      <c r="T162">
        <v>78.129555555555598</v>
      </c>
      <c r="U162">
        <v>76.465666666666706</v>
      </c>
    </row>
    <row r="163" spans="1:21" x14ac:dyDescent="0.2">
      <c r="A163" t="s">
        <v>65</v>
      </c>
      <c r="B163" t="s">
        <v>66</v>
      </c>
      <c r="C163">
        <v>78.661754140406202</v>
      </c>
      <c r="D163">
        <v>24</v>
      </c>
      <c r="E163">
        <v>98.893000000000001</v>
      </c>
      <c r="F163">
        <v>72.639875000000004</v>
      </c>
      <c r="G163">
        <v>87.017428571428596</v>
      </c>
      <c r="H163">
        <v>83.054000000000002</v>
      </c>
      <c r="I163">
        <v>71.893249999999995</v>
      </c>
      <c r="J163">
        <v>83.527199999999993</v>
      </c>
      <c r="K163">
        <v>75.285250000000005</v>
      </c>
      <c r="L163">
        <v>80.366</v>
      </c>
      <c r="M163">
        <v>69.078999999999994</v>
      </c>
      <c r="N163">
        <v>100</v>
      </c>
      <c r="O163">
        <v>85.174999999999997</v>
      </c>
      <c r="P163">
        <v>75.704142857142898</v>
      </c>
      <c r="Q163">
        <v>64.414666666666704</v>
      </c>
      <c r="S163">
        <v>89.162800000000004</v>
      </c>
      <c r="T163">
        <v>80.838899999999995</v>
      </c>
      <c r="U163">
        <v>56.485999999999997</v>
      </c>
    </row>
    <row r="164" spans="1:21" x14ac:dyDescent="0.2">
      <c r="A164" t="s">
        <v>45</v>
      </c>
      <c r="B164" t="s">
        <v>46</v>
      </c>
      <c r="C164">
        <v>79.950296148459401</v>
      </c>
      <c r="D164">
        <v>15</v>
      </c>
      <c r="E164">
        <v>99.864500000000007</v>
      </c>
      <c r="F164">
        <v>66.905625000000001</v>
      </c>
      <c r="G164">
        <v>93.441714285714298</v>
      </c>
      <c r="H164">
        <v>95.447000000000003</v>
      </c>
      <c r="I164">
        <v>77.161249999999995</v>
      </c>
      <c r="J164">
        <v>87.476200000000006</v>
      </c>
      <c r="K164">
        <v>78.435000000000002</v>
      </c>
      <c r="L164">
        <v>86.472166666666695</v>
      </c>
      <c r="M164">
        <v>75.182166666666703</v>
      </c>
      <c r="N164">
        <v>100</v>
      </c>
      <c r="O164">
        <v>84.023333333333298</v>
      </c>
      <c r="P164">
        <v>63.004428571428598</v>
      </c>
      <c r="Q164">
        <v>60.383000000000003</v>
      </c>
      <c r="R164">
        <v>58.4816</v>
      </c>
      <c r="S164">
        <v>83.549000000000007</v>
      </c>
      <c r="T164">
        <v>86.053299999999993</v>
      </c>
      <c r="U164">
        <v>63.274749999999997</v>
      </c>
    </row>
    <row r="165" spans="1:21" x14ac:dyDescent="0.2">
      <c r="A165" t="s">
        <v>23</v>
      </c>
      <c r="B165" t="s">
        <v>24</v>
      </c>
      <c r="C165">
        <v>85.189279438698605</v>
      </c>
      <c r="D165">
        <v>3</v>
      </c>
      <c r="E165">
        <v>98.881</v>
      </c>
      <c r="F165">
        <v>63.410874999999997</v>
      </c>
      <c r="G165">
        <v>95.718923076923105</v>
      </c>
      <c r="H165">
        <v>99.875666666666703</v>
      </c>
      <c r="I165">
        <v>90.918999999999997</v>
      </c>
      <c r="J165">
        <v>95.057599999999994</v>
      </c>
      <c r="K165">
        <v>93.289749999999998</v>
      </c>
      <c r="L165">
        <v>83.8631666666667</v>
      </c>
      <c r="M165">
        <v>97.326166666666694</v>
      </c>
      <c r="N165">
        <v>93.353999999999999</v>
      </c>
      <c r="O165">
        <v>92.012500000000003</v>
      </c>
      <c r="P165">
        <v>63.091285714285704</v>
      </c>
      <c r="Q165">
        <v>60.238999999999997</v>
      </c>
      <c r="R165">
        <v>67.264666666666699</v>
      </c>
      <c r="S165">
        <v>80.122600000000006</v>
      </c>
      <c r="T165">
        <v>86.577799999999996</v>
      </c>
      <c r="U165">
        <v>87.213750000000005</v>
      </c>
    </row>
    <row r="166" spans="1:21" x14ac:dyDescent="0.2">
      <c r="A166" t="s">
        <v>283</v>
      </c>
      <c r="B166" t="s">
        <v>284</v>
      </c>
      <c r="C166">
        <v>54.633173537192697</v>
      </c>
      <c r="D166">
        <v>137</v>
      </c>
      <c r="E166">
        <v>29.795999999999999</v>
      </c>
      <c r="F166">
        <v>51.995375000000003</v>
      </c>
      <c r="G166">
        <v>37.563071428571398</v>
      </c>
      <c r="H166">
        <v>55.472250000000003</v>
      </c>
      <c r="I166">
        <v>63.736750000000001</v>
      </c>
      <c r="J166">
        <v>35.66075</v>
      </c>
      <c r="K166">
        <v>68.055999999999997</v>
      </c>
      <c r="L166">
        <v>46.745199999999997</v>
      </c>
      <c r="M166">
        <v>12.5556</v>
      </c>
      <c r="N166">
        <v>11.831</v>
      </c>
      <c r="O166">
        <v>78.293499999999995</v>
      </c>
      <c r="P166">
        <v>86.338800000000006</v>
      </c>
      <c r="Q166">
        <v>97.715500000000006</v>
      </c>
      <c r="S166">
        <v>65.652500000000003</v>
      </c>
      <c r="T166">
        <v>56.643666666666697</v>
      </c>
      <c r="U166">
        <v>62.71</v>
      </c>
    </row>
    <row r="167" spans="1:21" x14ac:dyDescent="0.2">
      <c r="A167" t="s">
        <v>393</v>
      </c>
      <c r="B167" t="s">
        <v>394</v>
      </c>
    </row>
    <row r="168" spans="1:21" x14ac:dyDescent="0.2">
      <c r="A168" t="s">
        <v>279</v>
      </c>
      <c r="B168" t="s">
        <v>280</v>
      </c>
      <c r="C168">
        <v>57.373427731092399</v>
      </c>
      <c r="D168">
        <v>129</v>
      </c>
      <c r="F168">
        <v>34.123833333333302</v>
      </c>
      <c r="G168">
        <v>66.232142857142904</v>
      </c>
      <c r="H168">
        <v>44.302750000000003</v>
      </c>
      <c r="I168">
        <v>33.441249999999997</v>
      </c>
      <c r="J168">
        <v>64.72</v>
      </c>
      <c r="K168">
        <v>62.21</v>
      </c>
      <c r="L168">
        <v>59.159666666666702</v>
      </c>
      <c r="M168">
        <v>15.032166666666701</v>
      </c>
      <c r="N168">
        <v>71.831000000000003</v>
      </c>
      <c r="O168">
        <v>50.975000000000001</v>
      </c>
      <c r="P168">
        <v>92.829666666666697</v>
      </c>
      <c r="Q168">
        <v>95.090500000000006</v>
      </c>
      <c r="R168">
        <v>49.1068</v>
      </c>
      <c r="S168">
        <v>52.831400000000002</v>
      </c>
      <c r="T168">
        <v>41.918428571428599</v>
      </c>
      <c r="U168">
        <v>48.968666666666699</v>
      </c>
    </row>
    <row r="169" spans="1:21" x14ac:dyDescent="0.2">
      <c r="A169" t="s">
        <v>347</v>
      </c>
      <c r="B169" t="s">
        <v>348</v>
      </c>
      <c r="C169">
        <v>41.289431870526002</v>
      </c>
      <c r="D169">
        <v>161</v>
      </c>
      <c r="E169">
        <v>19.311499999999999</v>
      </c>
      <c r="F169">
        <v>34.927571428571397</v>
      </c>
      <c r="G169">
        <v>23.1913571428571</v>
      </c>
      <c r="H169">
        <v>10.8485</v>
      </c>
      <c r="I169">
        <v>21.74475</v>
      </c>
      <c r="J169">
        <v>42.403599999999997</v>
      </c>
      <c r="K169">
        <v>9.0416666666666696</v>
      </c>
      <c r="L169">
        <v>58.866199999999999</v>
      </c>
      <c r="M169">
        <v>8.9248333333333303</v>
      </c>
      <c r="N169">
        <v>36.527999999999999</v>
      </c>
      <c r="O169">
        <v>26.674499999999998</v>
      </c>
      <c r="P169">
        <v>90.059833333333401</v>
      </c>
      <c r="Q169">
        <v>98.969499999999996</v>
      </c>
      <c r="S169">
        <v>75.604399999999998</v>
      </c>
      <c r="T169">
        <v>30.527142857142898</v>
      </c>
      <c r="U169">
        <v>46.298999999999999</v>
      </c>
    </row>
    <row r="170" spans="1:21" x14ac:dyDescent="0.2">
      <c r="A170" t="s">
        <v>291</v>
      </c>
      <c r="B170" t="s">
        <v>292</v>
      </c>
      <c r="C170">
        <v>55.565387114845898</v>
      </c>
      <c r="D170">
        <v>133</v>
      </c>
      <c r="E170">
        <v>19.449000000000002</v>
      </c>
      <c r="F170">
        <v>60.100749999999998</v>
      </c>
      <c r="G170">
        <v>44.467071428571401</v>
      </c>
      <c r="H170">
        <v>78.926749999999998</v>
      </c>
      <c r="I170">
        <v>43.140749999999997</v>
      </c>
      <c r="J170">
        <v>50.8932</v>
      </c>
      <c r="K170">
        <v>42.871250000000003</v>
      </c>
      <c r="L170">
        <v>65.890166666666701</v>
      </c>
      <c r="M170">
        <v>16.791833333333301</v>
      </c>
      <c r="N170">
        <v>38.0595</v>
      </c>
      <c r="O170">
        <v>37.178249999999998</v>
      </c>
      <c r="P170">
        <v>97.241142857142904</v>
      </c>
      <c r="Q170">
        <v>98.693666666666701</v>
      </c>
      <c r="R170">
        <v>71.957999999999998</v>
      </c>
      <c r="S170">
        <v>77.364249999999998</v>
      </c>
      <c r="T170">
        <v>50.936</v>
      </c>
      <c r="U170">
        <v>50.65</v>
      </c>
    </row>
    <row r="171" spans="1:21" x14ac:dyDescent="0.2">
      <c r="A171" t="s">
        <v>105</v>
      </c>
      <c r="B171" t="s">
        <v>106</v>
      </c>
      <c r="C171">
        <v>74.125647992530403</v>
      </c>
      <c r="D171">
        <v>44</v>
      </c>
      <c r="E171">
        <v>99.990499999999997</v>
      </c>
      <c r="F171">
        <v>57.296750000000003</v>
      </c>
      <c r="G171">
        <v>78.957214285714301</v>
      </c>
      <c r="H171">
        <v>93.593999999999994</v>
      </c>
      <c r="I171">
        <v>69.399749999999997</v>
      </c>
      <c r="J171">
        <v>76.407600000000002</v>
      </c>
      <c r="K171">
        <v>72.673500000000004</v>
      </c>
      <c r="L171">
        <v>72.450333333333305</v>
      </c>
      <c r="M171">
        <v>58.6591666666667</v>
      </c>
      <c r="N171">
        <v>69.702500000000001</v>
      </c>
      <c r="O171">
        <v>77.186499999999995</v>
      </c>
      <c r="P171">
        <v>83.749857142857195</v>
      </c>
      <c r="Q171">
        <v>85.687333333333299</v>
      </c>
      <c r="R171">
        <v>69.526166666666697</v>
      </c>
      <c r="S171">
        <v>65.359399999999994</v>
      </c>
      <c r="T171">
        <v>70.264444444444507</v>
      </c>
      <c r="U171">
        <v>59.231000000000002</v>
      </c>
    </row>
    <row r="172" spans="1:21" x14ac:dyDescent="0.2">
      <c r="A172" t="s">
        <v>189</v>
      </c>
      <c r="B172" t="s">
        <v>190</v>
      </c>
      <c r="C172">
        <v>69.683866221033895</v>
      </c>
      <c r="D172">
        <v>78</v>
      </c>
      <c r="E172">
        <v>90.939499999999995</v>
      </c>
      <c r="F172">
        <v>59.594999999999999</v>
      </c>
      <c r="G172">
        <v>68.339571428571404</v>
      </c>
      <c r="H172">
        <v>73.494500000000002</v>
      </c>
      <c r="I172">
        <v>55.156500000000001</v>
      </c>
      <c r="J172">
        <v>61.8874</v>
      </c>
      <c r="K172">
        <v>90.052000000000007</v>
      </c>
      <c r="L172">
        <v>72.864599999999996</v>
      </c>
      <c r="M172">
        <v>12.407999999999999</v>
      </c>
      <c r="N172">
        <v>76.438500000000005</v>
      </c>
      <c r="O172">
        <v>76.640500000000003</v>
      </c>
      <c r="P172">
        <v>95.918666666666695</v>
      </c>
      <c r="Q172">
        <v>96.950333333333305</v>
      </c>
      <c r="S172">
        <v>68.7928</v>
      </c>
      <c r="T172">
        <v>72.072428571428603</v>
      </c>
      <c r="U172">
        <v>50.885750000000002</v>
      </c>
    </row>
    <row r="173" spans="1:21" x14ac:dyDescent="0.2">
      <c r="A173" t="s">
        <v>201</v>
      </c>
      <c r="B173" t="s">
        <v>202</v>
      </c>
      <c r="C173">
        <v>66.052119512350401</v>
      </c>
      <c r="D173">
        <v>99</v>
      </c>
      <c r="E173">
        <v>91.119500000000002</v>
      </c>
      <c r="F173">
        <v>55.24</v>
      </c>
      <c r="G173">
        <v>70.607500000000002</v>
      </c>
      <c r="H173">
        <v>99.635000000000005</v>
      </c>
      <c r="I173">
        <v>60.270333333333298</v>
      </c>
      <c r="J173">
        <v>59.236600000000003</v>
      </c>
      <c r="K173">
        <v>57.823999999999998</v>
      </c>
      <c r="L173">
        <v>66.084199999999996</v>
      </c>
      <c r="M173">
        <v>12.371</v>
      </c>
      <c r="O173">
        <v>80.085666666666697</v>
      </c>
      <c r="P173">
        <v>87.275666666666694</v>
      </c>
      <c r="Q173">
        <v>57.912999999999997</v>
      </c>
      <c r="S173">
        <v>63.893799999999999</v>
      </c>
      <c r="T173">
        <v>73.876874999999998</v>
      </c>
      <c r="U173">
        <v>42.893333333333302</v>
      </c>
    </row>
    <row r="174" spans="1:21" x14ac:dyDescent="0.2">
      <c r="A174" t="s">
        <v>395</v>
      </c>
      <c r="B174" t="s">
        <v>396</v>
      </c>
    </row>
    <row r="175" spans="1:21" x14ac:dyDescent="0.2">
      <c r="A175" t="s">
        <v>397</v>
      </c>
      <c r="B175" t="s">
        <v>398</v>
      </c>
    </row>
    <row r="176" spans="1:21" x14ac:dyDescent="0.2">
      <c r="A176" t="s">
        <v>247</v>
      </c>
      <c r="B176" t="s">
        <v>248</v>
      </c>
      <c r="C176">
        <v>60.408157072829198</v>
      </c>
      <c r="D176">
        <v>119</v>
      </c>
      <c r="E176">
        <v>98.456500000000005</v>
      </c>
      <c r="F176">
        <v>54.997500000000002</v>
      </c>
      <c r="G176">
        <v>82.282928571428599</v>
      </c>
      <c r="H176">
        <v>90.194500000000005</v>
      </c>
      <c r="I176">
        <v>65.101749999999996</v>
      </c>
      <c r="J176">
        <v>71.414000000000001</v>
      </c>
      <c r="K176">
        <v>56.211750000000002</v>
      </c>
      <c r="L176">
        <v>77.078999999999994</v>
      </c>
      <c r="M176">
        <v>28.420999999999999</v>
      </c>
      <c r="O176">
        <v>78.043666666666695</v>
      </c>
      <c r="P176">
        <v>70.108999999999995</v>
      </c>
      <c r="Q176">
        <v>0</v>
      </c>
      <c r="R176">
        <v>49.9493333333333</v>
      </c>
      <c r="S176">
        <v>53.999200000000002</v>
      </c>
      <c r="T176">
        <v>58.936500000000002</v>
      </c>
      <c r="U176">
        <v>55.997666666666703</v>
      </c>
    </row>
    <row r="177" spans="1:21" x14ac:dyDescent="0.2">
      <c r="A177" t="s">
        <v>135</v>
      </c>
      <c r="B177" t="s">
        <v>136</v>
      </c>
      <c r="C177">
        <v>70.687606302521004</v>
      </c>
      <c r="D177">
        <v>69</v>
      </c>
      <c r="E177">
        <v>97.117500000000007</v>
      </c>
      <c r="F177">
        <v>54.935857142857202</v>
      </c>
      <c r="G177">
        <v>78.741714285714295</v>
      </c>
      <c r="H177">
        <v>68.674250000000001</v>
      </c>
      <c r="I177">
        <v>47.992249999999999</v>
      </c>
      <c r="J177">
        <v>65.947599999999994</v>
      </c>
      <c r="K177">
        <v>74.312749999999994</v>
      </c>
      <c r="L177">
        <v>56.417000000000002</v>
      </c>
      <c r="M177">
        <v>48.3898333333333</v>
      </c>
      <c r="N177">
        <v>80.847499999999997</v>
      </c>
      <c r="O177">
        <v>68.954499999999996</v>
      </c>
      <c r="P177">
        <v>89.103285714285704</v>
      </c>
      <c r="Q177">
        <v>92.477666666666707</v>
      </c>
      <c r="R177">
        <v>61.616500000000002</v>
      </c>
      <c r="S177">
        <v>71.826599999999999</v>
      </c>
      <c r="T177">
        <v>70.913499999999999</v>
      </c>
      <c r="U177">
        <v>73.421000000000006</v>
      </c>
    </row>
    <row r="178" spans="1:21" x14ac:dyDescent="0.2">
      <c r="A178" t="s">
        <v>436</v>
      </c>
      <c r="B178" t="s">
        <v>164</v>
      </c>
      <c r="C178">
        <v>70.409502754435096</v>
      </c>
      <c r="D178">
        <v>71</v>
      </c>
      <c r="E178">
        <v>99.439499999999995</v>
      </c>
      <c r="F178">
        <v>65.245999999999995</v>
      </c>
      <c r="G178">
        <v>82.990357142857206</v>
      </c>
      <c r="H178">
        <v>84.6845</v>
      </c>
      <c r="I178">
        <v>45.614750000000001</v>
      </c>
      <c r="J178">
        <v>75.793599999999998</v>
      </c>
      <c r="K178">
        <v>75.15925</v>
      </c>
      <c r="L178">
        <v>60.062833333333302</v>
      </c>
      <c r="M178">
        <v>64.134666666666703</v>
      </c>
      <c r="N178">
        <v>50.343499999999999</v>
      </c>
      <c r="O178">
        <v>73.118750000000006</v>
      </c>
      <c r="P178">
        <v>85.505428571428595</v>
      </c>
      <c r="Q178">
        <v>85.894000000000005</v>
      </c>
      <c r="R178">
        <v>52.5833333333333</v>
      </c>
      <c r="S178">
        <v>53.678800000000003</v>
      </c>
      <c r="T178">
        <v>68.049777777777805</v>
      </c>
      <c r="U178">
        <v>74.662499999999994</v>
      </c>
    </row>
    <row r="179" spans="1:21" x14ac:dyDescent="0.2">
      <c r="A179" t="s">
        <v>399</v>
      </c>
      <c r="B179" t="s">
        <v>400</v>
      </c>
    </row>
    <row r="180" spans="1:21" x14ac:dyDescent="0.2">
      <c r="A180" t="s">
        <v>287</v>
      </c>
      <c r="B180" t="s">
        <v>288</v>
      </c>
      <c r="C180">
        <v>57.367620798319301</v>
      </c>
      <c r="D180">
        <v>130</v>
      </c>
      <c r="E180">
        <v>17.954499999999999</v>
      </c>
      <c r="F180">
        <v>59.748874999999998</v>
      </c>
      <c r="G180">
        <v>43.9289285714286</v>
      </c>
      <c r="H180">
        <v>47.627000000000002</v>
      </c>
      <c r="I180">
        <v>72.833749999999995</v>
      </c>
      <c r="J180">
        <v>51.953400000000002</v>
      </c>
      <c r="K180">
        <v>52.253250000000001</v>
      </c>
      <c r="L180">
        <v>67.676333333333304</v>
      </c>
      <c r="M180">
        <v>22.291499999999999</v>
      </c>
      <c r="N180">
        <v>50.377499999999998</v>
      </c>
      <c r="O180">
        <v>62.017749999999999</v>
      </c>
      <c r="P180">
        <v>95.92</v>
      </c>
      <c r="Q180">
        <v>98.901333333333397</v>
      </c>
      <c r="R180">
        <v>74.584333333333305</v>
      </c>
      <c r="S180">
        <v>59.799399999999999</v>
      </c>
      <c r="T180">
        <v>52.856200000000001</v>
      </c>
      <c r="U180">
        <v>44.525500000000001</v>
      </c>
    </row>
    <row r="181" spans="1:21" x14ac:dyDescent="0.2">
      <c r="A181" t="s">
        <v>301</v>
      </c>
      <c r="B181" t="s">
        <v>302</v>
      </c>
      <c r="C181">
        <v>54.857514923747303</v>
      </c>
      <c r="D181">
        <v>136</v>
      </c>
      <c r="E181">
        <v>26.301500000000001</v>
      </c>
      <c r="F181">
        <v>64.419714285714306</v>
      </c>
      <c r="G181">
        <v>49.216642857142901</v>
      </c>
      <c r="H181">
        <v>45.374250000000004</v>
      </c>
      <c r="I181">
        <v>59.905250000000002</v>
      </c>
      <c r="J181">
        <v>47.476999999999997</v>
      </c>
      <c r="K181">
        <v>39.977333333333299</v>
      </c>
      <c r="L181">
        <v>64.118499999999997</v>
      </c>
      <c r="M181">
        <v>26.739000000000001</v>
      </c>
      <c r="N181">
        <v>39.356499999999997</v>
      </c>
      <c r="O181">
        <v>48.392000000000003</v>
      </c>
      <c r="P181">
        <v>96.468142857142894</v>
      </c>
      <c r="Q181">
        <v>99.259333333333402</v>
      </c>
      <c r="S181">
        <v>63.270200000000003</v>
      </c>
      <c r="T181">
        <v>46.547400000000003</v>
      </c>
      <c r="U181">
        <v>47.756999999999998</v>
      </c>
    </row>
    <row r="182" spans="1:21" x14ac:dyDescent="0.2">
      <c r="A182" t="s">
        <v>95</v>
      </c>
      <c r="B182" t="s">
        <v>96</v>
      </c>
      <c r="C182">
        <v>75.693983123249296</v>
      </c>
      <c r="D182">
        <v>37</v>
      </c>
      <c r="E182">
        <v>99.836500000000001</v>
      </c>
      <c r="F182">
        <v>64.117374999999996</v>
      </c>
      <c r="G182">
        <v>76.797571428571402</v>
      </c>
      <c r="H182">
        <v>80.165999999999997</v>
      </c>
      <c r="I182">
        <v>67.668000000000006</v>
      </c>
      <c r="J182">
        <v>78.849199999999996</v>
      </c>
      <c r="K182">
        <v>69.6845</v>
      </c>
      <c r="L182">
        <v>71.454499999999996</v>
      </c>
      <c r="M182">
        <v>48.765500000000003</v>
      </c>
      <c r="N182">
        <v>99.468500000000006</v>
      </c>
      <c r="O182">
        <v>75.491249999999994</v>
      </c>
      <c r="P182">
        <v>88.126000000000005</v>
      </c>
      <c r="Q182">
        <v>89.337999999999994</v>
      </c>
      <c r="R182">
        <v>73.379166666666706</v>
      </c>
      <c r="S182">
        <v>63.747399999999999</v>
      </c>
      <c r="T182">
        <v>66.493499999999997</v>
      </c>
      <c r="U182">
        <v>73.414749999999998</v>
      </c>
    </row>
    <row r="183" spans="1:21" x14ac:dyDescent="0.2">
      <c r="A183" t="s">
        <v>83</v>
      </c>
      <c r="B183" t="s">
        <v>84</v>
      </c>
      <c r="C183">
        <v>77.003330392156897</v>
      </c>
      <c r="D183">
        <v>31</v>
      </c>
      <c r="E183">
        <v>99.932000000000002</v>
      </c>
      <c r="F183">
        <v>68.410250000000005</v>
      </c>
      <c r="G183">
        <v>84.640642857142893</v>
      </c>
      <c r="H183">
        <v>95.891000000000005</v>
      </c>
      <c r="I183">
        <v>71.415333333333294</v>
      </c>
      <c r="J183">
        <v>76.222999999999999</v>
      </c>
      <c r="K183">
        <v>97.697000000000003</v>
      </c>
      <c r="L183">
        <v>77.011333333333297</v>
      </c>
      <c r="M183">
        <v>50.773666666666699</v>
      </c>
      <c r="N183">
        <v>54.0045</v>
      </c>
      <c r="O183">
        <v>91.129000000000005</v>
      </c>
      <c r="P183">
        <v>75.097857142857094</v>
      </c>
      <c r="Q183">
        <v>91.188000000000002</v>
      </c>
      <c r="R183">
        <v>57.878166666666701</v>
      </c>
      <c r="S183">
        <v>60.2102</v>
      </c>
      <c r="T183">
        <v>81.39</v>
      </c>
      <c r="U183">
        <v>76.164666666666704</v>
      </c>
    </row>
    <row r="184" spans="1:21" x14ac:dyDescent="0.2">
      <c r="A184" t="s">
        <v>97</v>
      </c>
      <c r="B184" t="s">
        <v>98</v>
      </c>
      <c r="C184">
        <v>74.551987605042001</v>
      </c>
      <c r="D184">
        <v>41</v>
      </c>
      <c r="E184">
        <v>99.134</v>
      </c>
      <c r="F184">
        <v>69.528125000000003</v>
      </c>
      <c r="G184">
        <v>88.009214285714293</v>
      </c>
      <c r="H184">
        <v>94.099000000000004</v>
      </c>
      <c r="I184">
        <v>76.5625</v>
      </c>
      <c r="J184">
        <v>85.068399999999997</v>
      </c>
      <c r="K184">
        <v>72.503</v>
      </c>
      <c r="L184">
        <v>79.105666666666707</v>
      </c>
      <c r="M184">
        <v>94.543833333333296</v>
      </c>
      <c r="N184">
        <v>51.984999999999999</v>
      </c>
      <c r="O184">
        <v>90.563749999999999</v>
      </c>
      <c r="P184">
        <v>67.822999999999993</v>
      </c>
      <c r="Q184">
        <v>45.090666666666699</v>
      </c>
      <c r="R184">
        <v>62.289166666666702</v>
      </c>
      <c r="S184">
        <v>56.040599999999998</v>
      </c>
      <c r="T184">
        <v>71.967200000000005</v>
      </c>
      <c r="U184">
        <v>63.070666666666703</v>
      </c>
    </row>
    <row r="185" spans="1:21" x14ac:dyDescent="0.2">
      <c r="A185" t="s">
        <v>157</v>
      </c>
      <c r="B185" t="s">
        <v>158</v>
      </c>
      <c r="C185">
        <v>69.934752775655696</v>
      </c>
      <c r="D185">
        <v>77</v>
      </c>
      <c r="E185">
        <v>74.605999999999995</v>
      </c>
      <c r="F185">
        <v>65.415714285714301</v>
      </c>
      <c r="G185">
        <v>78.575142857142893</v>
      </c>
      <c r="H185">
        <v>84.447500000000005</v>
      </c>
      <c r="I185">
        <v>70.225666666666697</v>
      </c>
      <c r="J185">
        <v>58.805199999999999</v>
      </c>
      <c r="K185">
        <v>63.393500000000003</v>
      </c>
      <c r="L185">
        <v>64.263499999999993</v>
      </c>
      <c r="M185">
        <v>34.300833333333301</v>
      </c>
      <c r="N185">
        <v>78.028000000000006</v>
      </c>
      <c r="O185">
        <v>74.194000000000003</v>
      </c>
      <c r="P185">
        <v>96.1101666666667</v>
      </c>
      <c r="Q185">
        <v>92.788333333333398</v>
      </c>
      <c r="S185">
        <v>64.736599999999996</v>
      </c>
      <c r="T185">
        <v>70.856714285714304</v>
      </c>
      <c r="U185">
        <v>55.954250000000002</v>
      </c>
    </row>
    <row r="186" spans="1:21" x14ac:dyDescent="0.2">
      <c r="A186" t="s">
        <v>401</v>
      </c>
      <c r="B186" t="s">
        <v>402</v>
      </c>
    </row>
    <row r="187" spans="1:21" x14ac:dyDescent="0.2">
      <c r="A187" t="s">
        <v>253</v>
      </c>
      <c r="B187" t="s">
        <v>254</v>
      </c>
      <c r="C187">
        <v>60.3375829598506</v>
      </c>
      <c r="D187">
        <v>120</v>
      </c>
      <c r="E187">
        <v>13.188499999999999</v>
      </c>
      <c r="F187">
        <v>44.5768571428572</v>
      </c>
      <c r="G187">
        <v>64.591714285714303</v>
      </c>
      <c r="H187">
        <v>81.22</v>
      </c>
      <c r="I187">
        <v>60.103666666666697</v>
      </c>
      <c r="J187">
        <v>77.574399999999997</v>
      </c>
      <c r="K187">
        <v>76.232249999999993</v>
      </c>
      <c r="L187">
        <v>73.267200000000003</v>
      </c>
      <c r="M187">
        <v>30.467833333333299</v>
      </c>
      <c r="N187">
        <v>51.268000000000001</v>
      </c>
      <c r="O187">
        <v>49.5713333333333</v>
      </c>
      <c r="P187">
        <v>85.456833333333293</v>
      </c>
      <c r="Q187">
        <v>92.421999999999997</v>
      </c>
      <c r="R187">
        <v>75.456833333333293</v>
      </c>
      <c r="S187">
        <v>67.007599999999996</v>
      </c>
      <c r="T187">
        <v>33.138555555555598</v>
      </c>
      <c r="U187">
        <v>50.195333333333302</v>
      </c>
    </row>
    <row r="188" spans="1:21" x14ac:dyDescent="0.2">
      <c r="A188" t="s">
        <v>129</v>
      </c>
      <c r="B188" t="s">
        <v>130</v>
      </c>
      <c r="C188">
        <v>72.763492857142893</v>
      </c>
      <c r="D188">
        <v>55</v>
      </c>
      <c r="E188">
        <v>95.625</v>
      </c>
      <c r="F188">
        <v>71.390749999999997</v>
      </c>
      <c r="G188">
        <v>70.850785714285706</v>
      </c>
      <c r="H188">
        <v>97.828999999999994</v>
      </c>
      <c r="I188">
        <v>71.740499999999997</v>
      </c>
      <c r="J188">
        <v>74.315799999999996</v>
      </c>
      <c r="K188">
        <v>67.895250000000004</v>
      </c>
      <c r="L188">
        <v>72.771000000000001</v>
      </c>
      <c r="M188">
        <v>51.317666666666703</v>
      </c>
      <c r="N188">
        <v>70.388000000000005</v>
      </c>
      <c r="O188">
        <v>78.926749999999998</v>
      </c>
      <c r="P188">
        <v>93.8831428571429</v>
      </c>
      <c r="Q188">
        <v>92.642666666666699</v>
      </c>
      <c r="R188">
        <v>48.789166666666702</v>
      </c>
      <c r="S188">
        <v>46.492199999999997</v>
      </c>
      <c r="T188">
        <v>66.448700000000002</v>
      </c>
      <c r="U188">
        <v>65.673000000000002</v>
      </c>
    </row>
    <row r="189" spans="1:21" x14ac:dyDescent="0.2">
      <c r="A189" t="s">
        <v>403</v>
      </c>
      <c r="B189" t="s">
        <v>404</v>
      </c>
    </row>
    <row r="190" spans="1:21" x14ac:dyDescent="0.2">
      <c r="A190" t="s">
        <v>405</v>
      </c>
      <c r="B190" t="s">
        <v>406</v>
      </c>
    </row>
    <row r="191" spans="1:21" x14ac:dyDescent="0.2">
      <c r="A191" t="s">
        <v>345</v>
      </c>
      <c r="B191" t="s">
        <v>346</v>
      </c>
      <c r="C191">
        <v>52.0844671568628</v>
      </c>
      <c r="D191">
        <v>150</v>
      </c>
      <c r="F191">
        <v>35.615625000000001</v>
      </c>
      <c r="G191">
        <v>45.278142857142903</v>
      </c>
      <c r="H191">
        <v>41.766750000000002</v>
      </c>
      <c r="I191">
        <v>13.44</v>
      </c>
      <c r="J191">
        <v>36.231400000000001</v>
      </c>
      <c r="K191">
        <v>37.1175</v>
      </c>
      <c r="L191">
        <v>49.423333333333296</v>
      </c>
      <c r="M191">
        <v>9.3171666666666706</v>
      </c>
      <c r="N191">
        <v>66.292500000000004</v>
      </c>
      <c r="O191">
        <v>45.616500000000002</v>
      </c>
      <c r="P191">
        <v>96.797857142857197</v>
      </c>
      <c r="Q191">
        <v>98.649000000000001</v>
      </c>
      <c r="R191">
        <v>75.456166666666704</v>
      </c>
      <c r="S191">
        <v>48.7455</v>
      </c>
      <c r="T191">
        <v>42.139499999999998</v>
      </c>
      <c r="U191">
        <v>50.973999999999997</v>
      </c>
    </row>
    <row r="192" spans="1:21" x14ac:dyDescent="0.2">
      <c r="A192" t="s">
        <v>239</v>
      </c>
      <c r="B192" t="s">
        <v>240</v>
      </c>
      <c r="C192">
        <v>63.722764005602201</v>
      </c>
      <c r="D192">
        <v>108</v>
      </c>
      <c r="E192">
        <v>45.552</v>
      </c>
      <c r="F192">
        <v>59.571249999999999</v>
      </c>
      <c r="G192">
        <v>55.764000000000003</v>
      </c>
      <c r="H192">
        <v>76.6755</v>
      </c>
      <c r="I192">
        <v>83.524500000000003</v>
      </c>
      <c r="J192">
        <v>65.203800000000001</v>
      </c>
      <c r="K192">
        <v>60.311250000000001</v>
      </c>
      <c r="L192">
        <v>60.8706666666667</v>
      </c>
      <c r="M192">
        <v>67.296666666666695</v>
      </c>
      <c r="N192">
        <v>0</v>
      </c>
      <c r="O192">
        <v>79.862250000000003</v>
      </c>
      <c r="P192">
        <v>88.655571428571406</v>
      </c>
      <c r="Q192">
        <v>81.690666666666701</v>
      </c>
      <c r="R192">
        <v>66.967666666666702</v>
      </c>
      <c r="S192">
        <v>57.656999999999996</v>
      </c>
      <c r="T192">
        <v>59.049700000000001</v>
      </c>
      <c r="U192">
        <v>74.634500000000003</v>
      </c>
    </row>
    <row r="193" spans="1:21" x14ac:dyDescent="0.2">
      <c r="A193" t="s">
        <v>309</v>
      </c>
      <c r="B193" t="s">
        <v>310</v>
      </c>
      <c r="C193">
        <v>54.159856240273903</v>
      </c>
      <c r="D193">
        <v>140</v>
      </c>
      <c r="E193">
        <v>9.4420000000000002</v>
      </c>
      <c r="F193">
        <v>60.977714285714299</v>
      </c>
      <c r="G193">
        <v>42.241071428571402</v>
      </c>
      <c r="H193">
        <v>66.055666666666696</v>
      </c>
      <c r="I193">
        <v>59.21275</v>
      </c>
      <c r="J193">
        <v>53.767200000000003</v>
      </c>
      <c r="K193">
        <v>61.276249999999997</v>
      </c>
      <c r="L193">
        <v>55.136333333333297</v>
      </c>
      <c r="M193">
        <v>18.5848333333333</v>
      </c>
      <c r="N193">
        <v>8.31</v>
      </c>
      <c r="O193">
        <v>50.3095</v>
      </c>
      <c r="P193">
        <v>96.078000000000003</v>
      </c>
      <c r="Q193">
        <v>97.465000000000003</v>
      </c>
      <c r="S193">
        <v>69.022000000000006</v>
      </c>
      <c r="T193">
        <v>49.516500000000001</v>
      </c>
      <c r="U193">
        <v>55.324750000000002</v>
      </c>
    </row>
    <row r="194" spans="1:21" x14ac:dyDescent="0.2">
      <c r="A194" t="s">
        <v>295</v>
      </c>
      <c r="B194" t="s">
        <v>296</v>
      </c>
      <c r="C194">
        <v>56.766306240273899</v>
      </c>
      <c r="D194">
        <v>131</v>
      </c>
      <c r="F194">
        <v>47.881</v>
      </c>
      <c r="G194">
        <v>41.399214285714301</v>
      </c>
      <c r="H194">
        <v>61.059750000000001</v>
      </c>
      <c r="I194">
        <v>78.746750000000006</v>
      </c>
      <c r="J194">
        <v>45.851999999999997</v>
      </c>
      <c r="K194">
        <v>61.97025</v>
      </c>
      <c r="L194">
        <v>61.101500000000001</v>
      </c>
      <c r="M194">
        <v>19.110399999999998</v>
      </c>
      <c r="N194">
        <v>23.981000000000002</v>
      </c>
      <c r="O194">
        <v>59.125500000000002</v>
      </c>
      <c r="P194">
        <v>95.990571428571499</v>
      </c>
      <c r="Q194">
        <v>92.429333333333304</v>
      </c>
      <c r="S194">
        <v>78.609399999999994</v>
      </c>
      <c r="T194">
        <v>48.123800000000003</v>
      </c>
      <c r="U194">
        <v>49.881</v>
      </c>
    </row>
    <row r="195" spans="1:21" x14ac:dyDescent="0.2">
      <c r="A195" t="s">
        <v>409</v>
      </c>
      <c r="B195" t="s">
        <v>410</v>
      </c>
      <c r="C195">
        <v>65.917795798319304</v>
      </c>
      <c r="E195">
        <v>79.319500000000005</v>
      </c>
      <c r="F195">
        <v>65.469250000000002</v>
      </c>
      <c r="G195">
        <v>69.62</v>
      </c>
      <c r="H195">
        <v>86.306250000000006</v>
      </c>
      <c r="I195">
        <v>55.941249999999997</v>
      </c>
      <c r="J195">
        <v>65.090800000000002</v>
      </c>
      <c r="K195">
        <v>66.120999999999995</v>
      </c>
      <c r="L195">
        <v>69.661833333333306</v>
      </c>
      <c r="M195">
        <v>57.802500000000002</v>
      </c>
      <c r="N195">
        <v>37.079000000000001</v>
      </c>
      <c r="O195">
        <v>63.231499999999997</v>
      </c>
      <c r="P195">
        <v>93.409428571428606</v>
      </c>
      <c r="Q195">
        <v>91.444333333333304</v>
      </c>
      <c r="R195">
        <v>56.235833333333296</v>
      </c>
      <c r="S195">
        <v>51.445999999999998</v>
      </c>
      <c r="T195">
        <v>61.653799999999997</v>
      </c>
      <c r="U195">
        <v>50.770249999999997</v>
      </c>
    </row>
    <row r="196" spans="1:21" x14ac:dyDescent="0.2">
      <c r="A196" t="s">
        <v>407</v>
      </c>
      <c r="B196" t="s">
        <v>408</v>
      </c>
      <c r="C196">
        <v>71.645183581349201</v>
      </c>
      <c r="E196">
        <v>96.17</v>
      </c>
      <c r="F196">
        <v>58.095142857142903</v>
      </c>
      <c r="G196">
        <v>74.057714285714297</v>
      </c>
      <c r="H196">
        <v>86.927999999999997</v>
      </c>
      <c r="I196">
        <v>60.509500000000003</v>
      </c>
      <c r="J196">
        <v>71.262600000000006</v>
      </c>
      <c r="K196">
        <v>63.181249999999999</v>
      </c>
      <c r="L196">
        <v>68.692999999999998</v>
      </c>
      <c r="M196">
        <v>51.110500000000002</v>
      </c>
      <c r="N196">
        <v>82.662000000000006</v>
      </c>
      <c r="O196">
        <v>72.753500000000003</v>
      </c>
      <c r="P196">
        <v>87.398285714285706</v>
      </c>
      <c r="Q196">
        <v>80.140333333333302</v>
      </c>
      <c r="S196">
        <v>65.784999999999997</v>
      </c>
      <c r="T196">
        <v>61.8641111111111</v>
      </c>
      <c r="U196">
        <v>65.712000000000003</v>
      </c>
    </row>
    <row r="197" spans="1:21" x14ac:dyDescent="0.2">
      <c r="A197" t="s">
        <v>411</v>
      </c>
      <c r="B197" t="s">
        <v>412</v>
      </c>
      <c r="C197">
        <v>69.530163585434195</v>
      </c>
      <c r="E197">
        <v>80.257999999999996</v>
      </c>
      <c r="F197">
        <v>63.817250000000001</v>
      </c>
      <c r="G197">
        <v>75.226642857142906</v>
      </c>
      <c r="H197">
        <v>88.645250000000004</v>
      </c>
      <c r="I197">
        <v>70.258250000000004</v>
      </c>
      <c r="J197">
        <v>80.7958</v>
      </c>
      <c r="K197">
        <v>84.471500000000006</v>
      </c>
      <c r="L197">
        <v>65.606666666666698</v>
      </c>
      <c r="M197">
        <v>48.054000000000002</v>
      </c>
      <c r="N197">
        <v>20.341000000000001</v>
      </c>
      <c r="O197">
        <v>75.992750000000001</v>
      </c>
      <c r="P197">
        <v>86.463571428571399</v>
      </c>
      <c r="Q197">
        <v>92.474999999999994</v>
      </c>
      <c r="R197">
        <v>61.125</v>
      </c>
      <c r="S197">
        <v>61.610199999999999</v>
      </c>
      <c r="T197">
        <v>59.999400000000001</v>
      </c>
      <c r="U197">
        <v>66.872500000000002</v>
      </c>
    </row>
    <row r="198" spans="1:21" x14ac:dyDescent="0.2">
      <c r="A198" t="s">
        <v>413</v>
      </c>
      <c r="B198" t="s">
        <v>414</v>
      </c>
      <c r="C198">
        <v>66.695639495798304</v>
      </c>
      <c r="E198">
        <v>88.163499999999999</v>
      </c>
      <c r="F198">
        <v>60.379874999999998</v>
      </c>
      <c r="G198">
        <v>72.506142857142905</v>
      </c>
      <c r="H198">
        <v>68.822999999999993</v>
      </c>
      <c r="I198">
        <v>43.579749999999997</v>
      </c>
      <c r="J198">
        <v>58.163400000000003</v>
      </c>
      <c r="K198">
        <v>64.748000000000005</v>
      </c>
      <c r="L198">
        <v>62.519750000000002</v>
      </c>
      <c r="M198">
        <v>51.183333333333302</v>
      </c>
      <c r="N198">
        <v>73.558000000000007</v>
      </c>
      <c r="O198">
        <v>61.248666666666701</v>
      </c>
      <c r="P198">
        <v>89.326428571428593</v>
      </c>
      <c r="Q198">
        <v>80.988</v>
      </c>
      <c r="R198">
        <v>63.3215</v>
      </c>
      <c r="S198">
        <v>64.150400000000005</v>
      </c>
      <c r="T198">
        <v>68.008125000000007</v>
      </c>
      <c r="U198">
        <v>63.158000000000001</v>
      </c>
    </row>
    <row r="199" spans="1:21" x14ac:dyDescent="0.2">
      <c r="A199" t="s">
        <v>415</v>
      </c>
      <c r="B199" t="s">
        <v>416</v>
      </c>
      <c r="C199">
        <v>52.347074509803903</v>
      </c>
      <c r="E199">
        <v>35.1755</v>
      </c>
      <c r="F199">
        <v>28.595600000000001</v>
      </c>
      <c r="G199">
        <v>44.6949166666667</v>
      </c>
      <c r="H199">
        <v>58.723500000000001</v>
      </c>
      <c r="I199">
        <v>43.44</v>
      </c>
      <c r="J199">
        <v>15.7596666666667</v>
      </c>
      <c r="K199">
        <v>45.685666666666698</v>
      </c>
      <c r="L199">
        <v>67.566999999999993</v>
      </c>
      <c r="M199">
        <v>12.292</v>
      </c>
      <c r="N199">
        <v>47.856999999999999</v>
      </c>
      <c r="O199">
        <v>75.293000000000006</v>
      </c>
      <c r="P199">
        <v>92.720500000000001</v>
      </c>
      <c r="Q199">
        <v>97.94</v>
      </c>
      <c r="R199">
        <v>65.728999999999999</v>
      </c>
      <c r="S199">
        <v>51.0446666666667</v>
      </c>
      <c r="T199">
        <v>62.140749999999997</v>
      </c>
      <c r="U199">
        <v>45.241500000000002</v>
      </c>
    </row>
    <row r="200" spans="1:21" x14ac:dyDescent="0.2">
      <c r="A200" t="s">
        <v>417</v>
      </c>
      <c r="B200" t="s">
        <v>418</v>
      </c>
      <c r="C200">
        <v>77.175648459383694</v>
      </c>
      <c r="E200">
        <v>97.869</v>
      </c>
      <c r="F200">
        <v>69.471000000000004</v>
      </c>
      <c r="G200">
        <v>89.365714285714304</v>
      </c>
      <c r="H200">
        <v>94.635333333333307</v>
      </c>
      <c r="I200">
        <v>74.644750000000002</v>
      </c>
      <c r="J200">
        <v>84.79</v>
      </c>
      <c r="K200">
        <v>74.341999999999999</v>
      </c>
      <c r="L200">
        <v>77.435500000000005</v>
      </c>
      <c r="M200">
        <v>90.061166666666693</v>
      </c>
      <c r="N200">
        <v>65.137</v>
      </c>
      <c r="O200">
        <v>87.725999999999999</v>
      </c>
      <c r="P200">
        <v>70.833142857142903</v>
      </c>
      <c r="Q200">
        <v>62.222666666666697</v>
      </c>
      <c r="R200">
        <v>61.982999999999997</v>
      </c>
      <c r="S200">
        <v>65.388000000000005</v>
      </c>
      <c r="T200">
        <v>76.098500000000001</v>
      </c>
      <c r="U200">
        <v>69.983249999999998</v>
      </c>
    </row>
    <row r="201" spans="1:21" x14ac:dyDescent="0.2">
      <c r="A201" t="s">
        <v>419</v>
      </c>
      <c r="B201" t="s">
        <v>420</v>
      </c>
      <c r="C201">
        <v>65.255233624218903</v>
      </c>
      <c r="E201">
        <v>62.6995</v>
      </c>
      <c r="F201">
        <v>50.905285714285696</v>
      </c>
      <c r="G201">
        <v>64.801769230769196</v>
      </c>
      <c r="H201">
        <v>80.195499999999996</v>
      </c>
      <c r="I201">
        <v>62.402000000000001</v>
      </c>
      <c r="J201">
        <v>57.606749999999998</v>
      </c>
      <c r="K201">
        <v>67.235666666666702</v>
      </c>
      <c r="L201">
        <v>70.407333333333298</v>
      </c>
      <c r="M201">
        <v>41.883499999999998</v>
      </c>
      <c r="N201">
        <v>42.945999999999998</v>
      </c>
      <c r="O201">
        <v>76.454999999999998</v>
      </c>
      <c r="P201">
        <v>82.561000000000007</v>
      </c>
      <c r="Q201">
        <v>92.376499999999993</v>
      </c>
      <c r="R201">
        <v>70.226500000000001</v>
      </c>
      <c r="S201">
        <v>57.866999999999997</v>
      </c>
      <c r="T201">
        <v>65.249666666666698</v>
      </c>
      <c r="U201">
        <v>63.52</v>
      </c>
    </row>
    <row r="202" spans="1:21" x14ac:dyDescent="0.2">
      <c r="A202" t="s">
        <v>421</v>
      </c>
      <c r="B202" t="s">
        <v>422</v>
      </c>
      <c r="C202">
        <v>53.594166736694703</v>
      </c>
      <c r="E202">
        <v>24.800999999999998</v>
      </c>
      <c r="F202">
        <v>57.297375000000002</v>
      </c>
      <c r="G202">
        <v>40.531714285714301</v>
      </c>
      <c r="H202">
        <v>42.363</v>
      </c>
      <c r="I202">
        <v>52.331249999999997</v>
      </c>
      <c r="J202">
        <v>51.8324</v>
      </c>
      <c r="K202">
        <v>54.085250000000002</v>
      </c>
      <c r="L202">
        <v>58.683833333333297</v>
      </c>
      <c r="M202">
        <v>24.3378333333333</v>
      </c>
      <c r="N202">
        <v>33.892499999999998</v>
      </c>
      <c r="O202">
        <v>46.723500000000001</v>
      </c>
      <c r="P202">
        <v>95.8664285714286</v>
      </c>
      <c r="Q202">
        <v>96.962999999999994</v>
      </c>
      <c r="R202">
        <v>67.719499999999996</v>
      </c>
      <c r="S202">
        <v>66.212800000000001</v>
      </c>
      <c r="T202">
        <v>49.565199999999997</v>
      </c>
      <c r="U202">
        <v>47.89425</v>
      </c>
    </row>
    <row r="203" spans="1:21" x14ac:dyDescent="0.2">
      <c r="A203" t="s">
        <v>423</v>
      </c>
      <c r="B203" t="s">
        <v>424</v>
      </c>
      <c r="C203">
        <v>51.612505602240901</v>
      </c>
      <c r="E203">
        <v>21.297999999999998</v>
      </c>
      <c r="F203">
        <v>53.672750000000001</v>
      </c>
      <c r="G203">
        <v>41.735571428571397</v>
      </c>
      <c r="H203">
        <v>35.8005</v>
      </c>
      <c r="I203">
        <v>45.9315</v>
      </c>
      <c r="J203">
        <v>46.13</v>
      </c>
      <c r="K203">
        <v>52.951250000000002</v>
      </c>
      <c r="L203">
        <v>51.296999999999997</v>
      </c>
      <c r="M203">
        <v>14.571666666666699</v>
      </c>
      <c r="N203">
        <v>51.662500000000001</v>
      </c>
      <c r="O203">
        <v>45.709000000000003</v>
      </c>
      <c r="P203">
        <v>96.730857142857204</v>
      </c>
      <c r="Q203">
        <v>98.754666666666694</v>
      </c>
      <c r="R203">
        <v>69.209333333333305</v>
      </c>
      <c r="S203">
        <v>62.438600000000001</v>
      </c>
      <c r="T203">
        <v>47.193399999999997</v>
      </c>
      <c r="U203">
        <v>42.326000000000001</v>
      </c>
    </row>
    <row r="204" spans="1:21" x14ac:dyDescent="0.2">
      <c r="A204" t="s">
        <v>425</v>
      </c>
      <c r="B204" t="s">
        <v>426</v>
      </c>
      <c r="C204">
        <v>61.760293907563003</v>
      </c>
      <c r="E204">
        <v>63.380499999999998</v>
      </c>
      <c r="F204">
        <v>57.712874999999997</v>
      </c>
      <c r="G204">
        <v>59.427999999999997</v>
      </c>
      <c r="H204">
        <v>76.536749999999998</v>
      </c>
      <c r="I204">
        <v>45.33625</v>
      </c>
      <c r="J204">
        <v>60.434800000000003</v>
      </c>
      <c r="K204">
        <v>66.919250000000005</v>
      </c>
      <c r="L204">
        <v>66.346000000000004</v>
      </c>
      <c r="M204">
        <v>39.919333333333299</v>
      </c>
      <c r="N204">
        <v>42.904000000000003</v>
      </c>
      <c r="O204">
        <v>54.953000000000003</v>
      </c>
      <c r="P204">
        <v>95.194571428571393</v>
      </c>
      <c r="Q204">
        <v>95.076333333333295</v>
      </c>
      <c r="R204">
        <v>60.5893333333333</v>
      </c>
      <c r="S204">
        <v>57.135599999999997</v>
      </c>
      <c r="T204">
        <v>57.401400000000002</v>
      </c>
      <c r="U204">
        <v>50.656999999999996</v>
      </c>
    </row>
    <row r="205" spans="1:21" x14ac:dyDescent="0.2">
      <c r="A205" t="s">
        <v>427</v>
      </c>
      <c r="B205" t="s">
        <v>428</v>
      </c>
      <c r="C205">
        <v>71.5184018207283</v>
      </c>
      <c r="E205">
        <v>93.650499999999994</v>
      </c>
      <c r="F205">
        <v>73.0715</v>
      </c>
      <c r="G205">
        <v>79.868214285714302</v>
      </c>
      <c r="H205">
        <v>91.425250000000005</v>
      </c>
      <c r="I205">
        <v>72.861500000000007</v>
      </c>
      <c r="J205">
        <v>73.8994</v>
      </c>
      <c r="K205">
        <v>68.5625</v>
      </c>
      <c r="L205">
        <v>69.838499999999996</v>
      </c>
      <c r="M205">
        <v>70.081000000000003</v>
      </c>
      <c r="N205">
        <v>31.123999999999999</v>
      </c>
      <c r="O205">
        <v>78.908249999999995</v>
      </c>
      <c r="P205">
        <v>88.593999999999994</v>
      </c>
      <c r="Q205">
        <v>85.168666666666695</v>
      </c>
      <c r="R205">
        <v>55.698</v>
      </c>
      <c r="S205">
        <v>54.212000000000003</v>
      </c>
      <c r="T205">
        <v>69.740300000000005</v>
      </c>
      <c r="U205">
        <v>59.109250000000003</v>
      </c>
    </row>
    <row r="206" spans="1:21" x14ac:dyDescent="0.2">
      <c r="A206" t="s">
        <v>429</v>
      </c>
      <c r="B206" t="s">
        <v>430</v>
      </c>
      <c r="C206">
        <v>77.453010644257702</v>
      </c>
      <c r="E206">
        <v>99.265500000000003</v>
      </c>
      <c r="F206">
        <v>71.114249999999998</v>
      </c>
      <c r="G206">
        <v>90.974999999999994</v>
      </c>
      <c r="H206">
        <v>96.097999999999999</v>
      </c>
      <c r="I206">
        <v>75.370999999999995</v>
      </c>
      <c r="J206">
        <v>71.957999999999998</v>
      </c>
      <c r="K206">
        <v>74.377250000000004</v>
      </c>
      <c r="L206">
        <v>80.623999999999995</v>
      </c>
      <c r="M206">
        <v>92.340333333333305</v>
      </c>
      <c r="N206">
        <v>73.254999999999995</v>
      </c>
      <c r="O206">
        <v>89.388000000000005</v>
      </c>
      <c r="P206">
        <v>67.256714285714295</v>
      </c>
      <c r="Q206">
        <v>54.923000000000002</v>
      </c>
      <c r="R206">
        <v>61.708833333333303</v>
      </c>
      <c r="S206">
        <v>67.236999999999995</v>
      </c>
      <c r="T206">
        <v>79.9208</v>
      </c>
      <c r="U206">
        <v>70.888499999999993</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U206"/>
  <sheetViews>
    <sheetView workbookViewId="0">
      <selection activeCell="C1" sqref="C1"/>
    </sheetView>
  </sheetViews>
  <sheetFormatPr defaultRowHeight="12.75" x14ac:dyDescent="0.2"/>
  <sheetData>
    <row r="1" spans="1:21" s="1" customFormat="1" ht="37.5" customHeight="1" x14ac:dyDescent="0.2">
      <c r="A1" s="1" t="s">
        <v>0</v>
      </c>
      <c r="B1" s="1" t="s">
        <v>1</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spans="1:21" x14ac:dyDescent="0.2">
      <c r="A2" t="s">
        <v>335</v>
      </c>
      <c r="B2" t="s">
        <v>336</v>
      </c>
      <c r="F2">
        <v>50.131</v>
      </c>
      <c r="G2">
        <v>37.098357142857097</v>
      </c>
      <c r="H2">
        <v>57.851216666666701</v>
      </c>
      <c r="I2">
        <v>23.162500000000001</v>
      </c>
      <c r="J2">
        <v>46.313800000000001</v>
      </c>
      <c r="K2">
        <v>64.822500000000005</v>
      </c>
      <c r="L2">
        <v>37.753166666666701</v>
      </c>
      <c r="M2">
        <v>6.5468333333333302</v>
      </c>
      <c r="O2">
        <v>31.76125</v>
      </c>
      <c r="P2">
        <v>90.816833333333307</v>
      </c>
      <c r="Q2">
        <v>99.064666666666696</v>
      </c>
      <c r="S2">
        <v>52.984000000000002</v>
      </c>
      <c r="T2">
        <v>52.026666666666699</v>
      </c>
      <c r="U2">
        <v>43.359499999999997</v>
      </c>
    </row>
    <row r="3" spans="1:21" x14ac:dyDescent="0.2">
      <c r="A3" t="s">
        <v>329</v>
      </c>
      <c r="B3" t="s">
        <v>330</v>
      </c>
      <c r="E3">
        <v>12.913</v>
      </c>
      <c r="F3">
        <v>55.424124999999997</v>
      </c>
      <c r="G3">
        <v>37.443571428571403</v>
      </c>
      <c r="H3">
        <v>40.775666666666702</v>
      </c>
      <c r="I3">
        <v>51.277999999999999</v>
      </c>
      <c r="J3">
        <v>53.960999999999999</v>
      </c>
      <c r="K3">
        <v>52.432666666666698</v>
      </c>
      <c r="L3">
        <v>52.485500000000002</v>
      </c>
      <c r="M3">
        <v>7.5170000000000003</v>
      </c>
      <c r="N3">
        <v>25.246500000000001</v>
      </c>
      <c r="O3">
        <v>46.711750000000002</v>
      </c>
      <c r="P3">
        <v>92.220166666666699</v>
      </c>
      <c r="Q3">
        <v>96.520333333333298</v>
      </c>
      <c r="R3">
        <v>66.932000000000002</v>
      </c>
      <c r="S3">
        <v>64.753399999999999</v>
      </c>
      <c r="T3">
        <v>50.653599999999997</v>
      </c>
      <c r="U3">
        <v>47.765999999999998</v>
      </c>
    </row>
    <row r="4" spans="1:21" x14ac:dyDescent="0.2">
      <c r="A4" t="s">
        <v>127</v>
      </c>
      <c r="B4" t="s">
        <v>128</v>
      </c>
      <c r="E4">
        <v>91.637500000000003</v>
      </c>
      <c r="F4">
        <v>60.004857142857098</v>
      </c>
      <c r="G4">
        <v>81.092714285714294</v>
      </c>
      <c r="H4">
        <v>95.155000000000001</v>
      </c>
      <c r="I4">
        <v>53.574249999999999</v>
      </c>
      <c r="J4">
        <v>75.907600000000002</v>
      </c>
      <c r="K4">
        <v>89.449666666666701</v>
      </c>
      <c r="L4">
        <v>61.095333333333301</v>
      </c>
      <c r="M4">
        <v>28.580500000000001</v>
      </c>
      <c r="N4">
        <v>68.400499999999994</v>
      </c>
      <c r="O4">
        <v>72.838333333333296</v>
      </c>
      <c r="P4">
        <v>79.617333333333306</v>
      </c>
      <c r="Q4">
        <v>92.126000000000005</v>
      </c>
      <c r="R4">
        <v>43.878399999999999</v>
      </c>
      <c r="S4">
        <v>80.586799999999997</v>
      </c>
      <c r="T4">
        <v>68.091800000000006</v>
      </c>
      <c r="U4">
        <v>65.334999999999994</v>
      </c>
    </row>
    <row r="5" spans="1:21" x14ac:dyDescent="0.2">
      <c r="A5" t="s">
        <v>353</v>
      </c>
      <c r="B5" t="s">
        <v>354</v>
      </c>
    </row>
    <row r="6" spans="1:21" x14ac:dyDescent="0.2">
      <c r="A6" t="s">
        <v>177</v>
      </c>
      <c r="B6" t="s">
        <v>178</v>
      </c>
      <c r="E6">
        <v>99.569500000000005</v>
      </c>
      <c r="F6">
        <v>67.268000000000001</v>
      </c>
      <c r="G6">
        <v>86.388076923076895</v>
      </c>
      <c r="H6">
        <v>92.059333333333299</v>
      </c>
      <c r="I6">
        <v>71.199250000000006</v>
      </c>
      <c r="J6">
        <v>56.111600000000003</v>
      </c>
      <c r="K6">
        <v>90.990666666666698</v>
      </c>
      <c r="L6">
        <v>60.130600000000001</v>
      </c>
      <c r="M6">
        <v>74.105166666666705</v>
      </c>
      <c r="N6">
        <v>91.375</v>
      </c>
      <c r="O6">
        <v>75.975499999999997</v>
      </c>
      <c r="P6">
        <v>51.127499999999998</v>
      </c>
      <c r="Q6">
        <v>29.15</v>
      </c>
      <c r="R6">
        <v>76.600200000000001</v>
      </c>
      <c r="S6">
        <v>58.625</v>
      </c>
      <c r="T6">
        <v>79.212444444444401</v>
      </c>
      <c r="U6">
        <v>33.000999999999998</v>
      </c>
    </row>
    <row r="7" spans="1:21" x14ac:dyDescent="0.2">
      <c r="A7" t="s">
        <v>121</v>
      </c>
      <c r="B7" t="s">
        <v>122</v>
      </c>
      <c r="E7">
        <v>95.99</v>
      </c>
      <c r="F7">
        <v>67.543125000000003</v>
      </c>
      <c r="G7">
        <v>80.599999999999994</v>
      </c>
      <c r="H7">
        <v>95.269666666666694</v>
      </c>
      <c r="I7">
        <v>80.985500000000002</v>
      </c>
      <c r="J7">
        <v>79.063599999999994</v>
      </c>
      <c r="K7">
        <v>92.506666666666703</v>
      </c>
      <c r="L7">
        <v>70.275499999999994</v>
      </c>
      <c r="M7">
        <v>45.664999999999999</v>
      </c>
      <c r="N7">
        <v>38.402000000000001</v>
      </c>
      <c r="O7">
        <v>81.004499999999993</v>
      </c>
      <c r="P7">
        <v>76.391666666666694</v>
      </c>
      <c r="Q7">
        <v>86.248666666666693</v>
      </c>
      <c r="R7">
        <v>57.280999999999999</v>
      </c>
      <c r="S7">
        <v>60.666200000000003</v>
      </c>
      <c r="T7">
        <v>65.167666666666705</v>
      </c>
      <c r="U7">
        <v>64.512749999999997</v>
      </c>
    </row>
    <row r="8" spans="1:21" x14ac:dyDescent="0.2">
      <c r="A8" t="s">
        <v>131</v>
      </c>
      <c r="B8" t="s">
        <v>132</v>
      </c>
      <c r="E8">
        <v>93.438000000000002</v>
      </c>
      <c r="F8">
        <v>60.728142857142899</v>
      </c>
      <c r="G8">
        <v>77.907214285714304</v>
      </c>
      <c r="H8">
        <v>90.328999999999994</v>
      </c>
      <c r="I8">
        <v>57.488250000000001</v>
      </c>
      <c r="J8">
        <v>68.9572</v>
      </c>
      <c r="K8">
        <v>94.8213333333333</v>
      </c>
      <c r="L8">
        <v>66.279399999999995</v>
      </c>
      <c r="M8">
        <v>34.402666666666697</v>
      </c>
      <c r="N8">
        <v>55.069000000000003</v>
      </c>
      <c r="O8">
        <v>76.444749999999999</v>
      </c>
      <c r="P8">
        <v>88.684666666666701</v>
      </c>
      <c r="Q8">
        <v>93.073333333333295</v>
      </c>
      <c r="S8">
        <v>61.792000000000002</v>
      </c>
      <c r="T8">
        <v>80.0247777777778</v>
      </c>
      <c r="U8">
        <v>62.190750000000001</v>
      </c>
    </row>
    <row r="9" spans="1:21" x14ac:dyDescent="0.2">
      <c r="A9" t="s">
        <v>355</v>
      </c>
      <c r="B9" t="s">
        <v>356</v>
      </c>
    </row>
    <row r="10" spans="1:21" x14ac:dyDescent="0.2">
      <c r="A10" t="s">
        <v>99</v>
      </c>
      <c r="B10" t="s">
        <v>100</v>
      </c>
      <c r="E10">
        <v>99.61</v>
      </c>
      <c r="F10">
        <v>58.740124999999999</v>
      </c>
      <c r="G10">
        <v>95.583571428571403</v>
      </c>
      <c r="H10">
        <v>99.405375000000006</v>
      </c>
      <c r="I10">
        <v>81.000249999999994</v>
      </c>
      <c r="J10">
        <v>94.953199999999995</v>
      </c>
      <c r="K10">
        <v>91.338999999999999</v>
      </c>
      <c r="L10">
        <v>81.036000000000001</v>
      </c>
      <c r="M10">
        <v>89.481833333333299</v>
      </c>
      <c r="N10">
        <v>74.225499999999997</v>
      </c>
      <c r="O10">
        <v>89.043499999999995</v>
      </c>
      <c r="P10">
        <v>44.0966666666667</v>
      </c>
      <c r="Q10">
        <v>10.024333333333299</v>
      </c>
      <c r="R10">
        <v>58.997666666666703</v>
      </c>
      <c r="S10">
        <v>63.767400000000002</v>
      </c>
      <c r="T10">
        <v>85.118200000000002</v>
      </c>
      <c r="U10">
        <v>68.364500000000007</v>
      </c>
    </row>
    <row r="11" spans="1:21" x14ac:dyDescent="0.2">
      <c r="A11" t="s">
        <v>29</v>
      </c>
      <c r="B11" t="s">
        <v>30</v>
      </c>
      <c r="E11">
        <v>99.466999999999999</v>
      </c>
      <c r="F11">
        <v>73.767124999999993</v>
      </c>
      <c r="G11">
        <v>92.108307692307704</v>
      </c>
      <c r="H11">
        <v>99.205041666666702</v>
      </c>
      <c r="I11">
        <v>83.083749999999995</v>
      </c>
      <c r="J11">
        <v>89.599400000000003</v>
      </c>
      <c r="K11">
        <v>94.712000000000003</v>
      </c>
      <c r="L11">
        <v>85.492666666666693</v>
      </c>
      <c r="M11">
        <v>95.534333333333294</v>
      </c>
      <c r="N11">
        <v>91.208500000000001</v>
      </c>
      <c r="O11">
        <v>90.85</v>
      </c>
      <c r="P11">
        <v>48.213833333333298</v>
      </c>
      <c r="Q11">
        <v>53.703333333333298</v>
      </c>
      <c r="S11">
        <v>73.4328</v>
      </c>
      <c r="T11">
        <v>93.569599999999994</v>
      </c>
      <c r="U11">
        <v>68.053250000000006</v>
      </c>
    </row>
    <row r="12" spans="1:21" x14ac:dyDescent="0.2">
      <c r="A12" t="s">
        <v>125</v>
      </c>
      <c r="B12" t="s">
        <v>126</v>
      </c>
      <c r="E12">
        <v>100</v>
      </c>
      <c r="F12">
        <v>61.880285714285698</v>
      </c>
      <c r="G12">
        <v>75.395571428571401</v>
      </c>
      <c r="H12">
        <v>87.651333333333397</v>
      </c>
      <c r="I12">
        <v>53.695749999999997</v>
      </c>
      <c r="J12">
        <v>65.561199999999999</v>
      </c>
      <c r="K12">
        <v>91.144000000000005</v>
      </c>
      <c r="L12">
        <v>65.787599999999998</v>
      </c>
      <c r="M12">
        <v>35.119333333333302</v>
      </c>
      <c r="N12">
        <v>68.596999999999994</v>
      </c>
      <c r="O12">
        <v>85.689666666666696</v>
      </c>
      <c r="P12">
        <v>83.867000000000004</v>
      </c>
      <c r="Q12">
        <v>89.214666666666702</v>
      </c>
      <c r="S12">
        <v>65.595799999999997</v>
      </c>
      <c r="T12">
        <v>72.813874999999996</v>
      </c>
      <c r="U12">
        <v>70.027000000000001</v>
      </c>
    </row>
    <row r="13" spans="1:21" x14ac:dyDescent="0.2">
      <c r="A13" t="s">
        <v>313</v>
      </c>
      <c r="B13" t="s">
        <v>314</v>
      </c>
      <c r="E13">
        <v>0</v>
      </c>
      <c r="F13">
        <v>50.5401666666667</v>
      </c>
      <c r="G13">
        <v>48.999714285714298</v>
      </c>
      <c r="H13">
        <v>58.822000000000003</v>
      </c>
      <c r="I13">
        <v>59.942250000000001</v>
      </c>
      <c r="J13">
        <v>54.904000000000003</v>
      </c>
      <c r="K13">
        <v>1.0585</v>
      </c>
      <c r="L13">
        <v>43.473799999999997</v>
      </c>
      <c r="M13">
        <v>5.3733333333333304</v>
      </c>
      <c r="N13">
        <v>58.362000000000002</v>
      </c>
      <c r="O13">
        <v>56.584000000000003</v>
      </c>
      <c r="P13">
        <v>82.798500000000004</v>
      </c>
      <c r="Q13">
        <v>99.802000000000007</v>
      </c>
      <c r="S13">
        <v>77.239199999999997</v>
      </c>
      <c r="T13">
        <v>54.324777777777797</v>
      </c>
      <c r="U13">
        <v>60.363666666666703</v>
      </c>
    </row>
    <row r="14" spans="1:21" x14ac:dyDescent="0.2">
      <c r="A14" t="s">
        <v>57</v>
      </c>
      <c r="B14" t="s">
        <v>58</v>
      </c>
      <c r="E14">
        <v>99.527000000000001</v>
      </c>
      <c r="F14">
        <v>70.878874999999994</v>
      </c>
      <c r="G14">
        <v>92.882833333333295</v>
      </c>
      <c r="H14">
        <v>98.882708333333298</v>
      </c>
      <c r="I14">
        <v>85.715249999999997</v>
      </c>
      <c r="J14">
        <v>77.377799999999993</v>
      </c>
      <c r="K14">
        <v>94.152666666666704</v>
      </c>
      <c r="L14">
        <v>85.491500000000002</v>
      </c>
      <c r="M14">
        <v>92.199166666666699</v>
      </c>
      <c r="N14">
        <v>97.385999999999996</v>
      </c>
      <c r="O14">
        <v>90.174999999999997</v>
      </c>
      <c r="P14">
        <v>56.335333333333303</v>
      </c>
      <c r="Q14">
        <v>60.7336666666667</v>
      </c>
      <c r="R14">
        <v>61.767600000000002</v>
      </c>
      <c r="S14">
        <v>85.184600000000003</v>
      </c>
      <c r="T14">
        <v>83.674199999999999</v>
      </c>
      <c r="U14">
        <v>64.868750000000006</v>
      </c>
    </row>
    <row r="15" spans="1:21" x14ac:dyDescent="0.2">
      <c r="A15" t="s">
        <v>299</v>
      </c>
      <c r="B15" t="s">
        <v>300</v>
      </c>
      <c r="E15">
        <v>16.866499999999998</v>
      </c>
      <c r="F15">
        <v>62.465375000000002</v>
      </c>
      <c r="G15">
        <v>46.300928571428599</v>
      </c>
      <c r="H15">
        <v>49.561333333333302</v>
      </c>
      <c r="I15">
        <v>30.27525</v>
      </c>
      <c r="J15">
        <v>50.217399999999998</v>
      </c>
      <c r="K15">
        <v>13.401999999999999</v>
      </c>
      <c r="L15">
        <v>67.171333333333294</v>
      </c>
      <c r="M15">
        <v>16.1966</v>
      </c>
      <c r="N15">
        <v>17.6465</v>
      </c>
      <c r="O15">
        <v>46.793750000000003</v>
      </c>
      <c r="P15">
        <v>96.036000000000001</v>
      </c>
      <c r="Q15">
        <v>98.463666666666697</v>
      </c>
      <c r="R15">
        <v>59.9694</v>
      </c>
      <c r="S15">
        <v>66.239000000000004</v>
      </c>
      <c r="T15">
        <v>58.988500000000002</v>
      </c>
      <c r="U15">
        <v>51.185000000000002</v>
      </c>
    </row>
    <row r="16" spans="1:21" x14ac:dyDescent="0.2">
      <c r="A16" t="s">
        <v>325</v>
      </c>
      <c r="B16" t="s">
        <v>326</v>
      </c>
      <c r="E16">
        <v>21.15</v>
      </c>
      <c r="F16">
        <v>59.282625000000003</v>
      </c>
      <c r="G16">
        <v>47.230357142857102</v>
      </c>
      <c r="H16">
        <v>35.012999999999998</v>
      </c>
      <c r="I16">
        <v>37.549999999999997</v>
      </c>
      <c r="J16">
        <v>44.662799999999997</v>
      </c>
      <c r="K16">
        <v>6.4509999999999996</v>
      </c>
      <c r="L16">
        <v>66.441500000000005</v>
      </c>
      <c r="M16">
        <v>17.1065</v>
      </c>
      <c r="N16">
        <v>70.914500000000004</v>
      </c>
      <c r="O16">
        <v>53.839500000000001</v>
      </c>
      <c r="P16">
        <v>89.840833333333293</v>
      </c>
      <c r="Q16">
        <v>99.198666666666696</v>
      </c>
      <c r="S16">
        <v>82.712800000000001</v>
      </c>
      <c r="T16">
        <v>57.171799999999998</v>
      </c>
      <c r="U16">
        <v>53.038499999999999</v>
      </c>
    </row>
    <row r="17" spans="1:21" x14ac:dyDescent="0.2">
      <c r="A17" t="s">
        <v>221</v>
      </c>
      <c r="B17" t="s">
        <v>222</v>
      </c>
      <c r="E17">
        <v>64.256</v>
      </c>
      <c r="F17">
        <v>63.341285714285704</v>
      </c>
      <c r="G17">
        <v>56.384384615384597</v>
      </c>
      <c r="H17">
        <v>88.364999999999995</v>
      </c>
      <c r="I17">
        <v>53.145249999999997</v>
      </c>
      <c r="J17">
        <v>67.333399999999997</v>
      </c>
      <c r="K17">
        <v>60.311666666666703</v>
      </c>
      <c r="L17">
        <v>68.3185</v>
      </c>
      <c r="M17">
        <v>27.160799999999998</v>
      </c>
      <c r="N17">
        <v>72.501999999999995</v>
      </c>
      <c r="O17">
        <v>53.427250000000001</v>
      </c>
      <c r="P17">
        <v>95.231499999999997</v>
      </c>
      <c r="Q17">
        <v>97.385499999999993</v>
      </c>
      <c r="R17">
        <v>65.089500000000001</v>
      </c>
      <c r="S17">
        <v>52.876800000000003</v>
      </c>
      <c r="T17">
        <v>54.522300000000001</v>
      </c>
      <c r="U17">
        <v>39.0715</v>
      </c>
    </row>
    <row r="18" spans="1:21" x14ac:dyDescent="0.2">
      <c r="A18" t="s">
        <v>107</v>
      </c>
      <c r="B18" t="s">
        <v>108</v>
      </c>
      <c r="E18">
        <v>97.507000000000005</v>
      </c>
      <c r="F18">
        <v>66.347250000000003</v>
      </c>
      <c r="G18">
        <v>79.552999999999997</v>
      </c>
      <c r="H18">
        <v>67.552999999999997</v>
      </c>
      <c r="I18">
        <v>72.471999999999994</v>
      </c>
      <c r="J18">
        <v>70.814800000000005</v>
      </c>
      <c r="K18">
        <v>91.049000000000007</v>
      </c>
      <c r="L18">
        <v>78.137333333333302</v>
      </c>
      <c r="M18">
        <v>52.552333333333301</v>
      </c>
      <c r="N18">
        <v>48.271999999999998</v>
      </c>
      <c r="O18">
        <v>79.304333333333304</v>
      </c>
      <c r="P18">
        <v>74.508499999999998</v>
      </c>
      <c r="Q18">
        <v>79.682000000000002</v>
      </c>
      <c r="R18">
        <v>60.422600000000003</v>
      </c>
      <c r="S18">
        <v>90.651200000000003</v>
      </c>
      <c r="T18">
        <v>73.964555555555606</v>
      </c>
      <c r="U18">
        <v>72.062250000000006</v>
      </c>
    </row>
    <row r="19" spans="1:21" x14ac:dyDescent="0.2">
      <c r="A19" t="s">
        <v>241</v>
      </c>
      <c r="B19" t="s">
        <v>242</v>
      </c>
      <c r="F19">
        <v>71.483999999999995</v>
      </c>
      <c r="G19">
        <v>89.037923076923093</v>
      </c>
      <c r="H19">
        <v>95.457333333333295</v>
      </c>
      <c r="I19">
        <v>51.6325</v>
      </c>
      <c r="J19">
        <v>71.344399999999993</v>
      </c>
      <c r="K19">
        <v>93.858666666666693</v>
      </c>
      <c r="L19">
        <v>77.614999999999995</v>
      </c>
      <c r="M19">
        <v>46.640666666666696</v>
      </c>
      <c r="O19">
        <v>48.55</v>
      </c>
      <c r="P19">
        <v>67.2678333333333</v>
      </c>
      <c r="Q19">
        <v>51.343666666666699</v>
      </c>
      <c r="R19">
        <v>47.569000000000003</v>
      </c>
      <c r="S19">
        <v>45.526666666666699</v>
      </c>
      <c r="T19">
        <v>71.627499999999998</v>
      </c>
      <c r="U19">
        <v>35.511000000000003</v>
      </c>
    </row>
    <row r="20" spans="1:21" x14ac:dyDescent="0.2">
      <c r="A20" t="s">
        <v>267</v>
      </c>
      <c r="B20" t="s">
        <v>268</v>
      </c>
    </row>
    <row r="21" spans="1:21" x14ac:dyDescent="0.2">
      <c r="A21" t="s">
        <v>113</v>
      </c>
      <c r="B21" t="s">
        <v>114</v>
      </c>
      <c r="E21">
        <v>99.774000000000001</v>
      </c>
      <c r="F21">
        <v>65.569428571428602</v>
      </c>
      <c r="G21">
        <v>77.538692307692301</v>
      </c>
      <c r="H21">
        <v>92.638534848484795</v>
      </c>
      <c r="I21">
        <v>42.507750000000001</v>
      </c>
      <c r="J21">
        <v>77.333200000000005</v>
      </c>
      <c r="K21">
        <v>80.651666666666699</v>
      </c>
      <c r="L21">
        <v>69.522999999999996</v>
      </c>
      <c r="M21">
        <v>31.692499999999999</v>
      </c>
      <c r="N21">
        <v>79.138000000000005</v>
      </c>
      <c r="O21">
        <v>74.448750000000004</v>
      </c>
      <c r="P21">
        <v>78.373000000000005</v>
      </c>
      <c r="Q21">
        <v>82.331333333333404</v>
      </c>
      <c r="R21">
        <v>77.751499999999993</v>
      </c>
      <c r="S21">
        <v>70.910399999999996</v>
      </c>
      <c r="T21">
        <v>72.0525555555556</v>
      </c>
      <c r="U21">
        <v>80.718000000000004</v>
      </c>
    </row>
    <row r="22" spans="1:21" x14ac:dyDescent="0.2">
      <c r="A22" t="s">
        <v>87</v>
      </c>
      <c r="B22" t="s">
        <v>88</v>
      </c>
      <c r="E22">
        <v>99.894999999999996</v>
      </c>
      <c r="F22">
        <v>64.997375000000005</v>
      </c>
      <c r="G22">
        <v>83.729714285714294</v>
      </c>
      <c r="H22">
        <v>98.090999999999994</v>
      </c>
      <c r="I22">
        <v>79.753749999999997</v>
      </c>
      <c r="J22">
        <v>79.721400000000003</v>
      </c>
      <c r="K22">
        <v>90.59</v>
      </c>
      <c r="L22">
        <v>67.808666666666696</v>
      </c>
      <c r="M22">
        <v>45.350166666666702</v>
      </c>
      <c r="N22">
        <v>92.686000000000007</v>
      </c>
      <c r="O22">
        <v>76.083500000000001</v>
      </c>
      <c r="P22">
        <v>86.432500000000005</v>
      </c>
      <c r="Q22">
        <v>88.837666666666706</v>
      </c>
      <c r="S22">
        <v>78.601399999999998</v>
      </c>
      <c r="T22">
        <v>74.67</v>
      </c>
      <c r="U22">
        <v>73.847499999999997</v>
      </c>
    </row>
    <row r="23" spans="1:21" x14ac:dyDescent="0.2">
      <c r="A23" t="s">
        <v>233</v>
      </c>
      <c r="B23" t="s">
        <v>234</v>
      </c>
      <c r="E23">
        <v>55.345999999999997</v>
      </c>
      <c r="F23">
        <v>59.3625714285714</v>
      </c>
      <c r="G23">
        <v>72.339307692307699</v>
      </c>
      <c r="H23">
        <v>77.694333333333304</v>
      </c>
      <c r="I23">
        <v>56.378250000000001</v>
      </c>
      <c r="J23">
        <v>75.873800000000003</v>
      </c>
      <c r="K23">
        <v>92.313500000000005</v>
      </c>
      <c r="L23">
        <v>58.470199999999998</v>
      </c>
      <c r="M23">
        <v>22.748000000000001</v>
      </c>
      <c r="O23">
        <v>79.085999999999999</v>
      </c>
      <c r="P23">
        <v>72.233000000000004</v>
      </c>
      <c r="Q23">
        <v>91.131666666666703</v>
      </c>
      <c r="R23">
        <v>67.917599999999993</v>
      </c>
      <c r="S23">
        <v>54.174399999999999</v>
      </c>
      <c r="T23">
        <v>60.812125000000002</v>
      </c>
      <c r="U23">
        <v>71.504999999999995</v>
      </c>
    </row>
    <row r="24" spans="1:21" x14ac:dyDescent="0.2">
      <c r="A24" t="s">
        <v>193</v>
      </c>
      <c r="B24" t="s">
        <v>194</v>
      </c>
      <c r="E24">
        <v>85.899000000000001</v>
      </c>
      <c r="F24">
        <v>57.896142857142898</v>
      </c>
      <c r="G24">
        <v>68.497714285714295</v>
      </c>
      <c r="H24">
        <v>88.923666666666705</v>
      </c>
      <c r="I24">
        <v>71.6935</v>
      </c>
      <c r="J24">
        <v>69.405600000000007</v>
      </c>
      <c r="K24">
        <v>73.548333333333304</v>
      </c>
      <c r="L24">
        <v>72.1933333333333</v>
      </c>
      <c r="M24">
        <v>25.906166666666699</v>
      </c>
      <c r="N24">
        <v>40.2575</v>
      </c>
      <c r="O24">
        <v>68.766000000000005</v>
      </c>
      <c r="P24">
        <v>85.475333333333296</v>
      </c>
      <c r="Q24">
        <v>92.646000000000001</v>
      </c>
      <c r="S24">
        <v>67.122799999999998</v>
      </c>
      <c r="T24">
        <v>53.369900000000001</v>
      </c>
      <c r="U24">
        <v>64.809333333333299</v>
      </c>
    </row>
    <row r="25" spans="1:21" x14ac:dyDescent="0.2">
      <c r="A25" t="s">
        <v>119</v>
      </c>
      <c r="B25" t="s">
        <v>120</v>
      </c>
      <c r="E25">
        <v>86.985500000000002</v>
      </c>
      <c r="F25">
        <v>69.899249999999995</v>
      </c>
      <c r="G25">
        <v>77.836571428571403</v>
      </c>
      <c r="H25">
        <v>87.657666666666699</v>
      </c>
      <c r="I25">
        <v>70.291749999999993</v>
      </c>
      <c r="J25">
        <v>86.245599999999996</v>
      </c>
      <c r="K25">
        <v>94.765666666666704</v>
      </c>
      <c r="L25">
        <v>65.279333333333298</v>
      </c>
      <c r="M25">
        <v>59.661333333333303</v>
      </c>
      <c r="N25">
        <v>12.404</v>
      </c>
      <c r="O25">
        <v>75.935500000000005</v>
      </c>
      <c r="P25">
        <v>77.411333333333303</v>
      </c>
      <c r="Q25">
        <v>93.872</v>
      </c>
      <c r="R25">
        <v>57.692833333333297</v>
      </c>
      <c r="S25">
        <v>59.517200000000003</v>
      </c>
      <c r="T25">
        <v>61.483899999999998</v>
      </c>
      <c r="U25">
        <v>75.825500000000005</v>
      </c>
    </row>
    <row r="26" spans="1:21" x14ac:dyDescent="0.2">
      <c r="A26" t="s">
        <v>187</v>
      </c>
      <c r="B26" t="s">
        <v>188</v>
      </c>
      <c r="E26">
        <v>91.891499999999994</v>
      </c>
      <c r="F26">
        <v>48.91</v>
      </c>
      <c r="G26">
        <v>85.393384615384605</v>
      </c>
      <c r="H26">
        <v>99.168666666666695</v>
      </c>
      <c r="I26">
        <v>72.102249999999998</v>
      </c>
      <c r="J26">
        <v>59.290599999999998</v>
      </c>
      <c r="K26">
        <v>99.714500000000001</v>
      </c>
      <c r="L26">
        <v>70.026799999999994</v>
      </c>
      <c r="M26">
        <v>33.441000000000003</v>
      </c>
      <c r="O26">
        <v>80.995000000000005</v>
      </c>
      <c r="P26">
        <v>45.382166666666699</v>
      </c>
      <c r="Q26">
        <v>70.537000000000006</v>
      </c>
      <c r="R26">
        <v>61.0863333333333</v>
      </c>
      <c r="S26">
        <v>65.652249999999995</v>
      </c>
      <c r="T26">
        <v>77.789000000000001</v>
      </c>
      <c r="U26">
        <v>74.349999999999994</v>
      </c>
    </row>
    <row r="27" spans="1:21" x14ac:dyDescent="0.2">
      <c r="A27" t="s">
        <v>223</v>
      </c>
      <c r="B27" t="s">
        <v>224</v>
      </c>
      <c r="F27">
        <v>54.708750000000002</v>
      </c>
      <c r="G27">
        <v>86.957083333333301</v>
      </c>
      <c r="H27">
        <v>99.409666666666695</v>
      </c>
      <c r="I27">
        <v>61.741333333333301</v>
      </c>
      <c r="J27">
        <v>76.460599999999999</v>
      </c>
      <c r="K27">
        <v>90</v>
      </c>
      <c r="L27">
        <v>69.293750000000003</v>
      </c>
      <c r="M27">
        <v>64.620166666666705</v>
      </c>
      <c r="O27">
        <v>100</v>
      </c>
      <c r="P27">
        <v>51.201333333333302</v>
      </c>
      <c r="Q27">
        <v>14.095333333333301</v>
      </c>
      <c r="R27">
        <v>51.800199999999997</v>
      </c>
      <c r="S27">
        <v>67.751999999999995</v>
      </c>
      <c r="T27">
        <v>61.890333333333302</v>
      </c>
      <c r="U27">
        <v>72.403499999999994</v>
      </c>
    </row>
    <row r="28" spans="1:21" x14ac:dyDescent="0.2">
      <c r="A28" t="s">
        <v>141</v>
      </c>
      <c r="B28" t="s">
        <v>142</v>
      </c>
      <c r="E28">
        <v>90.262</v>
      </c>
      <c r="F28">
        <v>54.543799999999997</v>
      </c>
      <c r="G28">
        <v>66.321846153846195</v>
      </c>
      <c r="H28">
        <v>87.094666666666697</v>
      </c>
      <c r="I28">
        <v>57.688499999999998</v>
      </c>
      <c r="J28">
        <v>71.010999999999996</v>
      </c>
      <c r="K28">
        <v>75.765500000000003</v>
      </c>
      <c r="L28">
        <v>69.658749999999998</v>
      </c>
      <c r="M28">
        <v>33.334200000000003</v>
      </c>
      <c r="N28">
        <v>58.136499999999998</v>
      </c>
      <c r="O28">
        <v>84.5683333333333</v>
      </c>
      <c r="P28">
        <v>82.392166666666697</v>
      </c>
      <c r="Q28">
        <v>88.72</v>
      </c>
      <c r="S28">
        <v>65.409199999999998</v>
      </c>
      <c r="T28">
        <v>84.510857142857105</v>
      </c>
      <c r="U28">
        <v>59.604500000000002</v>
      </c>
    </row>
    <row r="29" spans="1:21" x14ac:dyDescent="0.2">
      <c r="A29" t="s">
        <v>255</v>
      </c>
      <c r="B29" t="s">
        <v>256</v>
      </c>
      <c r="E29">
        <v>54.783999999999999</v>
      </c>
      <c r="F29">
        <v>41.411375</v>
      </c>
      <c r="G29">
        <v>53.730142857142901</v>
      </c>
      <c r="H29">
        <v>89.671333333333294</v>
      </c>
      <c r="I29">
        <v>70.166749999999993</v>
      </c>
      <c r="J29">
        <v>70.567800000000005</v>
      </c>
      <c r="K29">
        <v>59.542999999999999</v>
      </c>
      <c r="L29">
        <v>59.610500000000002</v>
      </c>
      <c r="M29">
        <v>42.6368333333333</v>
      </c>
      <c r="N29">
        <v>2.4055</v>
      </c>
      <c r="O29">
        <v>80.962000000000003</v>
      </c>
      <c r="P29">
        <v>71.898499999999999</v>
      </c>
      <c r="Q29">
        <v>80.124333333333297</v>
      </c>
      <c r="S29">
        <v>74.189400000000006</v>
      </c>
      <c r="T29">
        <v>65.388999999999996</v>
      </c>
      <c r="U29">
        <v>67.596500000000006</v>
      </c>
    </row>
    <row r="30" spans="1:21" x14ac:dyDescent="0.2">
      <c r="A30" t="s">
        <v>349</v>
      </c>
      <c r="B30" t="s">
        <v>350</v>
      </c>
      <c r="E30">
        <v>0</v>
      </c>
      <c r="F30">
        <v>43.645499999999998</v>
      </c>
      <c r="G30">
        <v>16.026071428571399</v>
      </c>
      <c r="H30">
        <v>9.2070000000000007</v>
      </c>
      <c r="I30">
        <v>30.888249999999999</v>
      </c>
      <c r="J30">
        <v>45.511400000000002</v>
      </c>
      <c r="K30">
        <v>12.827500000000001</v>
      </c>
      <c r="L30">
        <v>47.698</v>
      </c>
      <c r="M30">
        <v>3.5259999999999998</v>
      </c>
      <c r="N30">
        <v>9.641</v>
      </c>
      <c r="O30">
        <v>19.242999999999999</v>
      </c>
      <c r="P30">
        <v>72.737666666666698</v>
      </c>
      <c r="Q30">
        <v>99.673000000000002</v>
      </c>
      <c r="S30">
        <v>89.913799999999995</v>
      </c>
      <c r="T30">
        <v>44.737000000000002</v>
      </c>
      <c r="U30">
        <v>37.3243333333333</v>
      </c>
    </row>
    <row r="31" spans="1:21" x14ac:dyDescent="0.2">
      <c r="A31" t="s">
        <v>71</v>
      </c>
      <c r="B31" t="s">
        <v>72</v>
      </c>
      <c r="E31">
        <v>99.533500000000004</v>
      </c>
      <c r="F31">
        <v>67.362499999999997</v>
      </c>
      <c r="G31">
        <v>93.952923076923099</v>
      </c>
      <c r="H31">
        <v>99.587041666666707</v>
      </c>
      <c r="I31">
        <v>82.390249999999995</v>
      </c>
      <c r="J31">
        <v>85.899799999999999</v>
      </c>
      <c r="K31">
        <v>94.892666666666699</v>
      </c>
      <c r="L31">
        <v>81.461666666666702</v>
      </c>
      <c r="M31">
        <v>85.551333333333304</v>
      </c>
      <c r="N31">
        <v>83.174000000000007</v>
      </c>
      <c r="O31">
        <v>92.737250000000003</v>
      </c>
      <c r="P31">
        <v>51.025833333333303</v>
      </c>
      <c r="Q31">
        <v>47.558999999999997</v>
      </c>
      <c r="R31">
        <v>63.661000000000001</v>
      </c>
      <c r="S31">
        <v>59.855600000000003</v>
      </c>
      <c r="T31">
        <v>84.444999999999993</v>
      </c>
      <c r="U31">
        <v>72.552499999999995</v>
      </c>
    </row>
    <row r="32" spans="1:21" x14ac:dyDescent="0.2">
      <c r="A32" t="s">
        <v>49</v>
      </c>
      <c r="B32" t="s">
        <v>50</v>
      </c>
      <c r="E32">
        <v>99.837999999999994</v>
      </c>
      <c r="F32">
        <v>70.495249999999999</v>
      </c>
      <c r="G32">
        <v>96.547714285714306</v>
      </c>
      <c r="H32">
        <v>99.614708333333297</v>
      </c>
      <c r="I32">
        <v>84.887</v>
      </c>
      <c r="J32">
        <v>89.801599999999993</v>
      </c>
      <c r="K32">
        <v>96.988666666666703</v>
      </c>
      <c r="L32">
        <v>80.947800000000001</v>
      </c>
      <c r="M32">
        <v>97.358999999999995</v>
      </c>
      <c r="N32">
        <v>84.209000000000003</v>
      </c>
      <c r="O32">
        <v>99.058250000000001</v>
      </c>
      <c r="P32">
        <v>39.424500000000002</v>
      </c>
      <c r="Q32">
        <v>59.356666666666698</v>
      </c>
      <c r="S32">
        <v>66.138199999999998</v>
      </c>
      <c r="T32">
        <v>82.344999999999999</v>
      </c>
      <c r="U32">
        <v>51.243749999999999</v>
      </c>
    </row>
    <row r="33" spans="1:21" x14ac:dyDescent="0.2">
      <c r="A33" t="s">
        <v>79</v>
      </c>
      <c r="B33" t="s">
        <v>80</v>
      </c>
      <c r="E33">
        <v>99.739500000000007</v>
      </c>
      <c r="F33">
        <v>71.914749999999998</v>
      </c>
      <c r="G33">
        <v>85.249642857142902</v>
      </c>
      <c r="H33">
        <v>97.578333333333305</v>
      </c>
      <c r="I33">
        <v>71.178749999999994</v>
      </c>
      <c r="J33">
        <v>93.306200000000004</v>
      </c>
      <c r="K33">
        <v>90.588666666666697</v>
      </c>
      <c r="L33">
        <v>77.273499999999999</v>
      </c>
      <c r="M33">
        <v>62.482999999999997</v>
      </c>
      <c r="N33">
        <v>16.157499999999999</v>
      </c>
      <c r="O33">
        <v>86.293499999999995</v>
      </c>
      <c r="P33">
        <v>78.165833333333296</v>
      </c>
      <c r="Q33">
        <v>85.502333333333397</v>
      </c>
      <c r="R33">
        <v>78.185833333333306</v>
      </c>
      <c r="S33">
        <v>59.092599999999997</v>
      </c>
      <c r="T33">
        <v>77.317400000000006</v>
      </c>
      <c r="U33">
        <v>81.23</v>
      </c>
    </row>
    <row r="34" spans="1:21" x14ac:dyDescent="0.2">
      <c r="A34" t="s">
        <v>145</v>
      </c>
      <c r="B34" t="s">
        <v>146</v>
      </c>
      <c r="E34">
        <v>98.5565</v>
      </c>
      <c r="F34">
        <v>81.099999999999994</v>
      </c>
      <c r="G34">
        <v>81.686769230769301</v>
      </c>
      <c r="H34">
        <v>97.524666666666704</v>
      </c>
      <c r="I34">
        <v>76.204250000000002</v>
      </c>
      <c r="J34">
        <v>68.642799999999994</v>
      </c>
      <c r="K34">
        <v>78.194000000000003</v>
      </c>
      <c r="L34">
        <v>71.633666666666699</v>
      </c>
      <c r="M34">
        <v>72.953666666666706</v>
      </c>
      <c r="N34">
        <v>30.658999999999999</v>
      </c>
      <c r="O34">
        <v>77.982500000000002</v>
      </c>
      <c r="P34">
        <v>87.095833333333303</v>
      </c>
      <c r="Q34">
        <v>87.0773333333333</v>
      </c>
      <c r="R34">
        <v>54.101500000000001</v>
      </c>
      <c r="S34">
        <v>49.619799999999998</v>
      </c>
      <c r="T34">
        <v>69.943285714285693</v>
      </c>
      <c r="U34">
        <v>42.072249999999997</v>
      </c>
    </row>
    <row r="35" spans="1:21" x14ac:dyDescent="0.2">
      <c r="A35" t="s">
        <v>259</v>
      </c>
      <c r="B35" t="s">
        <v>260</v>
      </c>
      <c r="E35">
        <v>43.773499999999999</v>
      </c>
      <c r="F35">
        <v>61.657625000000003</v>
      </c>
      <c r="G35">
        <v>39.353142857142899</v>
      </c>
      <c r="H35">
        <v>51.829333333333302</v>
      </c>
      <c r="I35">
        <v>39.160249999999998</v>
      </c>
      <c r="J35">
        <v>55.962400000000002</v>
      </c>
      <c r="K35">
        <v>54.2573333333333</v>
      </c>
      <c r="L35">
        <v>68.635499999999993</v>
      </c>
      <c r="M35">
        <v>27.1101666666667</v>
      </c>
      <c r="N35">
        <v>37.945999999999998</v>
      </c>
      <c r="O35">
        <v>52.452500000000001</v>
      </c>
      <c r="P35">
        <v>94.497</v>
      </c>
      <c r="Q35">
        <v>98.713666666666697</v>
      </c>
      <c r="R35">
        <v>79.467833333333303</v>
      </c>
      <c r="S35">
        <v>71.315600000000003</v>
      </c>
      <c r="T35">
        <v>57.896000000000001</v>
      </c>
      <c r="U35">
        <v>44.53425</v>
      </c>
    </row>
    <row r="36" spans="1:21" x14ac:dyDescent="0.2">
      <c r="A36" t="s">
        <v>297</v>
      </c>
      <c r="B36" t="s">
        <v>298</v>
      </c>
      <c r="E36">
        <v>42.3005</v>
      </c>
      <c r="F36">
        <v>64.805750000000003</v>
      </c>
      <c r="G36">
        <v>40.4306428571429</v>
      </c>
      <c r="H36">
        <v>63.441666666666698</v>
      </c>
      <c r="I36">
        <v>53.523499999999999</v>
      </c>
      <c r="J36">
        <v>53.210999999999999</v>
      </c>
      <c r="K36">
        <v>55.904333333333298</v>
      </c>
      <c r="L36">
        <v>60.961666666666702</v>
      </c>
      <c r="M36">
        <v>16.398199999999999</v>
      </c>
      <c r="N36">
        <v>21.614000000000001</v>
      </c>
      <c r="O36">
        <v>41.173499999999997</v>
      </c>
      <c r="P36">
        <v>94.843166666666704</v>
      </c>
      <c r="Q36">
        <v>99.022000000000006</v>
      </c>
      <c r="R36">
        <v>73.855999999999995</v>
      </c>
      <c r="S36">
        <v>64.272000000000006</v>
      </c>
      <c r="T36">
        <v>48.912500000000001</v>
      </c>
      <c r="U36">
        <v>44.77225</v>
      </c>
    </row>
    <row r="37" spans="1:21" x14ac:dyDescent="0.2">
      <c r="A37" t="s">
        <v>337</v>
      </c>
      <c r="B37" t="s">
        <v>338</v>
      </c>
      <c r="E37">
        <v>0</v>
      </c>
      <c r="F37">
        <v>47.618000000000002</v>
      </c>
      <c r="G37">
        <v>37.6877142857143</v>
      </c>
      <c r="H37">
        <v>59.867983739837399</v>
      </c>
      <c r="I37">
        <v>42.262500000000003</v>
      </c>
      <c r="J37">
        <v>43.415399999999998</v>
      </c>
      <c r="K37">
        <v>36.4956666666667</v>
      </c>
      <c r="L37">
        <v>54.8378333333333</v>
      </c>
      <c r="M37">
        <v>9.9243333333333403</v>
      </c>
      <c r="N37">
        <v>43.061500000000002</v>
      </c>
      <c r="O37">
        <v>40.396250000000002</v>
      </c>
      <c r="P37">
        <v>92.646199999999993</v>
      </c>
      <c r="Q37">
        <v>99.665000000000006</v>
      </c>
      <c r="R37">
        <v>78.775999999999996</v>
      </c>
      <c r="S37">
        <v>70.857600000000005</v>
      </c>
      <c r="T37">
        <v>38.991399999999999</v>
      </c>
      <c r="U37">
        <v>41.563666666666698</v>
      </c>
    </row>
    <row r="38" spans="1:21" x14ac:dyDescent="0.2">
      <c r="A38" t="s">
        <v>321</v>
      </c>
      <c r="B38" t="s">
        <v>322</v>
      </c>
      <c r="E38">
        <v>0</v>
      </c>
      <c r="F38">
        <v>46.335428571428601</v>
      </c>
      <c r="G38">
        <v>47.8844285714286</v>
      </c>
      <c r="H38">
        <v>57.524333333333303</v>
      </c>
      <c r="I38">
        <v>53.281500000000001</v>
      </c>
      <c r="J38">
        <v>53.119599999999998</v>
      </c>
      <c r="K38">
        <v>57.863999999999997</v>
      </c>
      <c r="L38">
        <v>54.734400000000001</v>
      </c>
      <c r="M38">
        <v>6.7144000000000004</v>
      </c>
      <c r="N38">
        <v>15.5185</v>
      </c>
      <c r="O38">
        <v>53.888249999999999</v>
      </c>
      <c r="P38">
        <v>93.195599999999999</v>
      </c>
      <c r="Q38">
        <v>97.428333333333299</v>
      </c>
      <c r="R38">
        <v>75.975200000000001</v>
      </c>
      <c r="S38">
        <v>80.257400000000004</v>
      </c>
      <c r="T38">
        <v>57.143124999999998</v>
      </c>
      <c r="U38">
        <v>49.213250000000002</v>
      </c>
    </row>
    <row r="39" spans="1:21" x14ac:dyDescent="0.2">
      <c r="A39" t="s">
        <v>171</v>
      </c>
      <c r="B39" t="s">
        <v>172</v>
      </c>
      <c r="E39">
        <v>83.4345</v>
      </c>
      <c r="F39">
        <v>64.122874999999993</v>
      </c>
      <c r="G39">
        <v>79.4927142857143</v>
      </c>
      <c r="H39">
        <v>93.533666666666704</v>
      </c>
      <c r="I39">
        <v>70.204250000000002</v>
      </c>
      <c r="J39">
        <v>81.160799999999995</v>
      </c>
      <c r="K39">
        <v>91.906999999999996</v>
      </c>
      <c r="L39">
        <v>62.101999999999997</v>
      </c>
      <c r="M39">
        <v>41.2038333333333</v>
      </c>
      <c r="N39">
        <v>10.9575</v>
      </c>
      <c r="O39">
        <v>80.722499999999997</v>
      </c>
      <c r="P39">
        <v>85.659166666666707</v>
      </c>
      <c r="Q39">
        <v>89.117999999999995</v>
      </c>
      <c r="R39">
        <v>74.093500000000006</v>
      </c>
      <c r="S39">
        <v>60.337000000000003</v>
      </c>
      <c r="T39">
        <v>61.824100000000001</v>
      </c>
      <c r="U39">
        <v>69.600750000000005</v>
      </c>
    </row>
    <row r="40" spans="1:21" x14ac:dyDescent="0.2">
      <c r="A40" t="s">
        <v>327</v>
      </c>
      <c r="B40" t="s">
        <v>328</v>
      </c>
    </row>
    <row r="41" spans="1:21" x14ac:dyDescent="0.2">
      <c r="A41" t="s">
        <v>197</v>
      </c>
      <c r="B41" t="s">
        <v>198</v>
      </c>
      <c r="E41">
        <v>83.220500000000001</v>
      </c>
      <c r="F41">
        <v>37.395600000000002</v>
      </c>
      <c r="G41">
        <v>73.898615384615397</v>
      </c>
      <c r="H41">
        <v>81.283666666666704</v>
      </c>
      <c r="I41">
        <v>68.591499999999996</v>
      </c>
      <c r="J41">
        <v>73.094999999999999</v>
      </c>
      <c r="K41">
        <v>81.701499999999996</v>
      </c>
      <c r="L41">
        <v>73.400000000000006</v>
      </c>
      <c r="M41">
        <v>27.348400000000002</v>
      </c>
      <c r="N41">
        <v>30.663</v>
      </c>
      <c r="O41">
        <v>79.052000000000007</v>
      </c>
      <c r="P41">
        <v>79.272000000000006</v>
      </c>
      <c r="Q41">
        <v>94.359666666666698</v>
      </c>
      <c r="R41">
        <v>61.194499999999998</v>
      </c>
      <c r="S41">
        <v>71.094499999999996</v>
      </c>
      <c r="T41">
        <v>78.326142857142898</v>
      </c>
      <c r="U41">
        <v>64.563249999999996</v>
      </c>
    </row>
    <row r="42" spans="1:21" x14ac:dyDescent="0.2">
      <c r="A42" t="s">
        <v>123</v>
      </c>
      <c r="B42" t="s">
        <v>124</v>
      </c>
      <c r="E42">
        <v>95.126000000000005</v>
      </c>
      <c r="F42">
        <v>52.184125000000002</v>
      </c>
      <c r="G42">
        <v>85.9310714285714</v>
      </c>
      <c r="H42">
        <v>88.985666666666702</v>
      </c>
      <c r="I42">
        <v>81.497749999999996</v>
      </c>
      <c r="J42">
        <v>80.412599999999998</v>
      </c>
      <c r="K42">
        <v>93.992333333333306</v>
      </c>
      <c r="L42">
        <v>69.979833333333303</v>
      </c>
      <c r="M42">
        <v>51.61</v>
      </c>
      <c r="N42">
        <v>17.727</v>
      </c>
      <c r="O42">
        <v>93.527500000000003</v>
      </c>
      <c r="P42">
        <v>81.074833333333302</v>
      </c>
      <c r="Q42">
        <v>83.35</v>
      </c>
      <c r="R42">
        <v>58.3853333333333</v>
      </c>
      <c r="S42">
        <v>61.593400000000003</v>
      </c>
      <c r="T42">
        <v>78.287000000000006</v>
      </c>
      <c r="U42">
        <v>76.6875</v>
      </c>
    </row>
    <row r="43" spans="1:21" x14ac:dyDescent="0.2">
      <c r="A43" t="s">
        <v>111</v>
      </c>
      <c r="B43" t="s">
        <v>112</v>
      </c>
      <c r="F43">
        <v>58.459285714285699</v>
      </c>
      <c r="G43">
        <v>84.873142857142895</v>
      </c>
      <c r="H43">
        <v>95.024000000000001</v>
      </c>
      <c r="I43">
        <v>81.695750000000004</v>
      </c>
      <c r="J43">
        <v>74.502200000000002</v>
      </c>
      <c r="K43">
        <v>85.989666666666693</v>
      </c>
      <c r="L43">
        <v>88.984999999999999</v>
      </c>
      <c r="M43">
        <v>25.352333333333299</v>
      </c>
      <c r="O43">
        <v>65.671000000000006</v>
      </c>
      <c r="P43">
        <v>88.221999999999994</v>
      </c>
      <c r="Q43">
        <v>89.533000000000001</v>
      </c>
      <c r="R43">
        <v>73.874833333333299</v>
      </c>
      <c r="S43">
        <v>68.637</v>
      </c>
      <c r="T43">
        <v>64.515500000000003</v>
      </c>
      <c r="U43">
        <v>100</v>
      </c>
    </row>
    <row r="44" spans="1:21" x14ac:dyDescent="0.2">
      <c r="A44" t="s">
        <v>137</v>
      </c>
      <c r="B44" t="s">
        <v>138</v>
      </c>
      <c r="E44">
        <v>99.930999999999997</v>
      </c>
      <c r="F44">
        <v>59.192250000000001</v>
      </c>
      <c r="G44">
        <v>90.834153846153896</v>
      </c>
      <c r="H44">
        <v>97.778000000000006</v>
      </c>
      <c r="I44">
        <v>71.391333333333293</v>
      </c>
      <c r="J44">
        <v>77.380200000000002</v>
      </c>
      <c r="K44">
        <v>92.548000000000002</v>
      </c>
      <c r="L44">
        <v>80.143600000000006</v>
      </c>
      <c r="M44">
        <v>70.295000000000002</v>
      </c>
      <c r="N44">
        <v>81.634500000000003</v>
      </c>
      <c r="O44">
        <v>74.7</v>
      </c>
      <c r="P44">
        <v>56.262833333333298</v>
      </c>
      <c r="Q44">
        <v>63.670333333333303</v>
      </c>
      <c r="R44">
        <v>54.4106666666667</v>
      </c>
      <c r="S44">
        <v>76.915199999999999</v>
      </c>
      <c r="T44">
        <v>80.543750000000003</v>
      </c>
      <c r="U44">
        <v>45.081499999999998</v>
      </c>
    </row>
    <row r="45" spans="1:21" x14ac:dyDescent="0.2">
      <c r="A45" t="s">
        <v>435</v>
      </c>
      <c r="B45" t="s">
        <v>36</v>
      </c>
      <c r="E45">
        <v>99.795000000000002</v>
      </c>
      <c r="F45">
        <v>61.563749999999999</v>
      </c>
      <c r="G45">
        <v>89.777923076923102</v>
      </c>
      <c r="H45">
        <v>98.951333333333395</v>
      </c>
      <c r="I45">
        <v>72.923500000000004</v>
      </c>
      <c r="J45">
        <v>85.568399999999997</v>
      </c>
      <c r="K45">
        <v>92.362666666666698</v>
      </c>
      <c r="L45">
        <v>85.146666666666704</v>
      </c>
      <c r="M45">
        <v>80.3035</v>
      </c>
      <c r="N45">
        <v>96.488500000000002</v>
      </c>
      <c r="O45">
        <v>92.488</v>
      </c>
      <c r="P45">
        <v>69.423833333333306</v>
      </c>
      <c r="Q45">
        <v>65.980333333333306</v>
      </c>
      <c r="S45">
        <v>92.615600000000001</v>
      </c>
      <c r="T45">
        <v>81.900000000000006</v>
      </c>
      <c r="U45">
        <v>54.945</v>
      </c>
    </row>
    <row r="46" spans="1:21" x14ac:dyDescent="0.2">
      <c r="A46" t="s">
        <v>27</v>
      </c>
      <c r="B46" t="s">
        <v>28</v>
      </c>
      <c r="E46">
        <v>99.533500000000004</v>
      </c>
      <c r="F46">
        <v>72.444625000000002</v>
      </c>
      <c r="G46">
        <v>93.767615384615397</v>
      </c>
      <c r="H46">
        <v>98.7880416666667</v>
      </c>
      <c r="I46">
        <v>80.707750000000004</v>
      </c>
      <c r="J46">
        <v>84.701599999999999</v>
      </c>
      <c r="K46">
        <v>93.615666666666698</v>
      </c>
      <c r="L46">
        <v>87.358999999999995</v>
      </c>
      <c r="M46">
        <v>92.969666666666697</v>
      </c>
      <c r="N46">
        <v>86.516499999999994</v>
      </c>
      <c r="O46">
        <v>91.314250000000001</v>
      </c>
      <c r="P46">
        <v>54.888666666666701</v>
      </c>
      <c r="Q46">
        <v>60.680999999999997</v>
      </c>
      <c r="R46">
        <v>62.649833333333298</v>
      </c>
      <c r="S46">
        <v>79.739199999999997</v>
      </c>
      <c r="T46">
        <v>84.681600000000003</v>
      </c>
      <c r="U46">
        <v>77.831999999999994</v>
      </c>
    </row>
    <row r="47" spans="1:21" x14ac:dyDescent="0.2">
      <c r="A47" t="s">
        <v>319</v>
      </c>
      <c r="B47" t="s">
        <v>320</v>
      </c>
      <c r="E47">
        <v>58.798999999999999</v>
      </c>
      <c r="F47">
        <v>35.430833333333297</v>
      </c>
      <c r="G47">
        <v>55.210142857142898</v>
      </c>
      <c r="H47">
        <v>41.411769841269802</v>
      </c>
      <c r="I47">
        <v>51.978666666666697</v>
      </c>
      <c r="J47">
        <v>63.421199999999999</v>
      </c>
      <c r="K47">
        <v>33.072000000000003</v>
      </c>
      <c r="L47">
        <v>59.575200000000002</v>
      </c>
      <c r="M47">
        <v>26.381399999999999</v>
      </c>
      <c r="N47">
        <v>28.041499999999999</v>
      </c>
      <c r="O47">
        <v>60.029499999999999</v>
      </c>
      <c r="P47">
        <v>89.079666666666697</v>
      </c>
      <c r="Q47">
        <v>97.868666666666698</v>
      </c>
      <c r="R47">
        <v>66.473399999999998</v>
      </c>
      <c r="S47">
        <v>38.0625</v>
      </c>
      <c r="T47">
        <v>60.046285714285702</v>
      </c>
      <c r="U47">
        <v>49.113999999999997</v>
      </c>
    </row>
    <row r="48" spans="1:21" x14ac:dyDescent="0.2">
      <c r="A48" t="s">
        <v>357</v>
      </c>
      <c r="B48" t="s">
        <v>358</v>
      </c>
    </row>
    <row r="49" spans="1:21" x14ac:dyDescent="0.2">
      <c r="A49" t="s">
        <v>25</v>
      </c>
      <c r="B49" t="s">
        <v>26</v>
      </c>
      <c r="E49">
        <v>99.679000000000002</v>
      </c>
      <c r="F49">
        <v>58.859875000000002</v>
      </c>
      <c r="G49">
        <v>94.202692307692303</v>
      </c>
      <c r="H49">
        <v>99.130708333333303</v>
      </c>
      <c r="I49">
        <v>86.787750000000003</v>
      </c>
      <c r="J49">
        <v>90.278000000000006</v>
      </c>
      <c r="K49">
        <v>94.406666666666695</v>
      </c>
      <c r="L49">
        <v>88.855500000000006</v>
      </c>
      <c r="M49">
        <v>96.802166666666693</v>
      </c>
      <c r="N49">
        <v>97.835499999999996</v>
      </c>
      <c r="O49">
        <v>91.820999999999998</v>
      </c>
      <c r="P49">
        <v>43.417000000000002</v>
      </c>
      <c r="Q49">
        <v>60.644666666666701</v>
      </c>
      <c r="R49">
        <v>73.429500000000004</v>
      </c>
      <c r="S49">
        <v>90.636399999999995</v>
      </c>
      <c r="T49">
        <v>93.124700000000004</v>
      </c>
      <c r="U49">
        <v>82.717749999999995</v>
      </c>
    </row>
    <row r="50" spans="1:21" x14ac:dyDescent="0.2">
      <c r="A50" t="s">
        <v>143</v>
      </c>
      <c r="B50" t="s">
        <v>144</v>
      </c>
      <c r="E50">
        <v>97.224999999999994</v>
      </c>
      <c r="F50">
        <v>60.186875000000001</v>
      </c>
      <c r="G50">
        <v>66.750642857142907</v>
      </c>
      <c r="H50">
        <v>89.785333333333298</v>
      </c>
      <c r="I50">
        <v>72.917249999999996</v>
      </c>
      <c r="J50">
        <v>67.294399999999996</v>
      </c>
      <c r="K50">
        <v>89.698333333333295</v>
      </c>
      <c r="L50">
        <v>71.206166666666704</v>
      </c>
      <c r="M50">
        <v>35.162999999999997</v>
      </c>
      <c r="N50">
        <v>23.753</v>
      </c>
      <c r="O50">
        <v>83.349249999999998</v>
      </c>
      <c r="P50">
        <v>84.481499999999997</v>
      </c>
      <c r="Q50">
        <v>91.272666666666694</v>
      </c>
      <c r="R50">
        <v>84.642666666666699</v>
      </c>
      <c r="S50">
        <v>76.042199999999994</v>
      </c>
      <c r="T50">
        <v>59.189399999999999</v>
      </c>
      <c r="U50">
        <v>49.96575</v>
      </c>
    </row>
    <row r="51" spans="1:21" x14ac:dyDescent="0.2">
      <c r="A51" t="s">
        <v>161</v>
      </c>
      <c r="B51" t="s">
        <v>162</v>
      </c>
      <c r="E51">
        <v>96.938999999999993</v>
      </c>
      <c r="F51">
        <v>56.565571428571403</v>
      </c>
      <c r="G51">
        <v>75.578571428571394</v>
      </c>
      <c r="H51">
        <v>91.210999999999999</v>
      </c>
      <c r="I51">
        <v>53.71425</v>
      </c>
      <c r="J51">
        <v>61.033999999999999</v>
      </c>
      <c r="K51">
        <v>86.727000000000004</v>
      </c>
      <c r="L51">
        <v>62.236166666666698</v>
      </c>
      <c r="M51">
        <v>45.405833333333298</v>
      </c>
      <c r="N51">
        <v>91.491</v>
      </c>
      <c r="O51">
        <v>57.699666666666701</v>
      </c>
      <c r="P51">
        <v>87.711833333333303</v>
      </c>
      <c r="Q51">
        <v>90.150666666666694</v>
      </c>
      <c r="R51">
        <v>52.3333333333333</v>
      </c>
      <c r="S51">
        <v>51.492800000000003</v>
      </c>
      <c r="T51">
        <v>70.197699999999998</v>
      </c>
      <c r="U51">
        <v>74.101500000000001</v>
      </c>
    </row>
    <row r="52" spans="1:21" x14ac:dyDescent="0.2">
      <c r="A52" t="s">
        <v>167</v>
      </c>
      <c r="B52" t="s">
        <v>168</v>
      </c>
      <c r="E52">
        <v>85.034499999999994</v>
      </c>
      <c r="F52">
        <v>59.198124999999997</v>
      </c>
      <c r="G52">
        <v>77.5637857142857</v>
      </c>
      <c r="H52">
        <v>97.31</v>
      </c>
      <c r="I52">
        <v>77.297749999999994</v>
      </c>
      <c r="J52">
        <v>75.015000000000001</v>
      </c>
      <c r="K52">
        <v>91.3273333333333</v>
      </c>
      <c r="L52">
        <v>68.974166666666704</v>
      </c>
      <c r="M52">
        <v>35.0966666666667</v>
      </c>
      <c r="N52">
        <v>23.613499999999998</v>
      </c>
      <c r="O52">
        <v>84.4435</v>
      </c>
      <c r="P52">
        <v>84.424833333333297</v>
      </c>
      <c r="Q52">
        <v>92.590999999999994</v>
      </c>
      <c r="R52">
        <v>80.947000000000003</v>
      </c>
      <c r="S52">
        <v>60.078800000000001</v>
      </c>
      <c r="T52">
        <v>65.099699999999999</v>
      </c>
      <c r="U52">
        <v>75.153333333333293</v>
      </c>
    </row>
    <row r="53" spans="1:21" x14ac:dyDescent="0.2">
      <c r="A53" t="s">
        <v>181</v>
      </c>
      <c r="B53" t="s">
        <v>182</v>
      </c>
      <c r="E53">
        <v>74.325999999999993</v>
      </c>
      <c r="F53">
        <v>64.327749999999995</v>
      </c>
      <c r="G53">
        <v>71.227357142857102</v>
      </c>
      <c r="H53">
        <v>87.585333333333296</v>
      </c>
      <c r="I53">
        <v>45.580500000000001</v>
      </c>
      <c r="J53">
        <v>66.488399999999999</v>
      </c>
      <c r="K53">
        <v>92.343000000000004</v>
      </c>
      <c r="L53">
        <v>56.816666666666698</v>
      </c>
      <c r="M53">
        <v>47.0283333333333</v>
      </c>
      <c r="N53">
        <v>58.436999999999998</v>
      </c>
      <c r="O53">
        <v>66.034499999999994</v>
      </c>
      <c r="P53">
        <v>87.686833333333297</v>
      </c>
      <c r="Q53">
        <v>94.561999999999998</v>
      </c>
      <c r="R53">
        <v>50.784999999999997</v>
      </c>
      <c r="S53">
        <v>68.794399999999996</v>
      </c>
      <c r="T53">
        <v>75.826499999999996</v>
      </c>
      <c r="U53">
        <v>59.151249999999997</v>
      </c>
    </row>
    <row r="54" spans="1:21" x14ac:dyDescent="0.2">
      <c r="A54" t="s">
        <v>359</v>
      </c>
      <c r="B54" t="s">
        <v>360</v>
      </c>
    </row>
    <row r="55" spans="1:21" x14ac:dyDescent="0.2">
      <c r="A55" t="s">
        <v>51</v>
      </c>
      <c r="B55" t="s">
        <v>52</v>
      </c>
      <c r="E55">
        <v>98.607500000000002</v>
      </c>
      <c r="F55">
        <v>63.884500000000003</v>
      </c>
      <c r="G55">
        <v>94.127615384615396</v>
      </c>
      <c r="H55">
        <v>96.55</v>
      </c>
      <c r="I55">
        <v>85.813749999999999</v>
      </c>
      <c r="J55">
        <v>86.583399999999997</v>
      </c>
      <c r="K55">
        <v>95.005666666666698</v>
      </c>
      <c r="L55">
        <v>76.214500000000001</v>
      </c>
      <c r="M55">
        <v>86.879166666666706</v>
      </c>
      <c r="N55">
        <v>73.183999999999997</v>
      </c>
      <c r="O55">
        <v>91.478750000000005</v>
      </c>
      <c r="P55">
        <v>63.054833333333299</v>
      </c>
      <c r="Q55">
        <v>76.974999999999994</v>
      </c>
      <c r="R55">
        <v>52.155333333333303</v>
      </c>
      <c r="S55">
        <v>66.524199999999993</v>
      </c>
      <c r="T55">
        <v>82.980400000000003</v>
      </c>
      <c r="U55">
        <v>60.829000000000001</v>
      </c>
    </row>
    <row r="56" spans="1:21" x14ac:dyDescent="0.2">
      <c r="A56" t="s">
        <v>39</v>
      </c>
      <c r="B56" t="s">
        <v>40</v>
      </c>
      <c r="E56">
        <v>99.921000000000006</v>
      </c>
      <c r="F56">
        <v>63.813000000000002</v>
      </c>
      <c r="G56">
        <v>88.144384615384595</v>
      </c>
      <c r="H56">
        <v>97.280666666666704</v>
      </c>
      <c r="I56">
        <v>77.236999999999995</v>
      </c>
      <c r="J56">
        <v>88.337800000000001</v>
      </c>
      <c r="K56">
        <v>88.570333333333295</v>
      </c>
      <c r="L56">
        <v>84.198666666666696</v>
      </c>
      <c r="M56">
        <v>75.777333333333303</v>
      </c>
      <c r="N56">
        <v>83.677999999999997</v>
      </c>
      <c r="O56">
        <v>92.746250000000003</v>
      </c>
      <c r="P56">
        <v>60.325666666666699</v>
      </c>
      <c r="Q56">
        <v>61.986333333333299</v>
      </c>
      <c r="R56">
        <v>85.216499999999996</v>
      </c>
      <c r="S56">
        <v>96.255799999999994</v>
      </c>
      <c r="T56">
        <v>90.837999999999994</v>
      </c>
      <c r="U56">
        <v>52.46275</v>
      </c>
    </row>
    <row r="57" spans="1:21" x14ac:dyDescent="0.2">
      <c r="A57" t="s">
        <v>307</v>
      </c>
      <c r="B57" t="s">
        <v>308</v>
      </c>
      <c r="E57">
        <v>33.9255</v>
      </c>
      <c r="F57">
        <v>61.537624999999998</v>
      </c>
      <c r="G57">
        <v>44.527999999999999</v>
      </c>
      <c r="H57">
        <v>44.381333333333302</v>
      </c>
      <c r="I57">
        <v>53.71425</v>
      </c>
      <c r="J57">
        <v>35.750799999999998</v>
      </c>
      <c r="K57">
        <v>41.518333333333302</v>
      </c>
      <c r="L57">
        <v>61.596499999999999</v>
      </c>
      <c r="M57">
        <v>10.3188333333333</v>
      </c>
      <c r="N57">
        <v>71.691500000000005</v>
      </c>
      <c r="O57">
        <v>55.522750000000002</v>
      </c>
      <c r="P57">
        <v>96.158833333333305</v>
      </c>
      <c r="Q57">
        <v>99.466666666666697</v>
      </c>
      <c r="S57">
        <v>57.952800000000003</v>
      </c>
      <c r="T57">
        <v>47.069899999999997</v>
      </c>
      <c r="U57">
        <v>43.713000000000001</v>
      </c>
    </row>
    <row r="58" spans="1:21" x14ac:dyDescent="0.2">
      <c r="A58" t="s">
        <v>21</v>
      </c>
      <c r="B58" t="s">
        <v>22</v>
      </c>
      <c r="E58">
        <v>99.847999999999999</v>
      </c>
      <c r="F58">
        <v>64.164625000000001</v>
      </c>
      <c r="G58">
        <v>94.769615384615406</v>
      </c>
      <c r="H58">
        <v>98.160708333333304</v>
      </c>
      <c r="I58">
        <v>91.370999999999995</v>
      </c>
      <c r="J58">
        <v>94.440600000000003</v>
      </c>
      <c r="K58">
        <v>96.486000000000004</v>
      </c>
      <c r="L58">
        <v>88.277666666666704</v>
      </c>
      <c r="M58">
        <v>94.057666666666705</v>
      </c>
      <c r="N58">
        <v>96.811999999999998</v>
      </c>
      <c r="O58">
        <v>91.233750000000001</v>
      </c>
      <c r="P58">
        <v>55.598500000000001</v>
      </c>
      <c r="Q58">
        <v>59.982999999999997</v>
      </c>
      <c r="R58">
        <v>84.649833333333305</v>
      </c>
      <c r="S58">
        <v>84.62</v>
      </c>
      <c r="T58">
        <v>94.601799999999997</v>
      </c>
      <c r="U58">
        <v>71.245000000000005</v>
      </c>
    </row>
    <row r="59" spans="1:21" x14ac:dyDescent="0.2">
      <c r="A59" t="s">
        <v>133</v>
      </c>
      <c r="B59" t="s">
        <v>134</v>
      </c>
      <c r="E59">
        <v>91.253500000000003</v>
      </c>
      <c r="F59">
        <v>57.3215</v>
      </c>
      <c r="G59">
        <v>71.460846153846205</v>
      </c>
      <c r="H59">
        <v>98.826999999999998</v>
      </c>
      <c r="I59">
        <v>57.704000000000001</v>
      </c>
      <c r="J59">
        <v>76.740399999999994</v>
      </c>
      <c r="K59">
        <v>68.939499999999995</v>
      </c>
      <c r="L59">
        <v>80.677000000000007</v>
      </c>
      <c r="M59">
        <v>39.7014</v>
      </c>
      <c r="N59">
        <v>43.619</v>
      </c>
      <c r="O59">
        <v>93.206999999999994</v>
      </c>
      <c r="P59">
        <v>80.468333333333405</v>
      </c>
      <c r="Q59">
        <v>90.294333333333299</v>
      </c>
      <c r="R59">
        <v>72.667666666666705</v>
      </c>
      <c r="S59">
        <v>44.142600000000002</v>
      </c>
      <c r="T59">
        <v>85.502250000000004</v>
      </c>
      <c r="U59">
        <v>58.627000000000002</v>
      </c>
    </row>
    <row r="60" spans="1:21" x14ac:dyDescent="0.2">
      <c r="A60" t="s">
        <v>31</v>
      </c>
      <c r="B60" t="s">
        <v>32</v>
      </c>
      <c r="E60">
        <v>99.745500000000007</v>
      </c>
      <c r="F60">
        <v>73.728624999999994</v>
      </c>
      <c r="G60">
        <v>92.507571428571396</v>
      </c>
      <c r="H60">
        <v>99.709708333333296</v>
      </c>
      <c r="I60">
        <v>86.977249999999998</v>
      </c>
      <c r="J60">
        <v>86.678399999999996</v>
      </c>
      <c r="K60">
        <v>96.965999999999994</v>
      </c>
      <c r="L60">
        <v>82.4256666666667</v>
      </c>
      <c r="M60">
        <v>87.409166666666707</v>
      </c>
      <c r="N60">
        <v>84.311499999999995</v>
      </c>
      <c r="O60">
        <v>89.311999999999998</v>
      </c>
      <c r="P60">
        <v>57.665500000000002</v>
      </c>
      <c r="Q60">
        <v>72.365333333333297</v>
      </c>
      <c r="R60">
        <v>61.448833333333297</v>
      </c>
      <c r="S60">
        <v>70.846000000000004</v>
      </c>
      <c r="T60">
        <v>75.138499999999993</v>
      </c>
      <c r="U60">
        <v>71.204499999999996</v>
      </c>
    </row>
    <row r="61" spans="1:21" x14ac:dyDescent="0.2">
      <c r="A61" t="s">
        <v>361</v>
      </c>
      <c r="B61" t="s">
        <v>362</v>
      </c>
    </row>
    <row r="62" spans="1:21" x14ac:dyDescent="0.2">
      <c r="A62" t="s">
        <v>245</v>
      </c>
      <c r="B62" t="s">
        <v>246</v>
      </c>
      <c r="E62">
        <v>83.269499999999994</v>
      </c>
      <c r="F62">
        <v>51.985428571428599</v>
      </c>
      <c r="G62">
        <v>51.665857142857099</v>
      </c>
      <c r="H62">
        <v>61.786753581107199</v>
      </c>
      <c r="I62">
        <v>47.305500000000002</v>
      </c>
      <c r="J62">
        <v>62.812800000000003</v>
      </c>
      <c r="K62">
        <v>83.733999999999995</v>
      </c>
      <c r="L62">
        <v>61.943800000000003</v>
      </c>
      <c r="M62">
        <v>32.646166666666701</v>
      </c>
      <c r="N62">
        <v>59.234999999999999</v>
      </c>
      <c r="O62">
        <v>53.433999999999997</v>
      </c>
      <c r="P62">
        <v>85.608800000000002</v>
      </c>
      <c r="Q62">
        <v>88.725499999999997</v>
      </c>
      <c r="R62">
        <v>66.580500000000001</v>
      </c>
      <c r="S62">
        <v>83.063000000000002</v>
      </c>
      <c r="T62">
        <v>53.078444444444401</v>
      </c>
      <c r="U62">
        <v>40.982500000000002</v>
      </c>
    </row>
    <row r="63" spans="1:21" x14ac:dyDescent="0.2">
      <c r="A63" t="s">
        <v>41</v>
      </c>
      <c r="B63" t="s">
        <v>42</v>
      </c>
      <c r="E63">
        <v>99.725999999999999</v>
      </c>
      <c r="F63">
        <v>67.308250000000001</v>
      </c>
      <c r="G63">
        <v>92.783000000000001</v>
      </c>
      <c r="H63">
        <v>98.376374999999996</v>
      </c>
      <c r="I63">
        <v>82.976249999999993</v>
      </c>
      <c r="J63">
        <v>92.2898</v>
      </c>
      <c r="K63">
        <v>93.762666666666703</v>
      </c>
      <c r="L63">
        <v>80.483666666666693</v>
      </c>
      <c r="M63">
        <v>89.823999999999998</v>
      </c>
      <c r="N63">
        <v>66.340999999999994</v>
      </c>
      <c r="O63">
        <v>93.342749999999995</v>
      </c>
      <c r="P63">
        <v>53.301666666666698</v>
      </c>
      <c r="Q63">
        <v>57.845333333333301</v>
      </c>
      <c r="R63">
        <v>73.115166666666696</v>
      </c>
      <c r="S63">
        <v>76.716200000000001</v>
      </c>
      <c r="T63">
        <v>83.129599999999996</v>
      </c>
      <c r="U63">
        <v>58.217750000000002</v>
      </c>
    </row>
    <row r="64" spans="1:21" x14ac:dyDescent="0.2">
      <c r="A64" t="s">
        <v>103</v>
      </c>
      <c r="B64" t="s">
        <v>104</v>
      </c>
      <c r="E64">
        <v>84.215000000000003</v>
      </c>
      <c r="F64">
        <v>52.252714285714298</v>
      </c>
      <c r="G64">
        <v>73.150999999999996</v>
      </c>
      <c r="H64">
        <v>99.329333333333295</v>
      </c>
      <c r="I64">
        <v>58.784999999999997</v>
      </c>
      <c r="J64">
        <v>83.497600000000006</v>
      </c>
      <c r="K64">
        <v>88.287333333333294</v>
      </c>
      <c r="L64">
        <v>68.743666666666698</v>
      </c>
      <c r="M64">
        <v>39.716166666666702</v>
      </c>
      <c r="N64">
        <v>52.104500000000002</v>
      </c>
      <c r="O64">
        <v>76.311499999999995</v>
      </c>
      <c r="P64">
        <v>83.548500000000004</v>
      </c>
      <c r="Q64">
        <v>86.313666666666705</v>
      </c>
      <c r="R64">
        <v>66.340800000000002</v>
      </c>
      <c r="S64">
        <v>67.751400000000004</v>
      </c>
      <c r="T64">
        <v>84.702299999999994</v>
      </c>
      <c r="U64">
        <v>62.917499999999997</v>
      </c>
    </row>
    <row r="65" spans="1:21" x14ac:dyDescent="0.2">
      <c r="A65" t="s">
        <v>263</v>
      </c>
      <c r="B65" t="s">
        <v>264</v>
      </c>
      <c r="E65">
        <v>65.909000000000006</v>
      </c>
      <c r="F65">
        <v>66.309749999999994</v>
      </c>
      <c r="G65">
        <v>53.519571428571403</v>
      </c>
      <c r="H65">
        <v>85.972666666666697</v>
      </c>
      <c r="I65">
        <v>51.597999999999999</v>
      </c>
      <c r="J65">
        <v>55.612000000000002</v>
      </c>
      <c r="K65">
        <v>59.898000000000003</v>
      </c>
      <c r="L65">
        <v>69.606999999999999</v>
      </c>
      <c r="M65">
        <v>37.486166666666698</v>
      </c>
      <c r="N65">
        <v>31.76</v>
      </c>
      <c r="O65">
        <v>51.457000000000001</v>
      </c>
      <c r="P65">
        <v>95.132833333333295</v>
      </c>
      <c r="Q65">
        <v>98.253</v>
      </c>
      <c r="R65">
        <v>46.300333333333299</v>
      </c>
      <c r="S65">
        <v>76.694599999999994</v>
      </c>
      <c r="T65">
        <v>70.413300000000007</v>
      </c>
      <c r="U65">
        <v>46.480249999999998</v>
      </c>
    </row>
    <row r="66" spans="1:21" x14ac:dyDescent="0.2">
      <c r="A66" t="s">
        <v>303</v>
      </c>
      <c r="B66" t="s">
        <v>304</v>
      </c>
      <c r="E66">
        <v>30.861000000000001</v>
      </c>
      <c r="F66">
        <v>49.711166666666699</v>
      </c>
      <c r="G66">
        <v>31.582857142857101</v>
      </c>
      <c r="H66">
        <v>25.266666666666701</v>
      </c>
      <c r="I66">
        <v>39.045000000000002</v>
      </c>
      <c r="J66">
        <v>50.077599999999997</v>
      </c>
      <c r="K66">
        <v>19.196999999999999</v>
      </c>
      <c r="L66">
        <v>63.470833333333303</v>
      </c>
      <c r="M66">
        <v>6.3994999999999997</v>
      </c>
      <c r="N66">
        <v>71.213999999999999</v>
      </c>
      <c r="O66">
        <v>52.195</v>
      </c>
      <c r="P66">
        <v>94.438999999999993</v>
      </c>
      <c r="Q66">
        <v>99.140333333333302</v>
      </c>
      <c r="R66">
        <v>63.443166666666698</v>
      </c>
      <c r="S66">
        <v>70.744</v>
      </c>
      <c r="T66">
        <v>50.364899999999999</v>
      </c>
      <c r="U66">
        <v>49.1933333333333</v>
      </c>
    </row>
    <row r="67" spans="1:21" x14ac:dyDescent="0.2">
      <c r="A67" t="s">
        <v>277</v>
      </c>
      <c r="B67" t="s">
        <v>278</v>
      </c>
      <c r="E67">
        <v>64.263999999999996</v>
      </c>
      <c r="F67">
        <v>58.47025</v>
      </c>
      <c r="G67">
        <v>45.005499999999998</v>
      </c>
      <c r="H67">
        <v>51.5073333333333</v>
      </c>
      <c r="I67">
        <v>40.546250000000001</v>
      </c>
      <c r="J67">
        <v>59.088200000000001</v>
      </c>
      <c r="K67">
        <v>28.826499999999999</v>
      </c>
      <c r="L67">
        <v>64.894800000000004</v>
      </c>
      <c r="M67">
        <v>11.1703333333333</v>
      </c>
      <c r="N67">
        <v>69.070999999999998</v>
      </c>
      <c r="O67">
        <v>63.100250000000003</v>
      </c>
      <c r="P67">
        <v>93.517166666666697</v>
      </c>
      <c r="Q67">
        <v>99.095333333333301</v>
      </c>
      <c r="R67">
        <v>72.829800000000006</v>
      </c>
      <c r="S67">
        <v>81.535399999999996</v>
      </c>
      <c r="T67">
        <v>59.735599999999998</v>
      </c>
      <c r="U67">
        <v>44.829333333333302</v>
      </c>
    </row>
    <row r="68" spans="1:21" x14ac:dyDescent="0.2">
      <c r="A68" t="s">
        <v>363</v>
      </c>
      <c r="B68" t="s">
        <v>364</v>
      </c>
    </row>
    <row r="69" spans="1:21" x14ac:dyDescent="0.2">
      <c r="A69" t="s">
        <v>365</v>
      </c>
      <c r="B69" t="s">
        <v>366</v>
      </c>
    </row>
    <row r="70" spans="1:21" x14ac:dyDescent="0.2">
      <c r="A70" t="s">
        <v>75</v>
      </c>
      <c r="B70" t="s">
        <v>76</v>
      </c>
      <c r="E70">
        <v>97.840500000000006</v>
      </c>
      <c r="F70">
        <v>66.169124999999994</v>
      </c>
      <c r="G70">
        <v>88.280166666666702</v>
      </c>
      <c r="H70">
        <v>97.158666666666704</v>
      </c>
      <c r="I70">
        <v>64.093000000000004</v>
      </c>
      <c r="J70">
        <v>86.816999999999993</v>
      </c>
      <c r="K70">
        <v>91.187666666666701</v>
      </c>
      <c r="L70">
        <v>64.974333333333306</v>
      </c>
      <c r="M70">
        <v>71.893166666666701</v>
      </c>
      <c r="N70">
        <v>68.284000000000006</v>
      </c>
      <c r="O70">
        <v>78.272750000000002</v>
      </c>
      <c r="P70">
        <v>59.035833333333301</v>
      </c>
      <c r="Q70">
        <v>72.595333333333301</v>
      </c>
      <c r="R70">
        <v>56.782666666666699</v>
      </c>
      <c r="S70">
        <v>81.0886</v>
      </c>
      <c r="T70">
        <v>76.819999999999993</v>
      </c>
      <c r="U70">
        <v>60.627499999999998</v>
      </c>
    </row>
    <row r="71" spans="1:21" x14ac:dyDescent="0.2">
      <c r="A71" t="s">
        <v>367</v>
      </c>
      <c r="B71" t="s">
        <v>368</v>
      </c>
    </row>
    <row r="72" spans="1:21" x14ac:dyDescent="0.2">
      <c r="A72" t="s">
        <v>273</v>
      </c>
      <c r="B72" t="s">
        <v>274</v>
      </c>
      <c r="E72">
        <v>74.105000000000004</v>
      </c>
      <c r="F72">
        <v>38.939749999999997</v>
      </c>
      <c r="G72">
        <v>69.010071428571393</v>
      </c>
      <c r="H72">
        <v>71.098666666666702</v>
      </c>
      <c r="I72">
        <v>56.51925</v>
      </c>
      <c r="J72">
        <v>71.399799999999999</v>
      </c>
      <c r="K72">
        <v>72.4763333333334</v>
      </c>
      <c r="L72">
        <v>63.3883333333333</v>
      </c>
      <c r="M72">
        <v>17.971333333333298</v>
      </c>
      <c r="N72">
        <v>10.782999999999999</v>
      </c>
      <c r="O72">
        <v>80.520750000000007</v>
      </c>
      <c r="P72">
        <v>90.191666666666706</v>
      </c>
      <c r="Q72">
        <v>95.763333333333307</v>
      </c>
      <c r="R72">
        <v>57.506166666666701</v>
      </c>
      <c r="S72">
        <v>46.702599999999997</v>
      </c>
      <c r="T72">
        <v>55.319400000000002</v>
      </c>
      <c r="U72">
        <v>46.85425</v>
      </c>
    </row>
    <row r="73" spans="1:21" x14ac:dyDescent="0.2">
      <c r="A73" t="s">
        <v>211</v>
      </c>
      <c r="B73" t="s">
        <v>212</v>
      </c>
      <c r="E73">
        <v>86.545000000000002</v>
      </c>
      <c r="F73">
        <v>68.721999999999994</v>
      </c>
      <c r="G73">
        <v>63.309571428571402</v>
      </c>
      <c r="H73">
        <v>88.190666666666701</v>
      </c>
      <c r="I73">
        <v>66.567250000000001</v>
      </c>
      <c r="J73">
        <v>55.360199999999999</v>
      </c>
      <c r="K73">
        <v>82.496499999999997</v>
      </c>
      <c r="L73">
        <v>51.157400000000003</v>
      </c>
      <c r="M73">
        <v>16.996600000000001</v>
      </c>
      <c r="O73">
        <v>78.850250000000003</v>
      </c>
      <c r="P73">
        <v>21.236833333333301</v>
      </c>
      <c r="Q73">
        <v>61.576666666666704</v>
      </c>
      <c r="R73">
        <v>32.229799999999997</v>
      </c>
      <c r="S73">
        <v>55.689</v>
      </c>
      <c r="T73">
        <v>66.317111111111103</v>
      </c>
      <c r="U73">
        <v>61.031333333333301</v>
      </c>
    </row>
    <row r="74" spans="1:21" x14ac:dyDescent="0.2">
      <c r="A74" t="s">
        <v>251</v>
      </c>
      <c r="B74" t="s">
        <v>252</v>
      </c>
      <c r="E74">
        <v>56.450499999999998</v>
      </c>
      <c r="F74">
        <v>52.445250000000001</v>
      </c>
      <c r="G74">
        <v>74.4897142857143</v>
      </c>
      <c r="H74">
        <v>65.902666666666704</v>
      </c>
      <c r="I74">
        <v>65.410749999999993</v>
      </c>
      <c r="J74">
        <v>74.491200000000006</v>
      </c>
      <c r="K74">
        <v>75.5416666666667</v>
      </c>
      <c r="L74">
        <v>64.643000000000001</v>
      </c>
      <c r="M74">
        <v>20.409666666666698</v>
      </c>
      <c r="N74">
        <v>15.0495</v>
      </c>
      <c r="O74">
        <v>80.062749999999994</v>
      </c>
      <c r="P74">
        <v>89.302499999999995</v>
      </c>
      <c r="Q74">
        <v>95.475333333333296</v>
      </c>
      <c r="R74">
        <v>65.554333333333304</v>
      </c>
      <c r="S74">
        <v>60.681750000000001</v>
      </c>
      <c r="T74">
        <v>48.1892</v>
      </c>
      <c r="U74">
        <v>63.037750000000003</v>
      </c>
    </row>
    <row r="75" spans="1:21" x14ac:dyDescent="0.2">
      <c r="A75" t="s">
        <v>43</v>
      </c>
      <c r="B75" t="s">
        <v>44</v>
      </c>
      <c r="E75">
        <v>98.61</v>
      </c>
      <c r="F75">
        <v>74.993624999999994</v>
      </c>
      <c r="G75">
        <v>87.738500000000002</v>
      </c>
      <c r="H75">
        <v>98.128333333333302</v>
      </c>
      <c r="I75">
        <v>67.740499999999997</v>
      </c>
      <c r="J75">
        <v>86.792599999999993</v>
      </c>
      <c r="K75">
        <v>90.974666666666707</v>
      </c>
      <c r="L75">
        <v>80.175166666666698</v>
      </c>
      <c r="M75">
        <v>63.671333333333301</v>
      </c>
      <c r="N75">
        <v>80.774000000000001</v>
      </c>
      <c r="O75">
        <v>77.322666666666706</v>
      </c>
      <c r="P75">
        <v>70.917166666666702</v>
      </c>
      <c r="Q75">
        <v>78.304000000000002</v>
      </c>
      <c r="R75">
        <v>81.549499999999995</v>
      </c>
      <c r="S75">
        <v>84.5428</v>
      </c>
      <c r="T75">
        <v>78.278999999999996</v>
      </c>
      <c r="U75">
        <v>65.869666666666703</v>
      </c>
    </row>
    <row r="76" spans="1:21" x14ac:dyDescent="0.2">
      <c r="A76" t="s">
        <v>323</v>
      </c>
      <c r="B76" t="s">
        <v>324</v>
      </c>
      <c r="E76">
        <v>30.3445</v>
      </c>
      <c r="F76">
        <v>42.4561428571429</v>
      </c>
      <c r="G76">
        <v>41.151071428571399</v>
      </c>
      <c r="H76">
        <v>76.438166666666703</v>
      </c>
      <c r="I76">
        <v>40.172249999999998</v>
      </c>
      <c r="J76">
        <v>53.768999999999998</v>
      </c>
      <c r="K76">
        <v>29.124666666666698</v>
      </c>
      <c r="L76">
        <v>55.628999999999998</v>
      </c>
      <c r="M76">
        <v>12.1715</v>
      </c>
      <c r="N76">
        <v>46.633000000000003</v>
      </c>
      <c r="O76">
        <v>36.463500000000003</v>
      </c>
      <c r="P76">
        <v>92.478999999999999</v>
      </c>
      <c r="Q76">
        <v>99.119333333333302</v>
      </c>
      <c r="R76">
        <v>73.906999999999996</v>
      </c>
      <c r="S76">
        <v>48.3354</v>
      </c>
      <c r="T76">
        <v>47.658000000000001</v>
      </c>
      <c r="U76">
        <v>47.122666666666703</v>
      </c>
    </row>
    <row r="77" spans="1:21" x14ac:dyDescent="0.2">
      <c r="A77" t="s">
        <v>63</v>
      </c>
      <c r="B77" t="s">
        <v>64</v>
      </c>
      <c r="E77">
        <v>98.772499999999994</v>
      </c>
      <c r="F77">
        <v>72.647374999999997</v>
      </c>
      <c r="G77">
        <v>83.501153846153898</v>
      </c>
      <c r="H77">
        <v>94.194999999999993</v>
      </c>
      <c r="I77">
        <v>64.58775</v>
      </c>
      <c r="J77">
        <v>88.715999999999994</v>
      </c>
      <c r="K77">
        <v>92.034000000000006</v>
      </c>
      <c r="L77">
        <v>80.641833333333295</v>
      </c>
      <c r="M77">
        <v>66.500833333333304</v>
      </c>
      <c r="N77">
        <v>79.841499999999996</v>
      </c>
      <c r="O77">
        <v>89.306749999999994</v>
      </c>
      <c r="P77">
        <v>73.089500000000001</v>
      </c>
      <c r="Q77">
        <v>79.989666666666693</v>
      </c>
      <c r="S77">
        <v>86.21</v>
      </c>
      <c r="T77">
        <v>74.429900000000004</v>
      </c>
      <c r="U77">
        <v>51.371000000000002</v>
      </c>
    </row>
    <row r="78" spans="1:21" x14ac:dyDescent="0.2">
      <c r="A78" t="s">
        <v>169</v>
      </c>
      <c r="B78" t="s">
        <v>170</v>
      </c>
      <c r="E78">
        <v>78.974500000000006</v>
      </c>
      <c r="F78">
        <v>64.467124999999996</v>
      </c>
      <c r="G78">
        <v>62.164384615384598</v>
      </c>
      <c r="H78">
        <v>91.688333333333404</v>
      </c>
      <c r="I78">
        <v>62.852249999999998</v>
      </c>
      <c r="J78">
        <v>66.027799999999999</v>
      </c>
      <c r="K78">
        <v>73.909333333333294</v>
      </c>
      <c r="L78">
        <v>71.907833333333301</v>
      </c>
      <c r="M78">
        <v>40.462666666666699</v>
      </c>
      <c r="N78">
        <v>40.546999999999997</v>
      </c>
      <c r="O78">
        <v>65.983500000000006</v>
      </c>
      <c r="P78">
        <v>87.206833333333293</v>
      </c>
      <c r="Q78">
        <v>91.709666666666706</v>
      </c>
      <c r="R78">
        <v>62.347166666666702</v>
      </c>
      <c r="S78">
        <v>46.339399999999998</v>
      </c>
      <c r="T78">
        <v>70.217333333333301</v>
      </c>
      <c r="U78">
        <v>51.024250000000002</v>
      </c>
    </row>
    <row r="79" spans="1:21" x14ac:dyDescent="0.2">
      <c r="A79" t="s">
        <v>243</v>
      </c>
      <c r="B79" t="s">
        <v>244</v>
      </c>
      <c r="E79">
        <v>59.576500000000003</v>
      </c>
      <c r="F79">
        <v>52.439124999999997</v>
      </c>
      <c r="G79">
        <v>57.9704615384615</v>
      </c>
      <c r="H79">
        <v>86.477333333333306</v>
      </c>
      <c r="I79">
        <v>34.082250000000002</v>
      </c>
      <c r="J79">
        <v>56.130600000000001</v>
      </c>
      <c r="K79">
        <v>69.938666666666705</v>
      </c>
      <c r="L79">
        <v>71.092666666666702</v>
      </c>
      <c r="M79">
        <v>42.186500000000002</v>
      </c>
      <c r="N79">
        <v>27.855</v>
      </c>
      <c r="O79">
        <v>53.178249999999998</v>
      </c>
      <c r="P79">
        <v>91.7261666666667</v>
      </c>
      <c r="Q79">
        <v>96.069333333333304</v>
      </c>
      <c r="R79">
        <v>62.231833333333299</v>
      </c>
      <c r="S79">
        <v>50.700600000000001</v>
      </c>
      <c r="T79">
        <v>58.881700000000002</v>
      </c>
      <c r="U79">
        <v>50.738</v>
      </c>
    </row>
    <row r="80" spans="1:21" x14ac:dyDescent="0.2">
      <c r="A80" t="s">
        <v>53</v>
      </c>
      <c r="B80" t="s">
        <v>54</v>
      </c>
      <c r="E80">
        <v>99.795000000000002</v>
      </c>
      <c r="F80">
        <v>75.894874999999999</v>
      </c>
      <c r="G80">
        <v>93.231846153846206</v>
      </c>
      <c r="H80">
        <v>99.738708333333307</v>
      </c>
      <c r="I80">
        <v>76.390249999999995</v>
      </c>
      <c r="J80">
        <v>87.285399999999996</v>
      </c>
      <c r="K80">
        <v>93.429333333333304</v>
      </c>
      <c r="L80">
        <v>87.328599999999994</v>
      </c>
      <c r="M80">
        <v>82.016999999999996</v>
      </c>
      <c r="N80">
        <v>86.423000000000002</v>
      </c>
      <c r="O80">
        <v>88.755250000000004</v>
      </c>
      <c r="P80">
        <v>45.179000000000002</v>
      </c>
      <c r="Q80">
        <v>58.1963333333333</v>
      </c>
      <c r="R80">
        <v>71.895166666666697</v>
      </c>
      <c r="S80">
        <v>89.082999999999998</v>
      </c>
      <c r="T80">
        <v>90.434333333333299</v>
      </c>
      <c r="U80">
        <v>51.307749999999999</v>
      </c>
    </row>
    <row r="81" spans="1:21" x14ac:dyDescent="0.2">
      <c r="A81" t="s">
        <v>191</v>
      </c>
      <c r="B81" t="s">
        <v>192</v>
      </c>
      <c r="E81">
        <v>95.464500000000001</v>
      </c>
      <c r="F81">
        <v>63.628</v>
      </c>
      <c r="G81">
        <v>79.242785714285702</v>
      </c>
      <c r="H81">
        <v>94.706999999999994</v>
      </c>
      <c r="I81">
        <v>43.217500000000001</v>
      </c>
      <c r="J81">
        <v>59.5702</v>
      </c>
      <c r="K81">
        <v>88.243333333333297</v>
      </c>
      <c r="L81">
        <v>50.786666666666697</v>
      </c>
      <c r="M81">
        <v>60.442333333333302</v>
      </c>
      <c r="N81">
        <v>47.700499999999998</v>
      </c>
      <c r="O81">
        <v>73.706000000000003</v>
      </c>
      <c r="P81">
        <v>83.376499999999993</v>
      </c>
      <c r="Q81">
        <v>78.551000000000002</v>
      </c>
      <c r="R81">
        <v>77.447000000000003</v>
      </c>
      <c r="S81">
        <v>67.397199999999998</v>
      </c>
      <c r="T81">
        <v>65.174444444444404</v>
      </c>
      <c r="U81">
        <v>61.597749999999998</v>
      </c>
    </row>
    <row r="82" spans="1:21" x14ac:dyDescent="0.2">
      <c r="A82" t="s">
        <v>229</v>
      </c>
      <c r="B82" t="s">
        <v>230</v>
      </c>
      <c r="E82">
        <v>79.5535</v>
      </c>
      <c r="F82">
        <v>51.979857142857099</v>
      </c>
      <c r="G82">
        <v>63.071307692307698</v>
      </c>
      <c r="H82">
        <v>69.873999999999995</v>
      </c>
      <c r="I82">
        <v>35.915500000000002</v>
      </c>
      <c r="J82">
        <v>71.545400000000001</v>
      </c>
      <c r="K82">
        <v>88.004666666666694</v>
      </c>
      <c r="L82">
        <v>56.588500000000003</v>
      </c>
      <c r="M82">
        <v>26.468499999999999</v>
      </c>
      <c r="N82">
        <v>74.1845</v>
      </c>
      <c r="O82">
        <v>54.756</v>
      </c>
      <c r="P82">
        <v>85.804333333333304</v>
      </c>
      <c r="Q82">
        <v>88.78</v>
      </c>
      <c r="R82">
        <v>60.821800000000003</v>
      </c>
      <c r="S82">
        <v>40.421250000000001</v>
      </c>
      <c r="T82">
        <v>67.698750000000004</v>
      </c>
      <c r="U82">
        <v>69.387333333333302</v>
      </c>
    </row>
    <row r="83" spans="1:21" x14ac:dyDescent="0.2">
      <c r="A83" t="s">
        <v>77</v>
      </c>
      <c r="B83" t="s">
        <v>78</v>
      </c>
      <c r="E83">
        <v>99.798000000000002</v>
      </c>
      <c r="F83">
        <v>58.2358571428571</v>
      </c>
      <c r="G83">
        <v>96.001923076923106</v>
      </c>
      <c r="H83">
        <v>99.262041666666704</v>
      </c>
      <c r="I83">
        <v>85.626666666666694</v>
      </c>
      <c r="J83">
        <v>74.643000000000001</v>
      </c>
      <c r="K83">
        <v>99.4463333333333</v>
      </c>
      <c r="L83">
        <v>79.448999999999998</v>
      </c>
      <c r="M83">
        <v>85.724166666666704</v>
      </c>
      <c r="N83">
        <v>96.897000000000006</v>
      </c>
      <c r="O83">
        <v>91.233750000000001</v>
      </c>
      <c r="P83">
        <v>28.534333333333301</v>
      </c>
      <c r="Q83">
        <v>50.338333333333303</v>
      </c>
      <c r="R83">
        <v>65.030166666666702</v>
      </c>
      <c r="S83">
        <v>53.217500000000001</v>
      </c>
      <c r="T83">
        <v>94.290999999999997</v>
      </c>
      <c r="U83">
        <v>71.169499999999999</v>
      </c>
    </row>
    <row r="84" spans="1:21" x14ac:dyDescent="0.2">
      <c r="A84" t="s">
        <v>115</v>
      </c>
      <c r="B84" t="s">
        <v>116</v>
      </c>
      <c r="E84">
        <v>99.246499999999997</v>
      </c>
      <c r="F84">
        <v>61.956125</v>
      </c>
      <c r="G84">
        <v>95.257750000000001</v>
      </c>
      <c r="H84">
        <v>98.181041666666701</v>
      </c>
      <c r="I84">
        <v>74.949749999999995</v>
      </c>
      <c r="J84">
        <v>72.782799999999995</v>
      </c>
      <c r="K84">
        <v>94.802333333333294</v>
      </c>
      <c r="L84">
        <v>84.289599999999993</v>
      </c>
      <c r="M84">
        <v>94.041333333333299</v>
      </c>
      <c r="N84">
        <v>62.878999999999998</v>
      </c>
      <c r="O84">
        <v>86.655249999999995</v>
      </c>
      <c r="P84">
        <v>61.148666666666699</v>
      </c>
      <c r="Q84">
        <v>73.281000000000006</v>
      </c>
      <c r="R84">
        <v>30.700800000000001</v>
      </c>
      <c r="S84">
        <v>50.903199999999998</v>
      </c>
      <c r="T84">
        <v>73.595888888888894</v>
      </c>
      <c r="U84">
        <v>60.972000000000001</v>
      </c>
    </row>
    <row r="85" spans="1:21" x14ac:dyDescent="0.2">
      <c r="A85" t="s">
        <v>67</v>
      </c>
      <c r="B85" t="s">
        <v>68</v>
      </c>
      <c r="E85">
        <v>98.06</v>
      </c>
      <c r="F85">
        <v>71.018625</v>
      </c>
      <c r="G85">
        <v>94.043000000000006</v>
      </c>
      <c r="H85">
        <v>96.7083333333333</v>
      </c>
      <c r="I85">
        <v>72.828999999999994</v>
      </c>
      <c r="J85">
        <v>82.135000000000005</v>
      </c>
      <c r="K85">
        <v>93.847333333333296</v>
      </c>
      <c r="L85">
        <v>76.572000000000003</v>
      </c>
      <c r="M85">
        <v>83.604500000000002</v>
      </c>
      <c r="N85">
        <v>71.545000000000002</v>
      </c>
      <c r="O85">
        <v>82.341250000000002</v>
      </c>
      <c r="P85">
        <v>63.609666666666698</v>
      </c>
      <c r="Q85">
        <v>76.819999999999993</v>
      </c>
      <c r="R85">
        <v>53.541166666666697</v>
      </c>
      <c r="S85">
        <v>80.221400000000003</v>
      </c>
      <c r="T85">
        <v>78.989500000000007</v>
      </c>
      <c r="U85">
        <v>62.952750000000002</v>
      </c>
    </row>
    <row r="86" spans="1:21" x14ac:dyDescent="0.2">
      <c r="A86" t="s">
        <v>183</v>
      </c>
      <c r="B86" t="s">
        <v>184</v>
      </c>
      <c r="E86">
        <v>83.378500000000003</v>
      </c>
      <c r="F86">
        <v>55.846249999999998</v>
      </c>
      <c r="G86">
        <v>79.974071428571406</v>
      </c>
      <c r="H86">
        <v>82.611999999999995</v>
      </c>
      <c r="I86">
        <v>78.204999999999998</v>
      </c>
      <c r="J86">
        <v>73.931600000000003</v>
      </c>
      <c r="K86">
        <v>85.275666666666694</v>
      </c>
      <c r="L86">
        <v>74.816833333333307</v>
      </c>
      <c r="M86">
        <v>37.343833333333301</v>
      </c>
      <c r="N86">
        <v>37.701000000000001</v>
      </c>
      <c r="O86">
        <v>74.060249999999996</v>
      </c>
      <c r="P86">
        <v>77.959333333333305</v>
      </c>
      <c r="Q86">
        <v>88.9493333333333</v>
      </c>
      <c r="R86">
        <v>56.774500000000003</v>
      </c>
      <c r="S86">
        <v>51.451999999999998</v>
      </c>
      <c r="T86">
        <v>66.628799999999998</v>
      </c>
      <c r="U86">
        <v>67.605999999999995</v>
      </c>
    </row>
    <row r="87" spans="1:21" x14ac:dyDescent="0.2">
      <c r="A87" t="s">
        <v>173</v>
      </c>
      <c r="B87" t="s">
        <v>174</v>
      </c>
      <c r="E87">
        <v>95.333500000000001</v>
      </c>
      <c r="F87">
        <v>59.558374999999998</v>
      </c>
      <c r="G87">
        <v>75.677307692307707</v>
      </c>
      <c r="H87">
        <v>71.631333333333302</v>
      </c>
      <c r="I87">
        <v>42.966749999999998</v>
      </c>
      <c r="J87">
        <v>57.5152</v>
      </c>
      <c r="K87">
        <v>92.942999999999998</v>
      </c>
      <c r="L87">
        <v>58.027333333333303</v>
      </c>
      <c r="M87">
        <v>50.501333333333299</v>
      </c>
      <c r="N87">
        <v>66.688500000000005</v>
      </c>
      <c r="O87">
        <v>74.953999999999994</v>
      </c>
      <c r="P87">
        <v>87.378833333333304</v>
      </c>
      <c r="Q87">
        <v>89.353999999999999</v>
      </c>
      <c r="R87">
        <v>78.98</v>
      </c>
      <c r="S87">
        <v>55.326749999999997</v>
      </c>
      <c r="T87">
        <v>76.607399999999998</v>
      </c>
      <c r="U87">
        <v>58.881749999999997</v>
      </c>
    </row>
    <row r="88" spans="1:21" x14ac:dyDescent="0.2">
      <c r="A88" t="s">
        <v>61</v>
      </c>
      <c r="B88" t="s">
        <v>62</v>
      </c>
      <c r="E88">
        <v>99.229500000000002</v>
      </c>
      <c r="F88">
        <v>75.196250000000006</v>
      </c>
      <c r="G88">
        <v>94.059230769230794</v>
      </c>
      <c r="H88">
        <v>99.740041666666698</v>
      </c>
      <c r="I88">
        <v>61.479750000000003</v>
      </c>
      <c r="J88">
        <v>84.869</v>
      </c>
      <c r="K88">
        <v>93.655333333333303</v>
      </c>
      <c r="L88">
        <v>86.811666666666696</v>
      </c>
      <c r="M88">
        <v>89.539000000000001</v>
      </c>
      <c r="N88">
        <v>75.342500000000001</v>
      </c>
      <c r="O88">
        <v>85.832999999999998</v>
      </c>
      <c r="P88">
        <v>66.6161666666667</v>
      </c>
      <c r="Q88">
        <v>66.409666666666695</v>
      </c>
      <c r="R88">
        <v>51.710333333333303</v>
      </c>
      <c r="S88">
        <v>63.853000000000002</v>
      </c>
      <c r="T88">
        <v>91.601900000000001</v>
      </c>
      <c r="U88">
        <v>71.480249999999998</v>
      </c>
    </row>
    <row r="89" spans="1:21" x14ac:dyDescent="0.2">
      <c r="A89" t="s">
        <v>151</v>
      </c>
      <c r="B89" t="s">
        <v>152</v>
      </c>
      <c r="E89">
        <v>99.915499999999994</v>
      </c>
      <c r="F89">
        <v>59.170250000000003</v>
      </c>
      <c r="G89">
        <v>79.526285714285706</v>
      </c>
      <c r="H89">
        <v>93.001666666666694</v>
      </c>
      <c r="I89">
        <v>71.136750000000006</v>
      </c>
      <c r="J89">
        <v>78.036199999999994</v>
      </c>
      <c r="K89">
        <v>86.528000000000006</v>
      </c>
      <c r="L89">
        <v>70.204999999999998</v>
      </c>
      <c r="M89">
        <v>44.0073333333333</v>
      </c>
      <c r="N89">
        <v>77.430000000000007</v>
      </c>
      <c r="O89">
        <v>83.715000000000003</v>
      </c>
      <c r="P89">
        <v>74.8541666666667</v>
      </c>
      <c r="Q89">
        <v>61.159333333333301</v>
      </c>
      <c r="S89">
        <v>56.958599999999997</v>
      </c>
      <c r="T89">
        <v>69.0664444444445</v>
      </c>
      <c r="U89">
        <v>54.292000000000002</v>
      </c>
    </row>
    <row r="90" spans="1:21" x14ac:dyDescent="0.2">
      <c r="A90" t="s">
        <v>265</v>
      </c>
      <c r="B90" t="s">
        <v>266</v>
      </c>
      <c r="E90">
        <v>49.093000000000004</v>
      </c>
      <c r="F90">
        <v>57.485124999999996</v>
      </c>
      <c r="G90">
        <v>54.765999999999998</v>
      </c>
      <c r="H90">
        <v>70.599666666666707</v>
      </c>
      <c r="I90">
        <v>68.743750000000006</v>
      </c>
      <c r="J90">
        <v>45.516800000000003</v>
      </c>
      <c r="K90">
        <v>53.276000000000003</v>
      </c>
      <c r="L90">
        <v>74.149500000000003</v>
      </c>
      <c r="M90">
        <v>32.3616666666667</v>
      </c>
      <c r="N90">
        <v>38.764499999999998</v>
      </c>
      <c r="O90">
        <v>61.270249999999997</v>
      </c>
      <c r="P90">
        <v>88.898166666666697</v>
      </c>
      <c r="Q90">
        <v>97.941333333333304</v>
      </c>
      <c r="R90">
        <v>67.864666666666693</v>
      </c>
      <c r="S90">
        <v>59.2926</v>
      </c>
      <c r="T90">
        <v>59.315222222222197</v>
      </c>
      <c r="U90">
        <v>50.823</v>
      </c>
    </row>
    <row r="91" spans="1:21" x14ac:dyDescent="0.2">
      <c r="A91" t="s">
        <v>109</v>
      </c>
      <c r="B91" t="s">
        <v>110</v>
      </c>
      <c r="E91">
        <v>84.522999999999996</v>
      </c>
      <c r="F91">
        <v>61.886571428571401</v>
      </c>
      <c r="G91">
        <v>75.1875</v>
      </c>
      <c r="H91">
        <v>98.689666666666696</v>
      </c>
      <c r="I91">
        <v>60.487749999999998</v>
      </c>
      <c r="J91">
        <v>65.148600000000002</v>
      </c>
      <c r="K91">
        <v>89.752333333333297</v>
      </c>
      <c r="L91">
        <v>65.493499999999997</v>
      </c>
      <c r="M91">
        <v>29.426166666666699</v>
      </c>
      <c r="N91">
        <v>89.075000000000003</v>
      </c>
      <c r="O91">
        <v>88.655749999999998</v>
      </c>
      <c r="P91">
        <v>86.504999999999995</v>
      </c>
      <c r="Q91">
        <v>92.209666666666706</v>
      </c>
      <c r="S91">
        <v>71.352199999999996</v>
      </c>
      <c r="T91">
        <v>68.168599999999998</v>
      </c>
      <c r="U91">
        <v>72.589250000000007</v>
      </c>
    </row>
    <row r="92" spans="1:21" x14ac:dyDescent="0.2">
      <c r="A92" t="s">
        <v>225</v>
      </c>
      <c r="B92" t="s">
        <v>226</v>
      </c>
      <c r="E92">
        <v>81.950999999999993</v>
      </c>
      <c r="F92">
        <v>63.845874999999999</v>
      </c>
      <c r="G92">
        <v>61.876857142857197</v>
      </c>
      <c r="H92">
        <v>71.335999999999999</v>
      </c>
      <c r="I92">
        <v>55.697499999999998</v>
      </c>
      <c r="J92">
        <v>63.621600000000001</v>
      </c>
      <c r="K92">
        <v>61.3853333333333</v>
      </c>
      <c r="L92">
        <v>57.244999999999997</v>
      </c>
      <c r="M92">
        <v>27.291166666666701</v>
      </c>
      <c r="N92">
        <v>77.614000000000004</v>
      </c>
      <c r="O92">
        <v>70.631</v>
      </c>
      <c r="P92">
        <v>93.407499999999999</v>
      </c>
      <c r="Q92">
        <v>96.973666666666702</v>
      </c>
      <c r="R92">
        <v>57.872666666666703</v>
      </c>
      <c r="S92">
        <v>43.829000000000001</v>
      </c>
      <c r="T92">
        <v>60.8003</v>
      </c>
      <c r="U92">
        <v>51.8035</v>
      </c>
    </row>
    <row r="93" spans="1:21" x14ac:dyDescent="0.2">
      <c r="A93" t="s">
        <v>369</v>
      </c>
      <c r="B93" t="s">
        <v>370</v>
      </c>
    </row>
    <row r="94" spans="1:21" x14ac:dyDescent="0.2">
      <c r="A94" t="s">
        <v>371</v>
      </c>
      <c r="B94" t="s">
        <v>372</v>
      </c>
    </row>
    <row r="95" spans="1:21" x14ac:dyDescent="0.2">
      <c r="A95" t="s">
        <v>81</v>
      </c>
      <c r="B95" t="s">
        <v>82</v>
      </c>
      <c r="E95">
        <v>99.040999999999997</v>
      </c>
      <c r="F95">
        <v>82.463250000000002</v>
      </c>
      <c r="G95">
        <v>92.003</v>
      </c>
      <c r="H95">
        <v>98.950999999999993</v>
      </c>
      <c r="I95">
        <v>65.284000000000006</v>
      </c>
      <c r="J95">
        <v>75.141800000000003</v>
      </c>
      <c r="K95">
        <v>92.7916666666667</v>
      </c>
      <c r="L95">
        <v>80.240333333333297</v>
      </c>
      <c r="M95">
        <v>98.784666666666695</v>
      </c>
      <c r="N95">
        <v>78.876999999999995</v>
      </c>
      <c r="O95">
        <v>86.491333333333301</v>
      </c>
      <c r="P95">
        <v>69.685166666666703</v>
      </c>
      <c r="Q95">
        <v>61.985999999999997</v>
      </c>
      <c r="R95">
        <v>58.749666666666698</v>
      </c>
      <c r="S95">
        <v>54.501399999999997</v>
      </c>
      <c r="T95">
        <v>79.023666666666699</v>
      </c>
      <c r="U95">
        <v>62.073749999999997</v>
      </c>
    </row>
    <row r="96" spans="1:21" x14ac:dyDescent="0.2">
      <c r="A96" t="s">
        <v>235</v>
      </c>
      <c r="B96" t="s">
        <v>236</v>
      </c>
      <c r="F96">
        <v>70.023875000000004</v>
      </c>
      <c r="G96">
        <v>82.798538461538499</v>
      </c>
      <c r="H96">
        <v>83.918333333333294</v>
      </c>
      <c r="I96">
        <v>53.760750000000002</v>
      </c>
      <c r="J96">
        <v>48.62</v>
      </c>
      <c r="K96">
        <v>92.881333333333302</v>
      </c>
      <c r="L96">
        <v>59.089750000000002</v>
      </c>
      <c r="M96">
        <v>53.565833333333302</v>
      </c>
      <c r="O96">
        <v>48.753500000000003</v>
      </c>
      <c r="P96">
        <v>36.532166666666697</v>
      </c>
      <c r="Q96">
        <v>33.332999999999998</v>
      </c>
      <c r="R96">
        <v>40.665199999999999</v>
      </c>
      <c r="S96">
        <v>52.586666666666702</v>
      </c>
      <c r="T96">
        <v>79.333142857142903</v>
      </c>
      <c r="U96">
        <v>68.901333333333298</v>
      </c>
    </row>
    <row r="97" spans="1:21" x14ac:dyDescent="0.2">
      <c r="A97" t="s">
        <v>249</v>
      </c>
      <c r="B97" t="s">
        <v>250</v>
      </c>
      <c r="E97">
        <v>54.866</v>
      </c>
      <c r="F97">
        <v>64.257166666666706</v>
      </c>
      <c r="G97">
        <v>53.457428571428601</v>
      </c>
      <c r="H97">
        <v>75.199666666666701</v>
      </c>
      <c r="I97">
        <v>72.734499999999997</v>
      </c>
      <c r="J97">
        <v>68.221000000000004</v>
      </c>
      <c r="K97">
        <v>64.123999999999995</v>
      </c>
      <c r="L97">
        <v>69.299199999999999</v>
      </c>
      <c r="M97">
        <v>18.653833333333299</v>
      </c>
      <c r="N97">
        <v>52.261000000000003</v>
      </c>
      <c r="O97">
        <v>81.557749999999999</v>
      </c>
      <c r="P97">
        <v>94.997</v>
      </c>
      <c r="Q97">
        <v>91.491</v>
      </c>
      <c r="S97">
        <v>52.888800000000003</v>
      </c>
      <c r="T97">
        <v>52.268000000000001</v>
      </c>
      <c r="U97">
        <v>44.267249999999997</v>
      </c>
    </row>
    <row r="98" spans="1:21" x14ac:dyDescent="0.2">
      <c r="A98" t="s">
        <v>209</v>
      </c>
      <c r="B98" t="s">
        <v>210</v>
      </c>
      <c r="E98">
        <v>99.009</v>
      </c>
      <c r="F98">
        <v>57.215375000000002</v>
      </c>
      <c r="G98">
        <v>78.145714285714305</v>
      </c>
      <c r="H98">
        <v>86.598844444444396</v>
      </c>
      <c r="I98">
        <v>41.270499999999998</v>
      </c>
      <c r="J98">
        <v>65.083200000000005</v>
      </c>
      <c r="K98">
        <v>89.245999999999995</v>
      </c>
      <c r="L98">
        <v>62.564333333333302</v>
      </c>
      <c r="M98">
        <v>51.2744</v>
      </c>
      <c r="N98">
        <v>78.288499999999999</v>
      </c>
      <c r="O98">
        <v>40.493333333333297</v>
      </c>
      <c r="P98">
        <v>80.481333333333296</v>
      </c>
      <c r="Q98">
        <v>83.861999999999995</v>
      </c>
      <c r="R98">
        <v>61.089799999999997</v>
      </c>
      <c r="S98">
        <v>60.665199999999999</v>
      </c>
      <c r="T98">
        <v>62.002666666666698</v>
      </c>
      <c r="U98">
        <v>38.953000000000003</v>
      </c>
    </row>
    <row r="99" spans="1:21" x14ac:dyDescent="0.2">
      <c r="A99" t="s">
        <v>333</v>
      </c>
      <c r="B99" t="s">
        <v>334</v>
      </c>
      <c r="E99">
        <v>20.020499999999998</v>
      </c>
      <c r="F99">
        <v>45.576285714285703</v>
      </c>
      <c r="G99">
        <v>36.575785714285701</v>
      </c>
      <c r="H99">
        <v>34.782333333333298</v>
      </c>
      <c r="I99">
        <v>40.8245</v>
      </c>
      <c r="J99">
        <v>52.5276</v>
      </c>
      <c r="K99">
        <v>9.2509999999999994</v>
      </c>
      <c r="L99">
        <v>59.493333333333297</v>
      </c>
      <c r="M99">
        <v>5.1745000000000001</v>
      </c>
      <c r="N99">
        <v>66.707499999999996</v>
      </c>
      <c r="O99">
        <v>27.455249999999999</v>
      </c>
      <c r="P99">
        <v>95.9148</v>
      </c>
      <c r="Q99">
        <v>99.407666666666699</v>
      </c>
      <c r="R99">
        <v>85.254833333333295</v>
      </c>
      <c r="S99">
        <v>49.3748</v>
      </c>
      <c r="T99">
        <v>50.015999999999998</v>
      </c>
      <c r="U99">
        <v>48.637500000000003</v>
      </c>
    </row>
    <row r="100" spans="1:21" x14ac:dyDescent="0.2">
      <c r="A100" t="s">
        <v>373</v>
      </c>
      <c r="B100" t="s">
        <v>374</v>
      </c>
    </row>
    <row r="101" spans="1:21" x14ac:dyDescent="0.2">
      <c r="A101" t="s">
        <v>375</v>
      </c>
      <c r="B101" t="s">
        <v>376</v>
      </c>
    </row>
    <row r="102" spans="1:21" x14ac:dyDescent="0.2">
      <c r="A102" t="s">
        <v>377</v>
      </c>
      <c r="B102" t="s">
        <v>378</v>
      </c>
    </row>
    <row r="103" spans="1:21" x14ac:dyDescent="0.2">
      <c r="A103" t="s">
        <v>185</v>
      </c>
      <c r="B103" t="s">
        <v>186</v>
      </c>
      <c r="E103">
        <v>91.543999999999997</v>
      </c>
      <c r="F103">
        <v>62.129624999999997</v>
      </c>
      <c r="G103">
        <v>77.814571428571398</v>
      </c>
      <c r="H103">
        <v>97.4136666666667</v>
      </c>
      <c r="I103">
        <v>52.004249999999999</v>
      </c>
      <c r="J103">
        <v>56.627000000000002</v>
      </c>
      <c r="K103">
        <v>66.947666666666706</v>
      </c>
      <c r="L103">
        <v>76.219499999999996</v>
      </c>
      <c r="M103">
        <v>34.1591666666667</v>
      </c>
      <c r="N103">
        <v>36.332999999999998</v>
      </c>
      <c r="O103">
        <v>82.970666666666702</v>
      </c>
      <c r="P103">
        <v>85.3601666666667</v>
      </c>
      <c r="Q103">
        <v>95.152000000000001</v>
      </c>
      <c r="R103">
        <v>71.716499999999996</v>
      </c>
      <c r="S103">
        <v>55.946599999999997</v>
      </c>
      <c r="T103">
        <v>66.226399999999998</v>
      </c>
      <c r="U103">
        <v>49.136000000000003</v>
      </c>
    </row>
    <row r="104" spans="1:21" x14ac:dyDescent="0.2">
      <c r="A104" t="s">
        <v>305</v>
      </c>
      <c r="B104" t="s">
        <v>306</v>
      </c>
      <c r="E104">
        <v>31.594000000000001</v>
      </c>
      <c r="F104">
        <v>50.695374999999999</v>
      </c>
      <c r="G104">
        <v>24.9617857142857</v>
      </c>
      <c r="H104">
        <v>68.721666666666707</v>
      </c>
      <c r="I104">
        <v>74.665000000000006</v>
      </c>
      <c r="J104">
        <v>56.290599999999998</v>
      </c>
      <c r="K104">
        <v>37.994999999999997</v>
      </c>
      <c r="L104">
        <v>47.913800000000002</v>
      </c>
      <c r="M104">
        <v>18.210166666666701</v>
      </c>
      <c r="N104">
        <v>2.0379999999999998</v>
      </c>
      <c r="O104">
        <v>63.366999999999997</v>
      </c>
      <c r="P104">
        <v>89.694166666666703</v>
      </c>
      <c r="Q104">
        <v>93.694000000000003</v>
      </c>
      <c r="S104">
        <v>74.465000000000003</v>
      </c>
      <c r="T104">
        <v>47.432333333333297</v>
      </c>
      <c r="U104">
        <v>78.215000000000003</v>
      </c>
    </row>
    <row r="105" spans="1:21" x14ac:dyDescent="0.2">
      <c r="A105" t="s">
        <v>93</v>
      </c>
      <c r="B105" t="s">
        <v>94</v>
      </c>
      <c r="E105">
        <v>98.49</v>
      </c>
      <c r="F105">
        <v>63.926250000000003</v>
      </c>
      <c r="G105">
        <v>84.803857142857098</v>
      </c>
      <c r="H105">
        <v>99.783333333333402</v>
      </c>
      <c r="I105">
        <v>72.649500000000003</v>
      </c>
      <c r="J105">
        <v>83.684200000000004</v>
      </c>
      <c r="K105">
        <v>78.728666666666697</v>
      </c>
      <c r="L105">
        <v>81.458600000000004</v>
      </c>
      <c r="M105">
        <v>62.342666666666702</v>
      </c>
      <c r="N105">
        <v>58.096499999999999</v>
      </c>
      <c r="O105">
        <v>82.3185</v>
      </c>
      <c r="P105">
        <v>62.8646666666667</v>
      </c>
      <c r="Q105">
        <v>73.544333333333299</v>
      </c>
      <c r="R105">
        <v>75.0214</v>
      </c>
      <c r="S105">
        <v>95.165999999999997</v>
      </c>
      <c r="T105">
        <v>77.8363333333333</v>
      </c>
      <c r="U105">
        <v>53.198250000000002</v>
      </c>
    </row>
    <row r="106" spans="1:21" x14ac:dyDescent="0.2">
      <c r="A106" t="s">
        <v>85</v>
      </c>
      <c r="B106" t="s">
        <v>86</v>
      </c>
      <c r="E106">
        <v>99.444000000000003</v>
      </c>
      <c r="F106">
        <v>59.691375000000001</v>
      </c>
      <c r="G106">
        <v>96.164461538461595</v>
      </c>
      <c r="H106">
        <v>97.834374999999994</v>
      </c>
      <c r="I106">
        <v>76.759</v>
      </c>
      <c r="J106">
        <v>79.132000000000005</v>
      </c>
      <c r="K106">
        <v>66.6666666666667</v>
      </c>
      <c r="L106">
        <v>70.520200000000003</v>
      </c>
      <c r="M106">
        <v>87.119666666666703</v>
      </c>
      <c r="N106">
        <v>80.38</v>
      </c>
      <c r="O106">
        <v>97.553250000000006</v>
      </c>
      <c r="P106">
        <v>21.594333333333299</v>
      </c>
      <c r="Q106">
        <v>40.1816666666667</v>
      </c>
      <c r="S106">
        <v>66.915199999999999</v>
      </c>
      <c r="T106">
        <v>90.592555555555606</v>
      </c>
      <c r="U106">
        <v>67.648750000000007</v>
      </c>
    </row>
    <row r="107" spans="1:21" x14ac:dyDescent="0.2">
      <c r="A107" t="s">
        <v>47</v>
      </c>
      <c r="B107" t="s">
        <v>48</v>
      </c>
      <c r="E107">
        <v>98.9435</v>
      </c>
      <c r="F107">
        <v>64.927125000000004</v>
      </c>
      <c r="G107">
        <v>84.292285714285697</v>
      </c>
      <c r="H107">
        <v>98.508333333333297</v>
      </c>
      <c r="I107">
        <v>78.007999999999996</v>
      </c>
      <c r="J107">
        <v>92.460400000000007</v>
      </c>
      <c r="K107">
        <v>92.247666666666703</v>
      </c>
      <c r="L107">
        <v>84.284000000000006</v>
      </c>
      <c r="M107">
        <v>62.115166666666703</v>
      </c>
      <c r="N107">
        <v>67.469499999999996</v>
      </c>
      <c r="O107">
        <v>89.718999999999994</v>
      </c>
      <c r="P107">
        <v>63.768833333333298</v>
      </c>
      <c r="Q107">
        <v>75.215999999999994</v>
      </c>
      <c r="R107">
        <v>71.252833333333299</v>
      </c>
      <c r="S107">
        <v>97.858400000000003</v>
      </c>
      <c r="T107">
        <v>78.173000000000002</v>
      </c>
      <c r="U107">
        <v>46.341999999999999</v>
      </c>
    </row>
    <row r="108" spans="1:21" x14ac:dyDescent="0.2">
      <c r="A108" t="s">
        <v>159</v>
      </c>
      <c r="B108" t="s">
        <v>160</v>
      </c>
      <c r="E108">
        <v>93.629499999999993</v>
      </c>
      <c r="F108">
        <v>62.490375</v>
      </c>
      <c r="G108">
        <v>74.967857142857099</v>
      </c>
      <c r="H108">
        <v>83.850666666666697</v>
      </c>
      <c r="I108">
        <v>41.995249999999999</v>
      </c>
      <c r="J108">
        <v>64.976399999999998</v>
      </c>
      <c r="K108">
        <v>88.646000000000001</v>
      </c>
      <c r="L108">
        <v>62.956499999999998</v>
      </c>
      <c r="M108">
        <v>41.516833333333302</v>
      </c>
      <c r="N108">
        <v>53.587499999999999</v>
      </c>
      <c r="O108">
        <v>76.271000000000001</v>
      </c>
      <c r="P108">
        <v>90.710333333333296</v>
      </c>
      <c r="Q108">
        <v>94.588333333333296</v>
      </c>
      <c r="R108">
        <v>58.411333333333303</v>
      </c>
      <c r="S108">
        <v>77.166799999999995</v>
      </c>
      <c r="T108">
        <v>71.6081111111111</v>
      </c>
      <c r="U108">
        <v>61.588749999999997</v>
      </c>
    </row>
    <row r="109" spans="1:21" x14ac:dyDescent="0.2">
      <c r="A109" t="s">
        <v>379</v>
      </c>
      <c r="B109" t="s">
        <v>380</v>
      </c>
    </row>
    <row r="110" spans="1:21" x14ac:dyDescent="0.2">
      <c r="A110" t="s">
        <v>69</v>
      </c>
      <c r="B110" t="s">
        <v>70</v>
      </c>
      <c r="E110">
        <v>99.509</v>
      </c>
      <c r="F110">
        <v>58.847166666666702</v>
      </c>
      <c r="G110">
        <v>77.399571428571406</v>
      </c>
      <c r="H110">
        <v>86.011333333333297</v>
      </c>
      <c r="I110">
        <v>71.22</v>
      </c>
      <c r="J110">
        <v>72.839200000000005</v>
      </c>
      <c r="K110">
        <v>88.496333333333297</v>
      </c>
      <c r="L110">
        <v>69.310333333333304</v>
      </c>
      <c r="M110">
        <v>27.3683333333333</v>
      </c>
      <c r="N110">
        <v>94.465500000000006</v>
      </c>
      <c r="O110">
        <v>69.852500000000006</v>
      </c>
      <c r="P110">
        <v>80.078833333333293</v>
      </c>
      <c r="Q110">
        <v>97.4286666666667</v>
      </c>
      <c r="S110">
        <v>58.423999999999999</v>
      </c>
      <c r="T110">
        <v>69.735666666666702</v>
      </c>
      <c r="U110">
        <v>72.642750000000007</v>
      </c>
    </row>
    <row r="111" spans="1:21" x14ac:dyDescent="0.2">
      <c r="A111" t="s">
        <v>331</v>
      </c>
      <c r="B111" t="s">
        <v>332</v>
      </c>
      <c r="E111">
        <v>0</v>
      </c>
      <c r="F111">
        <v>57.109250000000003</v>
      </c>
      <c r="G111">
        <v>42.5571428571429</v>
      </c>
      <c r="H111">
        <v>60.657666666666699</v>
      </c>
      <c r="I111">
        <v>71.261499999999998</v>
      </c>
      <c r="J111">
        <v>44.869</v>
      </c>
      <c r="K111">
        <v>9.2454999999999998</v>
      </c>
      <c r="L111">
        <v>60.747500000000002</v>
      </c>
      <c r="M111">
        <v>8.0753333333333401</v>
      </c>
      <c r="N111">
        <v>27.414999999999999</v>
      </c>
      <c r="O111">
        <v>55.502499999999998</v>
      </c>
      <c r="P111">
        <v>94.033500000000004</v>
      </c>
      <c r="Q111">
        <v>99.262</v>
      </c>
      <c r="R111">
        <v>65.641000000000005</v>
      </c>
      <c r="S111">
        <v>45.700400000000002</v>
      </c>
      <c r="T111">
        <v>48.163800000000002</v>
      </c>
      <c r="U111">
        <v>42.854999999999997</v>
      </c>
    </row>
    <row r="112" spans="1:21" x14ac:dyDescent="0.2">
      <c r="A112" t="s">
        <v>155</v>
      </c>
      <c r="B112" t="s">
        <v>156</v>
      </c>
      <c r="E112">
        <v>99.683000000000007</v>
      </c>
      <c r="F112">
        <v>40.012</v>
      </c>
      <c r="G112">
        <v>85.598153846153807</v>
      </c>
      <c r="H112">
        <v>97.796000000000006</v>
      </c>
      <c r="I112">
        <v>39.10275</v>
      </c>
      <c r="J112">
        <v>76.032200000000003</v>
      </c>
      <c r="K112">
        <v>96.852000000000004</v>
      </c>
      <c r="L112">
        <v>77.266999999999996</v>
      </c>
      <c r="M112">
        <v>32.855200000000004</v>
      </c>
      <c r="N112">
        <v>46.467500000000001</v>
      </c>
      <c r="O112">
        <v>86.421999999999997</v>
      </c>
      <c r="P112">
        <v>61.470500000000001</v>
      </c>
      <c r="Q112">
        <v>86.412666666666695</v>
      </c>
      <c r="R112">
        <v>67.350166666666695</v>
      </c>
      <c r="S112">
        <v>52.616666666666703</v>
      </c>
      <c r="T112">
        <v>73.094999999999999</v>
      </c>
      <c r="U112">
        <v>58.586750000000002</v>
      </c>
    </row>
    <row r="113" spans="1:21" x14ac:dyDescent="0.2">
      <c r="A113" t="s">
        <v>179</v>
      </c>
      <c r="B113" t="s">
        <v>180</v>
      </c>
      <c r="E113">
        <v>90.706500000000005</v>
      </c>
      <c r="F113">
        <v>61.030999999999999</v>
      </c>
      <c r="G113">
        <v>77.103153846153901</v>
      </c>
      <c r="H113">
        <v>99.080666666666701</v>
      </c>
      <c r="I113">
        <v>78.155249999999995</v>
      </c>
      <c r="J113">
        <v>78.627799999999993</v>
      </c>
      <c r="K113">
        <v>86.819333333333304</v>
      </c>
      <c r="L113">
        <v>65.874666666666698</v>
      </c>
      <c r="M113">
        <v>47.353000000000002</v>
      </c>
      <c r="N113">
        <v>10.763500000000001</v>
      </c>
      <c r="O113">
        <v>81.927499999999995</v>
      </c>
      <c r="P113">
        <v>79.995500000000007</v>
      </c>
      <c r="Q113">
        <v>89.152333333333303</v>
      </c>
      <c r="R113">
        <v>57.3081666666667</v>
      </c>
      <c r="S113">
        <v>52.011000000000003</v>
      </c>
      <c r="T113">
        <v>54.088200000000001</v>
      </c>
      <c r="U113">
        <v>65.225750000000005</v>
      </c>
    </row>
    <row r="114" spans="1:21" x14ac:dyDescent="0.2">
      <c r="A114" t="s">
        <v>381</v>
      </c>
      <c r="B114" t="s">
        <v>382</v>
      </c>
    </row>
    <row r="115" spans="1:21" x14ac:dyDescent="0.2">
      <c r="A115" t="s">
        <v>139</v>
      </c>
      <c r="B115" t="s">
        <v>140</v>
      </c>
      <c r="E115">
        <v>91.757999999999996</v>
      </c>
      <c r="F115">
        <v>64.429857142857202</v>
      </c>
      <c r="G115">
        <v>78.644538461538502</v>
      </c>
      <c r="H115">
        <v>93.026666666666699</v>
      </c>
      <c r="I115">
        <v>59.096499999999999</v>
      </c>
      <c r="J115">
        <v>76.352999999999994</v>
      </c>
      <c r="K115">
        <v>81.016000000000005</v>
      </c>
      <c r="L115">
        <v>64.587166666666704</v>
      </c>
      <c r="M115">
        <v>35.405833333333298</v>
      </c>
      <c r="N115">
        <v>63.313000000000002</v>
      </c>
      <c r="O115">
        <v>77.341250000000002</v>
      </c>
      <c r="P115">
        <v>76.206833333333293</v>
      </c>
      <c r="Q115">
        <v>87.825999999999993</v>
      </c>
      <c r="S115">
        <v>81.076599999999999</v>
      </c>
      <c r="T115">
        <v>76.214399999999998</v>
      </c>
      <c r="U115">
        <v>67.859750000000005</v>
      </c>
    </row>
    <row r="116" spans="1:21" x14ac:dyDescent="0.2">
      <c r="A116" t="s">
        <v>281</v>
      </c>
      <c r="B116" t="s">
        <v>282</v>
      </c>
      <c r="E116">
        <v>22.314</v>
      </c>
      <c r="F116">
        <v>60.006</v>
      </c>
      <c r="G116">
        <v>35.013923076923099</v>
      </c>
      <c r="H116">
        <v>11.517333333333299</v>
      </c>
      <c r="I116">
        <v>43.116250000000001</v>
      </c>
      <c r="J116">
        <v>59.264200000000002</v>
      </c>
      <c r="K116">
        <v>22.9925</v>
      </c>
      <c r="L116">
        <v>67.278499999999994</v>
      </c>
      <c r="M116">
        <v>14.2428333333333</v>
      </c>
      <c r="N116">
        <v>74.841999999999999</v>
      </c>
      <c r="O116">
        <v>56.871499999999997</v>
      </c>
      <c r="P116">
        <v>91.585666666666697</v>
      </c>
      <c r="Q116">
        <v>99.346999999999994</v>
      </c>
      <c r="S116">
        <v>56.969200000000001</v>
      </c>
      <c r="T116">
        <v>56.729500000000002</v>
      </c>
      <c r="U116">
        <v>46.64425</v>
      </c>
    </row>
    <row r="117" spans="1:21" x14ac:dyDescent="0.2">
      <c r="A117" t="s">
        <v>101</v>
      </c>
      <c r="B117" t="s">
        <v>102</v>
      </c>
      <c r="E117">
        <v>99.828500000000005</v>
      </c>
      <c r="F117">
        <v>67.044124999999994</v>
      </c>
      <c r="G117">
        <v>91.481307692307695</v>
      </c>
      <c r="H117">
        <v>99.218333333333305</v>
      </c>
      <c r="I117">
        <v>62.2455</v>
      </c>
      <c r="J117">
        <v>75.549000000000007</v>
      </c>
      <c r="K117">
        <v>95.293666666666596</v>
      </c>
      <c r="L117">
        <v>86.307749999999999</v>
      </c>
      <c r="M117">
        <v>65.619833333333304</v>
      </c>
      <c r="N117">
        <v>91.899000000000001</v>
      </c>
      <c r="O117">
        <v>87.04</v>
      </c>
      <c r="P117">
        <v>43.870333333333299</v>
      </c>
      <c r="Q117">
        <v>65.182666666666705</v>
      </c>
      <c r="R117">
        <v>48.822499999999998</v>
      </c>
      <c r="S117">
        <v>81.563333333333304</v>
      </c>
      <c r="T117">
        <v>76.046000000000006</v>
      </c>
      <c r="U117">
        <v>50.655500000000004</v>
      </c>
    </row>
    <row r="118" spans="1:21" x14ac:dyDescent="0.2">
      <c r="A118" t="s">
        <v>269</v>
      </c>
      <c r="B118" t="s">
        <v>270</v>
      </c>
      <c r="E118">
        <v>90.126499999999993</v>
      </c>
      <c r="F118">
        <v>61.208874999999999</v>
      </c>
      <c r="G118">
        <v>55.023785714285701</v>
      </c>
      <c r="H118">
        <v>75.000666666666703</v>
      </c>
      <c r="I118">
        <v>59.968499999999999</v>
      </c>
      <c r="J118">
        <v>66.023600000000002</v>
      </c>
      <c r="K118">
        <v>52.393999999999998</v>
      </c>
      <c r="L118">
        <v>60.4375</v>
      </c>
      <c r="M118">
        <v>23.4761666666667</v>
      </c>
      <c r="N118">
        <v>75.846000000000004</v>
      </c>
      <c r="O118">
        <v>62.026499999999999</v>
      </c>
      <c r="P118">
        <v>94.540999999999997</v>
      </c>
      <c r="Q118">
        <v>98.605666666666707</v>
      </c>
      <c r="R118">
        <v>59.903666666666702</v>
      </c>
      <c r="S118">
        <v>55.1676</v>
      </c>
      <c r="T118">
        <v>68.774888888888896</v>
      </c>
      <c r="U118">
        <v>45.577750000000002</v>
      </c>
    </row>
    <row r="119" spans="1:21" x14ac:dyDescent="0.2">
      <c r="A119" t="s">
        <v>153</v>
      </c>
      <c r="B119" t="s">
        <v>154</v>
      </c>
      <c r="E119">
        <v>93.665999999999997</v>
      </c>
      <c r="F119">
        <v>50.295428571428602</v>
      </c>
      <c r="G119">
        <v>76.845357142857097</v>
      </c>
      <c r="H119">
        <v>95.367000000000004</v>
      </c>
      <c r="I119">
        <v>52.635249999999999</v>
      </c>
      <c r="J119">
        <v>69.834000000000003</v>
      </c>
      <c r="K119">
        <v>85.727333333333306</v>
      </c>
      <c r="L119">
        <v>70.227599999999995</v>
      </c>
      <c r="M119">
        <v>45.958500000000001</v>
      </c>
      <c r="N119">
        <v>55.3735</v>
      </c>
      <c r="O119">
        <v>71.933499999999995</v>
      </c>
      <c r="P119">
        <v>59.927666666666703</v>
      </c>
      <c r="Q119">
        <v>85.160333333333298</v>
      </c>
      <c r="R119">
        <v>37.790199999999999</v>
      </c>
      <c r="S119">
        <v>52.255249999999997</v>
      </c>
      <c r="T119">
        <v>75.717444444444396</v>
      </c>
      <c r="U119">
        <v>80.792666666666705</v>
      </c>
    </row>
    <row r="120" spans="1:21" x14ac:dyDescent="0.2">
      <c r="A120" t="s">
        <v>231</v>
      </c>
      <c r="B120" t="s">
        <v>232</v>
      </c>
      <c r="E120">
        <v>96.810500000000005</v>
      </c>
      <c r="F120">
        <v>41.551285714285697</v>
      </c>
      <c r="G120">
        <v>64.831785714285701</v>
      </c>
      <c r="H120">
        <v>98.722333333333296</v>
      </c>
      <c r="I120">
        <v>65.205749999999995</v>
      </c>
      <c r="J120">
        <v>65.1768</v>
      </c>
      <c r="K120">
        <v>60.497333333333302</v>
      </c>
      <c r="L120">
        <v>72.001666666666694</v>
      </c>
      <c r="M120">
        <v>29.512166666666701</v>
      </c>
      <c r="N120">
        <v>70.038499999999999</v>
      </c>
      <c r="O120">
        <v>47.861499999999999</v>
      </c>
      <c r="P120">
        <v>61.937666666666701</v>
      </c>
      <c r="Q120">
        <v>41.420666666666698</v>
      </c>
      <c r="S120">
        <v>73.484999999999999</v>
      </c>
      <c r="T120">
        <v>66.485799999999998</v>
      </c>
      <c r="U120">
        <v>68.160749999999993</v>
      </c>
    </row>
    <row r="121" spans="1:21" x14ac:dyDescent="0.2">
      <c r="A121" t="s">
        <v>317</v>
      </c>
      <c r="B121" t="s">
        <v>318</v>
      </c>
      <c r="E121">
        <v>8.1820000000000004</v>
      </c>
      <c r="F121">
        <v>45.317285714285703</v>
      </c>
      <c r="G121">
        <v>36.508642857142902</v>
      </c>
      <c r="H121">
        <v>49.773666666666699</v>
      </c>
      <c r="I121">
        <v>64.902000000000001</v>
      </c>
      <c r="J121">
        <v>49.580199999999998</v>
      </c>
      <c r="K121">
        <v>39.941333333333297</v>
      </c>
      <c r="L121">
        <v>58.695833333333297</v>
      </c>
      <c r="M121">
        <v>10.504666666666701</v>
      </c>
      <c r="N121">
        <v>12.788500000000001</v>
      </c>
      <c r="O121">
        <v>57.418999999999997</v>
      </c>
      <c r="P121">
        <v>96.1191666666667</v>
      </c>
      <c r="Q121">
        <v>98.588333333333296</v>
      </c>
      <c r="R121">
        <v>68.371333333333297</v>
      </c>
      <c r="S121">
        <v>52.992800000000003</v>
      </c>
      <c r="T121">
        <v>55.014777777777802</v>
      </c>
      <c r="U121">
        <v>63.228999999999999</v>
      </c>
    </row>
    <row r="122" spans="1:21" x14ac:dyDescent="0.2">
      <c r="A122" t="s">
        <v>285</v>
      </c>
      <c r="B122" t="s">
        <v>286</v>
      </c>
      <c r="E122">
        <v>70.742000000000004</v>
      </c>
      <c r="F122">
        <v>43.1945714285714</v>
      </c>
      <c r="G122">
        <v>41.840153846153797</v>
      </c>
      <c r="H122">
        <v>39.399000000000001</v>
      </c>
      <c r="I122">
        <v>32.27375</v>
      </c>
      <c r="J122">
        <v>58.325400000000002</v>
      </c>
      <c r="K122">
        <v>42.221499999999999</v>
      </c>
      <c r="L122">
        <v>45.026166666666697</v>
      </c>
      <c r="M122">
        <v>17.474833333333301</v>
      </c>
      <c r="N122">
        <v>81.837999999999994</v>
      </c>
      <c r="O122">
        <v>40.360250000000001</v>
      </c>
      <c r="P122">
        <v>89.013000000000005</v>
      </c>
      <c r="Q122">
        <v>95.74</v>
      </c>
      <c r="R122">
        <v>65.951666666666696</v>
      </c>
      <c r="S122">
        <v>76.102999999999994</v>
      </c>
      <c r="T122">
        <v>52.634599999999999</v>
      </c>
      <c r="U122">
        <v>51.450666666666699</v>
      </c>
    </row>
    <row r="123" spans="1:21" x14ac:dyDescent="0.2">
      <c r="A123" t="s">
        <v>205</v>
      </c>
      <c r="B123" t="s">
        <v>206</v>
      </c>
      <c r="E123">
        <v>98.381500000000003</v>
      </c>
      <c r="F123">
        <v>73.731999999999999</v>
      </c>
      <c r="G123">
        <v>78.113142857142805</v>
      </c>
      <c r="H123">
        <v>94.020333333333298</v>
      </c>
      <c r="I123">
        <v>53.656500000000001</v>
      </c>
      <c r="J123">
        <v>62.760599999999997</v>
      </c>
      <c r="K123">
        <v>88.969333333333296</v>
      </c>
      <c r="L123">
        <v>71.687166666666698</v>
      </c>
      <c r="M123">
        <v>37.1041666666667</v>
      </c>
      <c r="N123">
        <v>46.2545</v>
      </c>
      <c r="O123">
        <v>92.600666666666697</v>
      </c>
      <c r="P123">
        <v>58.045833333333299</v>
      </c>
      <c r="Q123">
        <v>76.452666666666701</v>
      </c>
      <c r="R123">
        <v>53.052333333333301</v>
      </c>
      <c r="S123">
        <v>26.426500000000001</v>
      </c>
      <c r="T123">
        <v>72.932625000000002</v>
      </c>
      <c r="U123">
        <v>49.904333333333298</v>
      </c>
    </row>
    <row r="124" spans="1:21" x14ac:dyDescent="0.2">
      <c r="A124" t="s">
        <v>289</v>
      </c>
      <c r="B124" t="s">
        <v>290</v>
      </c>
      <c r="E124">
        <v>0</v>
      </c>
      <c r="F124">
        <v>64.001249999999999</v>
      </c>
      <c r="G124">
        <v>49.959071428571399</v>
      </c>
      <c r="H124">
        <v>50.31</v>
      </c>
      <c r="I124">
        <v>75.091999999999999</v>
      </c>
      <c r="J124">
        <v>52.042999999999999</v>
      </c>
      <c r="K124">
        <v>5.1615000000000002</v>
      </c>
      <c r="L124">
        <v>58.290666666666702</v>
      </c>
      <c r="M124">
        <v>11.6643333333333</v>
      </c>
      <c r="N124">
        <v>23.756</v>
      </c>
      <c r="O124">
        <v>55.753749999999997</v>
      </c>
      <c r="P124">
        <v>94.006500000000003</v>
      </c>
      <c r="Q124">
        <v>99.42</v>
      </c>
      <c r="S124">
        <v>55.005800000000001</v>
      </c>
      <c r="T124">
        <v>56.448500000000003</v>
      </c>
      <c r="U124">
        <v>54.427750000000003</v>
      </c>
    </row>
    <row r="125" spans="1:21" x14ac:dyDescent="0.2">
      <c r="A125" t="s">
        <v>175</v>
      </c>
      <c r="B125" t="s">
        <v>176</v>
      </c>
      <c r="E125">
        <v>99.980500000000006</v>
      </c>
      <c r="F125">
        <v>47.363624999999999</v>
      </c>
      <c r="G125">
        <v>79.528285714285701</v>
      </c>
      <c r="H125">
        <v>91.696666666666701</v>
      </c>
      <c r="I125">
        <v>57.149749999999997</v>
      </c>
      <c r="J125">
        <v>77.548199999999994</v>
      </c>
      <c r="K125">
        <v>90.685000000000002</v>
      </c>
      <c r="L125">
        <v>75.775000000000006</v>
      </c>
      <c r="M125">
        <v>72.369</v>
      </c>
      <c r="N125">
        <v>44.720500000000001</v>
      </c>
      <c r="O125">
        <v>84.418000000000006</v>
      </c>
      <c r="P125">
        <v>75.269333333333293</v>
      </c>
      <c r="Q125">
        <v>76.494666666666703</v>
      </c>
      <c r="R125">
        <v>63.865000000000002</v>
      </c>
      <c r="S125">
        <v>39.754800000000003</v>
      </c>
      <c r="T125">
        <v>71.680625000000006</v>
      </c>
      <c r="U125">
        <v>56.745750000000001</v>
      </c>
    </row>
    <row r="126" spans="1:21" x14ac:dyDescent="0.2">
      <c r="A126" t="s">
        <v>237</v>
      </c>
      <c r="B126" t="s">
        <v>238</v>
      </c>
      <c r="E126">
        <v>50.898499999999999</v>
      </c>
      <c r="F126">
        <v>49.629874999999998</v>
      </c>
      <c r="G126">
        <v>47.958285714285701</v>
      </c>
      <c r="H126">
        <v>86.494666666666703</v>
      </c>
      <c r="I126">
        <v>86.797250000000005</v>
      </c>
      <c r="J126">
        <v>59.848199999999999</v>
      </c>
      <c r="K126">
        <v>44.883000000000003</v>
      </c>
      <c r="L126">
        <v>61.612166666666702</v>
      </c>
      <c r="M126">
        <v>30.510833333333299</v>
      </c>
      <c r="N126">
        <v>0</v>
      </c>
      <c r="O126">
        <v>65.072999999999993</v>
      </c>
      <c r="P126">
        <v>73.724000000000004</v>
      </c>
      <c r="Q126">
        <v>85.069333333333304</v>
      </c>
      <c r="R126">
        <v>80.279833333333301</v>
      </c>
      <c r="S126">
        <v>86.040800000000004</v>
      </c>
      <c r="T126">
        <v>67.078111111111099</v>
      </c>
      <c r="U126">
        <v>74.209500000000006</v>
      </c>
    </row>
    <row r="127" spans="1:21" x14ac:dyDescent="0.2">
      <c r="A127" t="s">
        <v>341</v>
      </c>
      <c r="B127" t="s">
        <v>342</v>
      </c>
      <c r="E127">
        <v>21.893999999999998</v>
      </c>
      <c r="F127">
        <v>44.034999999999997</v>
      </c>
      <c r="G127">
        <v>40.514785714285701</v>
      </c>
      <c r="H127">
        <v>3.7336666666666698</v>
      </c>
      <c r="I127">
        <v>36.378</v>
      </c>
      <c r="J127">
        <v>44.228400000000001</v>
      </c>
      <c r="K127">
        <v>14.0323333333333</v>
      </c>
      <c r="L127">
        <v>64.164333333333303</v>
      </c>
      <c r="M127">
        <v>4.01366666666667</v>
      </c>
      <c r="N127">
        <v>75.537000000000006</v>
      </c>
      <c r="O127">
        <v>47.777250000000002</v>
      </c>
      <c r="P127">
        <v>92.709800000000001</v>
      </c>
      <c r="Q127">
        <v>99.394999999999996</v>
      </c>
      <c r="S127">
        <v>68.752799999999993</v>
      </c>
      <c r="T127">
        <v>55.962333333333298</v>
      </c>
      <c r="U127">
        <v>60.856000000000002</v>
      </c>
    </row>
    <row r="128" spans="1:21" x14ac:dyDescent="0.2">
      <c r="A128" t="s">
        <v>311</v>
      </c>
      <c r="B128" t="s">
        <v>312</v>
      </c>
      <c r="E128">
        <v>20.503</v>
      </c>
      <c r="F128">
        <v>60.130625000000002</v>
      </c>
      <c r="G128">
        <v>28.903714285714301</v>
      </c>
      <c r="H128">
        <v>38.750666666666703</v>
      </c>
      <c r="I128">
        <v>38.206499999999998</v>
      </c>
      <c r="J128">
        <v>56.878399999999999</v>
      </c>
      <c r="K128">
        <v>34.6086666666667</v>
      </c>
      <c r="L128">
        <v>55.669199999999996</v>
      </c>
      <c r="M128">
        <v>33.435000000000002</v>
      </c>
      <c r="N128">
        <v>20.212</v>
      </c>
      <c r="O128">
        <v>26.74</v>
      </c>
      <c r="P128">
        <v>93.426833333333306</v>
      </c>
      <c r="Q128">
        <v>97.795666666666705</v>
      </c>
      <c r="R128">
        <v>62.392333333333298</v>
      </c>
      <c r="S128">
        <v>77.292599999999993</v>
      </c>
      <c r="T128">
        <v>40.757300000000001</v>
      </c>
      <c r="U128">
        <v>46.033333333333303</v>
      </c>
    </row>
    <row r="129" spans="1:21" x14ac:dyDescent="0.2">
      <c r="A129" t="s">
        <v>227</v>
      </c>
      <c r="B129" t="s">
        <v>228</v>
      </c>
      <c r="E129">
        <v>81.659000000000006</v>
      </c>
      <c r="F129">
        <v>54.500250000000001</v>
      </c>
      <c r="G129">
        <v>77.017357142857193</v>
      </c>
      <c r="H129">
        <v>78.566999999999993</v>
      </c>
      <c r="I129">
        <v>82.363500000000002</v>
      </c>
      <c r="J129">
        <v>68.017200000000003</v>
      </c>
      <c r="K129">
        <v>73.222999999999999</v>
      </c>
      <c r="L129">
        <v>59.555</v>
      </c>
      <c r="M129">
        <v>14.564</v>
      </c>
      <c r="N129">
        <v>23.781500000000001</v>
      </c>
      <c r="O129">
        <v>83.379499999999993</v>
      </c>
      <c r="P129">
        <v>89.203666666666706</v>
      </c>
      <c r="Q129">
        <v>96.941000000000003</v>
      </c>
      <c r="R129">
        <v>62.008333333333297</v>
      </c>
      <c r="S129">
        <v>68.959199999999996</v>
      </c>
      <c r="T129">
        <v>55.890799999999999</v>
      </c>
      <c r="U129">
        <v>57.281750000000002</v>
      </c>
    </row>
    <row r="130" spans="1:21" x14ac:dyDescent="0.2">
      <c r="A130" t="s">
        <v>59</v>
      </c>
      <c r="B130" t="s">
        <v>60</v>
      </c>
      <c r="E130">
        <v>99.569500000000005</v>
      </c>
      <c r="F130">
        <v>66.262124999999997</v>
      </c>
      <c r="G130">
        <v>95.590500000000006</v>
      </c>
      <c r="H130">
        <v>99.340708333333296</v>
      </c>
      <c r="I130">
        <v>81.461500000000001</v>
      </c>
      <c r="J130">
        <v>89.015199999999993</v>
      </c>
      <c r="K130">
        <v>92.965999999999994</v>
      </c>
      <c r="L130">
        <v>86.884833333333304</v>
      </c>
      <c r="M130">
        <v>91.937333333333299</v>
      </c>
      <c r="N130">
        <v>94.044499999999999</v>
      </c>
      <c r="O130">
        <v>96.549750000000003</v>
      </c>
      <c r="P130">
        <v>49.0625</v>
      </c>
      <c r="Q130">
        <v>55.164999999999999</v>
      </c>
      <c r="R130">
        <v>56.053833333333301</v>
      </c>
      <c r="S130">
        <v>84.130200000000002</v>
      </c>
      <c r="T130">
        <v>85.281499999999994</v>
      </c>
      <c r="U130">
        <v>63.173749999999998</v>
      </c>
    </row>
    <row r="131" spans="1:21" x14ac:dyDescent="0.2">
      <c r="A131" t="s">
        <v>33</v>
      </c>
      <c r="B131" t="s">
        <v>34</v>
      </c>
      <c r="E131">
        <v>99.470500000000001</v>
      </c>
      <c r="F131">
        <v>60.46425</v>
      </c>
      <c r="G131">
        <v>96.823846153846105</v>
      </c>
      <c r="H131">
        <v>99.444041666666706</v>
      </c>
      <c r="I131">
        <v>88.885750000000002</v>
      </c>
      <c r="J131">
        <v>80.404200000000003</v>
      </c>
      <c r="K131">
        <v>98.887</v>
      </c>
      <c r="L131">
        <v>87.658333333333402</v>
      </c>
      <c r="M131">
        <v>91.491</v>
      </c>
      <c r="N131">
        <v>100</v>
      </c>
      <c r="O131">
        <v>93.194000000000003</v>
      </c>
      <c r="P131">
        <v>44.540666666666702</v>
      </c>
      <c r="Q131">
        <v>20.183333333333302</v>
      </c>
      <c r="R131">
        <v>73.839166666666699</v>
      </c>
      <c r="S131">
        <v>73.471599999999995</v>
      </c>
      <c r="T131">
        <v>88.189400000000006</v>
      </c>
      <c r="U131">
        <v>96.697999999999993</v>
      </c>
    </row>
    <row r="132" spans="1:21" x14ac:dyDescent="0.2">
      <c r="A132" t="s">
        <v>217</v>
      </c>
      <c r="B132" t="s">
        <v>218</v>
      </c>
      <c r="E132">
        <v>62.795999999999999</v>
      </c>
      <c r="F132">
        <v>59.1211428571429</v>
      </c>
      <c r="G132">
        <v>58.605214285714297</v>
      </c>
      <c r="H132">
        <v>92.482333333333301</v>
      </c>
      <c r="I132">
        <v>67.682000000000002</v>
      </c>
      <c r="J132">
        <v>67.539599999999993</v>
      </c>
      <c r="K132">
        <v>60.360333333333301</v>
      </c>
      <c r="L132">
        <v>73.542833333333306</v>
      </c>
      <c r="M132">
        <v>28.663833333333301</v>
      </c>
      <c r="N132">
        <v>79.370500000000007</v>
      </c>
      <c r="O132">
        <v>44.6995</v>
      </c>
      <c r="P132">
        <v>94.169166666666698</v>
      </c>
      <c r="Q132">
        <v>98.419333333333299</v>
      </c>
      <c r="S132">
        <v>68.063800000000001</v>
      </c>
      <c r="T132">
        <v>58.423222222222201</v>
      </c>
      <c r="U132">
        <v>56.210500000000003</v>
      </c>
    </row>
    <row r="133" spans="1:21" x14ac:dyDescent="0.2">
      <c r="A133" t="s">
        <v>383</v>
      </c>
      <c r="B133" t="s">
        <v>384</v>
      </c>
    </row>
    <row r="134" spans="1:21" x14ac:dyDescent="0.2">
      <c r="A134" t="s">
        <v>73</v>
      </c>
      <c r="B134" t="s">
        <v>74</v>
      </c>
      <c r="E134">
        <v>99.973500000000001</v>
      </c>
      <c r="F134">
        <v>66.611428571428604</v>
      </c>
      <c r="G134">
        <v>93.122714285714295</v>
      </c>
      <c r="H134">
        <v>98.860023148148201</v>
      </c>
      <c r="I134">
        <v>86.132249999999999</v>
      </c>
      <c r="J134">
        <v>92.337400000000002</v>
      </c>
      <c r="K134">
        <v>95.830666666666701</v>
      </c>
      <c r="L134">
        <v>86.9136666666667</v>
      </c>
      <c r="M134">
        <v>87.920500000000004</v>
      </c>
      <c r="N134">
        <v>66.875</v>
      </c>
      <c r="O134">
        <v>87.175250000000005</v>
      </c>
      <c r="P134">
        <v>44.463000000000001</v>
      </c>
      <c r="Q134">
        <v>66.902000000000001</v>
      </c>
      <c r="R134">
        <v>57.177666666666703</v>
      </c>
      <c r="S134">
        <v>50.575400000000002</v>
      </c>
      <c r="T134">
        <v>92.305400000000006</v>
      </c>
      <c r="U134">
        <v>72.048000000000002</v>
      </c>
    </row>
    <row r="135" spans="1:21" x14ac:dyDescent="0.2">
      <c r="A135" t="s">
        <v>199</v>
      </c>
      <c r="B135" t="s">
        <v>200</v>
      </c>
      <c r="F135">
        <v>62.097000000000001</v>
      </c>
      <c r="G135">
        <v>85.134142857142905</v>
      </c>
      <c r="H135">
        <v>97.130333333333297</v>
      </c>
      <c r="I135">
        <v>39.127499999999998</v>
      </c>
      <c r="J135">
        <v>48.9</v>
      </c>
      <c r="K135">
        <v>87.402333333333303</v>
      </c>
      <c r="L135">
        <v>70.41525</v>
      </c>
      <c r="M135">
        <v>56.469166666666702</v>
      </c>
      <c r="O135">
        <v>76.351666666666702</v>
      </c>
      <c r="P135">
        <v>71.534333333333294</v>
      </c>
      <c r="Q135">
        <v>57.994666666666703</v>
      </c>
      <c r="R135">
        <v>74.413166666666697</v>
      </c>
      <c r="S135">
        <v>59.119333333333302</v>
      </c>
      <c r="T135">
        <v>80.368499999999997</v>
      </c>
      <c r="U135">
        <v>67.331666666666706</v>
      </c>
    </row>
    <row r="136" spans="1:21" x14ac:dyDescent="0.2">
      <c r="A136" t="s">
        <v>275</v>
      </c>
      <c r="B136" t="s">
        <v>276</v>
      </c>
      <c r="E136">
        <v>71.241</v>
      </c>
      <c r="F136">
        <v>51.03</v>
      </c>
      <c r="G136">
        <v>50.098285714285701</v>
      </c>
      <c r="H136">
        <v>61.816000000000003</v>
      </c>
      <c r="I136">
        <v>28.682500000000001</v>
      </c>
      <c r="J136">
        <v>48.220599999999997</v>
      </c>
      <c r="K136">
        <v>62.504666666666701</v>
      </c>
      <c r="L136">
        <v>50.480400000000003</v>
      </c>
      <c r="M136">
        <v>26.832833333333301</v>
      </c>
      <c r="N136">
        <v>63.422499999999999</v>
      </c>
      <c r="O136">
        <v>50.366999999999997</v>
      </c>
      <c r="P136">
        <v>91.2231666666667</v>
      </c>
      <c r="Q136">
        <v>97.720333333333301</v>
      </c>
      <c r="R136">
        <v>61.077666666666701</v>
      </c>
      <c r="S136">
        <v>66.781199999999998</v>
      </c>
      <c r="T136">
        <v>52.529800000000002</v>
      </c>
      <c r="U136">
        <v>47.267499999999998</v>
      </c>
    </row>
    <row r="137" spans="1:21" x14ac:dyDescent="0.2">
      <c r="A137" t="s">
        <v>213</v>
      </c>
      <c r="B137" t="s">
        <v>214</v>
      </c>
      <c r="E137">
        <v>93.584000000000003</v>
      </c>
      <c r="F137">
        <v>50.402124999999998</v>
      </c>
      <c r="G137">
        <v>79.445538461538504</v>
      </c>
      <c r="H137">
        <v>80.486333333333306</v>
      </c>
      <c r="I137">
        <v>65.409000000000006</v>
      </c>
      <c r="J137">
        <v>78.512</v>
      </c>
      <c r="K137">
        <v>91.493666666666698</v>
      </c>
      <c r="L137">
        <v>72.263166666666706</v>
      </c>
      <c r="M137">
        <v>39.2678333333333</v>
      </c>
      <c r="N137">
        <v>14.6945</v>
      </c>
      <c r="O137">
        <v>88.206500000000005</v>
      </c>
      <c r="P137">
        <v>76.540166666666707</v>
      </c>
      <c r="Q137">
        <v>84.853666666666697</v>
      </c>
      <c r="R137">
        <v>66.808499999999995</v>
      </c>
      <c r="S137">
        <v>59.366999999999997</v>
      </c>
      <c r="T137">
        <v>65.980699999999999</v>
      </c>
      <c r="U137">
        <v>48.384333333333302</v>
      </c>
    </row>
    <row r="138" spans="1:21" x14ac:dyDescent="0.2">
      <c r="A138" t="s">
        <v>149</v>
      </c>
      <c r="B138" t="s">
        <v>150</v>
      </c>
      <c r="E138">
        <v>88.06</v>
      </c>
      <c r="F138">
        <v>69.976375000000004</v>
      </c>
      <c r="G138">
        <v>79.891142857142896</v>
      </c>
      <c r="H138">
        <v>98.112666666666698</v>
      </c>
      <c r="I138">
        <v>67.165499999999994</v>
      </c>
      <c r="J138">
        <v>80.327200000000005</v>
      </c>
      <c r="K138">
        <v>84.457333333333295</v>
      </c>
      <c r="L138">
        <v>66.200166666666703</v>
      </c>
      <c r="M138">
        <v>36.426833333333299</v>
      </c>
      <c r="N138">
        <v>30.256</v>
      </c>
      <c r="O138">
        <v>72.361999999999995</v>
      </c>
      <c r="P138">
        <v>86.650999999999996</v>
      </c>
      <c r="Q138">
        <v>93.853333333333296</v>
      </c>
      <c r="R138">
        <v>76.391166666666706</v>
      </c>
      <c r="S138">
        <v>58.225200000000001</v>
      </c>
      <c r="T138">
        <v>60.622999999999998</v>
      </c>
      <c r="U138">
        <v>59.531750000000002</v>
      </c>
    </row>
    <row r="139" spans="1:21" x14ac:dyDescent="0.2">
      <c r="A139" t="s">
        <v>215</v>
      </c>
      <c r="B139" t="s">
        <v>216</v>
      </c>
      <c r="E139">
        <v>69.706999999999994</v>
      </c>
      <c r="F139">
        <v>63.854500000000002</v>
      </c>
      <c r="G139">
        <v>56.5066428571429</v>
      </c>
      <c r="H139">
        <v>89.319333333333304</v>
      </c>
      <c r="I139">
        <v>64.018500000000003</v>
      </c>
      <c r="J139">
        <v>68.801199999999994</v>
      </c>
      <c r="K139">
        <v>70.902666666666704</v>
      </c>
      <c r="L139">
        <v>62.751333333333299</v>
      </c>
      <c r="M139">
        <v>37.734000000000002</v>
      </c>
      <c r="N139">
        <v>23.8445</v>
      </c>
      <c r="O139">
        <v>58.223500000000001</v>
      </c>
      <c r="P139">
        <v>91.867500000000007</v>
      </c>
      <c r="Q139">
        <v>95.896333333333303</v>
      </c>
      <c r="R139">
        <v>71.772833333333296</v>
      </c>
      <c r="S139">
        <v>55.907800000000002</v>
      </c>
      <c r="T139">
        <v>61.920299999999997</v>
      </c>
      <c r="U139">
        <v>53.591000000000001</v>
      </c>
    </row>
    <row r="140" spans="1:21" x14ac:dyDescent="0.2">
      <c r="A140" t="s">
        <v>385</v>
      </c>
      <c r="B140" t="s">
        <v>386</v>
      </c>
    </row>
    <row r="141" spans="1:21" x14ac:dyDescent="0.2">
      <c r="A141" t="s">
        <v>315</v>
      </c>
      <c r="B141" t="s">
        <v>316</v>
      </c>
      <c r="E141">
        <v>29.008500000000002</v>
      </c>
      <c r="F141">
        <v>29.557200000000002</v>
      </c>
      <c r="G141">
        <v>45.642000000000003</v>
      </c>
      <c r="H141">
        <v>59.790666666666702</v>
      </c>
      <c r="I141">
        <v>48.286999999999999</v>
      </c>
      <c r="J141">
        <v>40.973599999999998</v>
      </c>
      <c r="K141">
        <v>33.261000000000003</v>
      </c>
      <c r="L141">
        <v>73.337249999999997</v>
      </c>
      <c r="M141">
        <v>6.1875</v>
      </c>
      <c r="N141">
        <v>28.065999999999999</v>
      </c>
      <c r="O141">
        <v>73.327500000000001</v>
      </c>
      <c r="P141">
        <v>86.399833333333305</v>
      </c>
      <c r="Q141">
        <v>95.605000000000004</v>
      </c>
      <c r="R141">
        <v>64.638333333333307</v>
      </c>
      <c r="S141">
        <v>63.787750000000003</v>
      </c>
      <c r="T141">
        <v>55.035499999999999</v>
      </c>
      <c r="U141">
        <v>39.725499999999997</v>
      </c>
    </row>
    <row r="142" spans="1:21" x14ac:dyDescent="0.2">
      <c r="A142" t="s">
        <v>37</v>
      </c>
      <c r="B142" t="s">
        <v>38</v>
      </c>
      <c r="E142">
        <v>99.465500000000006</v>
      </c>
      <c r="F142">
        <v>68.159875</v>
      </c>
      <c r="G142">
        <v>85.269923076923106</v>
      </c>
      <c r="H142">
        <v>98.298666666666705</v>
      </c>
      <c r="I142">
        <v>72.180000000000007</v>
      </c>
      <c r="J142">
        <v>84.911199999999994</v>
      </c>
      <c r="K142">
        <v>89.265666666666704</v>
      </c>
      <c r="L142">
        <v>84.405333333333303</v>
      </c>
      <c r="M142">
        <v>71.760000000000005</v>
      </c>
      <c r="N142">
        <v>75.4285</v>
      </c>
      <c r="O142">
        <v>82.427999999999997</v>
      </c>
      <c r="P142">
        <v>75.869333333333302</v>
      </c>
      <c r="Q142">
        <v>75.096999999999994</v>
      </c>
      <c r="R142">
        <v>65.122</v>
      </c>
      <c r="S142">
        <v>92.32</v>
      </c>
      <c r="T142">
        <v>81.4482</v>
      </c>
      <c r="U142">
        <v>62.381</v>
      </c>
    </row>
    <row r="143" spans="1:21" x14ac:dyDescent="0.2">
      <c r="A143" t="s">
        <v>387</v>
      </c>
      <c r="B143" t="s">
        <v>388</v>
      </c>
    </row>
    <row r="144" spans="1:21" x14ac:dyDescent="0.2">
      <c r="A144" t="s">
        <v>55</v>
      </c>
      <c r="B144" t="s">
        <v>56</v>
      </c>
      <c r="E144">
        <v>99.381500000000003</v>
      </c>
      <c r="F144">
        <v>64.104500000000002</v>
      </c>
      <c r="G144">
        <v>90.954769230769202</v>
      </c>
      <c r="H144">
        <v>99.003333333333302</v>
      </c>
      <c r="I144">
        <v>83.272750000000002</v>
      </c>
      <c r="J144">
        <v>84.136799999999994</v>
      </c>
      <c r="K144">
        <v>95.022666666666694</v>
      </c>
      <c r="L144">
        <v>82.155333333333303</v>
      </c>
      <c r="M144">
        <v>75.417666666666705</v>
      </c>
      <c r="N144">
        <v>69.697000000000003</v>
      </c>
      <c r="O144">
        <v>88.421999999999997</v>
      </c>
      <c r="P144">
        <v>63.0565</v>
      </c>
      <c r="Q144">
        <v>75.819666666666706</v>
      </c>
      <c r="R144">
        <v>43.064999999999998</v>
      </c>
      <c r="S144">
        <v>72.673000000000002</v>
      </c>
      <c r="T144">
        <v>88.067700000000002</v>
      </c>
      <c r="U144">
        <v>62.678750000000001</v>
      </c>
    </row>
    <row r="145" spans="1:21" x14ac:dyDescent="0.2">
      <c r="A145" t="s">
        <v>195</v>
      </c>
      <c r="B145" t="s">
        <v>196</v>
      </c>
      <c r="E145">
        <v>94.024500000000003</v>
      </c>
      <c r="F145">
        <v>73.763499999999993</v>
      </c>
      <c r="G145">
        <v>72.9828571428571</v>
      </c>
      <c r="H145">
        <v>80.396000000000001</v>
      </c>
      <c r="I145">
        <v>66.944249999999997</v>
      </c>
      <c r="J145">
        <v>77.215199999999996</v>
      </c>
      <c r="K145">
        <v>87.742000000000004</v>
      </c>
      <c r="L145">
        <v>72.378200000000007</v>
      </c>
      <c r="M145">
        <v>30.622166666666701</v>
      </c>
      <c r="N145">
        <v>17.570499999999999</v>
      </c>
      <c r="O145">
        <v>81.5595</v>
      </c>
      <c r="P145">
        <v>75.418333333333294</v>
      </c>
      <c r="Q145">
        <v>87.236999999999995</v>
      </c>
      <c r="S145">
        <v>51.693600000000004</v>
      </c>
      <c r="T145">
        <v>51.880333333333297</v>
      </c>
      <c r="U145">
        <v>53.806249999999999</v>
      </c>
    </row>
    <row r="146" spans="1:21" x14ac:dyDescent="0.2">
      <c r="A146" t="s">
        <v>219</v>
      </c>
      <c r="B146" t="s">
        <v>220</v>
      </c>
      <c r="F146">
        <v>71.828714285714298</v>
      </c>
      <c r="G146">
        <v>86.305307692307693</v>
      </c>
      <c r="H146">
        <v>93.258666666666699</v>
      </c>
      <c r="I146">
        <v>57.147500000000001</v>
      </c>
      <c r="J146">
        <v>57.129199999999997</v>
      </c>
      <c r="K146">
        <v>88.605000000000004</v>
      </c>
      <c r="L146">
        <v>76.899000000000001</v>
      </c>
      <c r="M146">
        <v>72.088333333333296</v>
      </c>
      <c r="O146">
        <v>35.714500000000001</v>
      </c>
      <c r="P146">
        <v>68.557500000000005</v>
      </c>
      <c r="Q146">
        <v>15.146000000000001</v>
      </c>
      <c r="R146">
        <v>71.597999999999999</v>
      </c>
      <c r="S146">
        <v>61.258333333333297</v>
      </c>
      <c r="T146">
        <v>79.875</v>
      </c>
      <c r="U146">
        <v>40.534999999999997</v>
      </c>
    </row>
    <row r="147" spans="1:21" x14ac:dyDescent="0.2">
      <c r="A147" t="s">
        <v>89</v>
      </c>
      <c r="B147" t="s">
        <v>90</v>
      </c>
      <c r="E147">
        <v>94.798000000000002</v>
      </c>
      <c r="F147">
        <v>70.661500000000004</v>
      </c>
      <c r="G147">
        <v>80.564499999999995</v>
      </c>
      <c r="H147">
        <v>85.759333333333402</v>
      </c>
      <c r="I147">
        <v>57.481749999999998</v>
      </c>
      <c r="J147">
        <v>81.474800000000002</v>
      </c>
      <c r="K147">
        <v>88.632333333333307</v>
      </c>
      <c r="L147">
        <v>82.728166666666695</v>
      </c>
      <c r="M147">
        <v>55.022500000000001</v>
      </c>
      <c r="N147">
        <v>58.959499999999998</v>
      </c>
      <c r="O147">
        <v>81.097750000000005</v>
      </c>
      <c r="P147">
        <v>76.291833333333301</v>
      </c>
      <c r="Q147">
        <v>87.525999999999996</v>
      </c>
      <c r="R147">
        <v>66.233199999999997</v>
      </c>
      <c r="S147">
        <v>82.811599999999999</v>
      </c>
      <c r="T147">
        <v>75.984555555555602</v>
      </c>
      <c r="U147">
        <v>48.538499999999999</v>
      </c>
    </row>
    <row r="148" spans="1:21" x14ac:dyDescent="0.2">
      <c r="A148" t="s">
        <v>117</v>
      </c>
      <c r="B148" t="s">
        <v>118</v>
      </c>
      <c r="E148">
        <v>99.896000000000001</v>
      </c>
      <c r="F148">
        <v>57.514499999999998</v>
      </c>
      <c r="G148">
        <v>78.7790769230769</v>
      </c>
      <c r="H148">
        <v>99.697999999999993</v>
      </c>
      <c r="I148">
        <v>66.436000000000007</v>
      </c>
      <c r="J148">
        <v>72.010999999999996</v>
      </c>
      <c r="K148">
        <v>90.822666666666706</v>
      </c>
      <c r="L148">
        <v>75.404833333333301</v>
      </c>
      <c r="M148">
        <v>67.739500000000007</v>
      </c>
      <c r="N148">
        <v>64.867500000000007</v>
      </c>
      <c r="O148">
        <v>85.867000000000004</v>
      </c>
      <c r="P148">
        <v>76.668999999999997</v>
      </c>
      <c r="Q148">
        <v>73.440666666666701</v>
      </c>
      <c r="R148">
        <v>52.320500000000003</v>
      </c>
      <c r="S148">
        <v>66.182599999999994</v>
      </c>
      <c r="T148">
        <v>55.830666666666701</v>
      </c>
      <c r="U148">
        <v>70.290750000000003</v>
      </c>
    </row>
    <row r="149" spans="1:21" x14ac:dyDescent="0.2">
      <c r="A149" t="s">
        <v>271</v>
      </c>
      <c r="B149" t="s">
        <v>272</v>
      </c>
      <c r="E149">
        <v>18.905000000000001</v>
      </c>
      <c r="F149">
        <v>58.787624999999998</v>
      </c>
      <c r="G149">
        <v>61.834428571428603</v>
      </c>
      <c r="H149">
        <v>63.834000000000003</v>
      </c>
      <c r="I149">
        <v>80.867999999999995</v>
      </c>
      <c r="J149">
        <v>58.375</v>
      </c>
      <c r="K149">
        <v>14.090999999999999</v>
      </c>
      <c r="L149">
        <v>72.567333333333295</v>
      </c>
      <c r="M149">
        <v>22.1933333333333</v>
      </c>
      <c r="N149">
        <v>25.891500000000001</v>
      </c>
      <c r="O149">
        <v>56.038249999999998</v>
      </c>
      <c r="P149">
        <v>80.760999999999996</v>
      </c>
      <c r="Q149">
        <v>99.374333333333297</v>
      </c>
      <c r="S149">
        <v>62.351199999999999</v>
      </c>
      <c r="T149">
        <v>78.061599999999999</v>
      </c>
      <c r="U149">
        <v>56.864750000000001</v>
      </c>
    </row>
    <row r="150" spans="1:21" x14ac:dyDescent="0.2">
      <c r="A150" t="s">
        <v>207</v>
      </c>
      <c r="B150" t="s">
        <v>208</v>
      </c>
      <c r="F150">
        <v>58.555500000000002</v>
      </c>
      <c r="G150">
        <v>78.574615384615399</v>
      </c>
      <c r="H150">
        <v>98.243333333333297</v>
      </c>
      <c r="I150">
        <v>41.736249999999998</v>
      </c>
      <c r="J150">
        <v>48.281799999999997</v>
      </c>
      <c r="K150">
        <v>90.812333333333299</v>
      </c>
      <c r="L150">
        <v>71.177250000000001</v>
      </c>
      <c r="M150">
        <v>68.1011666666667</v>
      </c>
      <c r="O150">
        <v>54.389666666666699</v>
      </c>
      <c r="P150">
        <v>64.737666666666698</v>
      </c>
      <c r="Q150">
        <v>55.4776666666667</v>
      </c>
      <c r="R150">
        <v>61.761499999999998</v>
      </c>
      <c r="S150">
        <v>49.389000000000003</v>
      </c>
      <c r="T150">
        <v>70.554142857142907</v>
      </c>
      <c r="U150">
        <v>56.867249999999999</v>
      </c>
    </row>
    <row r="151" spans="1:21" x14ac:dyDescent="0.2">
      <c r="A151" t="s">
        <v>339</v>
      </c>
      <c r="B151" t="s">
        <v>340</v>
      </c>
      <c r="E151">
        <v>34.910499999999999</v>
      </c>
      <c r="F151">
        <v>24.608000000000001</v>
      </c>
      <c r="G151">
        <v>51.883642857142902</v>
      </c>
      <c r="H151">
        <v>42.603000000000002</v>
      </c>
      <c r="I151">
        <v>41.512999999999998</v>
      </c>
      <c r="J151">
        <v>32.705399999999997</v>
      </c>
      <c r="K151">
        <v>58.661999999999999</v>
      </c>
      <c r="L151">
        <v>41.663800000000002</v>
      </c>
      <c r="M151">
        <v>16.951833333333301</v>
      </c>
      <c r="N151">
        <v>66.396000000000001</v>
      </c>
      <c r="O151">
        <v>30.72475</v>
      </c>
      <c r="P151">
        <v>87.249666666666698</v>
      </c>
      <c r="Q151">
        <v>99.105000000000004</v>
      </c>
      <c r="R151">
        <v>65.632800000000003</v>
      </c>
      <c r="S151">
        <v>49.282499999999999</v>
      </c>
      <c r="T151">
        <v>62.204999999999998</v>
      </c>
      <c r="U151">
        <v>35.137</v>
      </c>
    </row>
    <row r="152" spans="1:21" x14ac:dyDescent="0.2">
      <c r="A152" t="s">
        <v>261</v>
      </c>
      <c r="B152" t="s">
        <v>262</v>
      </c>
      <c r="E152">
        <v>30.123999999999999</v>
      </c>
      <c r="F152">
        <v>61.41375</v>
      </c>
      <c r="G152">
        <v>57.519642857142898</v>
      </c>
      <c r="H152">
        <v>37.404333333333298</v>
      </c>
      <c r="I152">
        <v>44.899500000000003</v>
      </c>
      <c r="J152">
        <v>62.722799999999999</v>
      </c>
      <c r="K152">
        <v>54.5223333333333</v>
      </c>
      <c r="L152">
        <v>69.914500000000004</v>
      </c>
      <c r="M152">
        <v>24.0566666666667</v>
      </c>
      <c r="N152">
        <v>40.402000000000001</v>
      </c>
      <c r="O152">
        <v>63.572499999999998</v>
      </c>
      <c r="P152">
        <v>92.799666666666695</v>
      </c>
      <c r="Q152">
        <v>98.213666666666697</v>
      </c>
      <c r="R152">
        <v>60.304000000000002</v>
      </c>
      <c r="S152">
        <v>75.253249999999994</v>
      </c>
      <c r="T152">
        <v>64.717600000000004</v>
      </c>
      <c r="U152">
        <v>55.548000000000002</v>
      </c>
    </row>
    <row r="153" spans="1:21" x14ac:dyDescent="0.2">
      <c r="A153" t="s">
        <v>147</v>
      </c>
      <c r="B153" t="s">
        <v>148</v>
      </c>
      <c r="E153">
        <v>98.4435</v>
      </c>
      <c r="F153">
        <v>76.105333333333306</v>
      </c>
      <c r="G153">
        <v>94.588214285714301</v>
      </c>
      <c r="H153">
        <v>99.6666666666667</v>
      </c>
      <c r="I153">
        <v>72.650499999999994</v>
      </c>
      <c r="J153">
        <v>64.388999999999996</v>
      </c>
      <c r="K153">
        <v>94.655333333333303</v>
      </c>
      <c r="L153">
        <v>70.177499999999995</v>
      </c>
      <c r="M153">
        <v>90.206833333333293</v>
      </c>
      <c r="O153">
        <v>94.736999999999995</v>
      </c>
      <c r="P153">
        <v>16.312333333333299</v>
      </c>
      <c r="Q153">
        <v>55.483333333333299</v>
      </c>
      <c r="R153">
        <v>43.499400000000001</v>
      </c>
      <c r="S153">
        <v>31.560749999999999</v>
      </c>
      <c r="T153">
        <v>86.882333333333307</v>
      </c>
      <c r="U153">
        <v>43.963000000000001</v>
      </c>
    </row>
    <row r="154" spans="1:21" x14ac:dyDescent="0.2">
      <c r="A154" t="s">
        <v>389</v>
      </c>
      <c r="B154" t="s">
        <v>390</v>
      </c>
    </row>
    <row r="155" spans="1:21" x14ac:dyDescent="0.2">
      <c r="A155" t="s">
        <v>293</v>
      </c>
      <c r="B155" t="s">
        <v>294</v>
      </c>
      <c r="E155">
        <v>20.303000000000001</v>
      </c>
      <c r="F155">
        <v>49.788571428571402</v>
      </c>
      <c r="G155">
        <v>28.801928571428601</v>
      </c>
      <c r="H155">
        <v>67.441000000000003</v>
      </c>
      <c r="I155">
        <v>50.786499999999997</v>
      </c>
      <c r="J155">
        <v>48.162999999999997</v>
      </c>
      <c r="K155">
        <v>9.3510000000000009</v>
      </c>
      <c r="L155">
        <v>59.484999999999999</v>
      </c>
      <c r="M155">
        <v>5.1355000000000004</v>
      </c>
      <c r="N155">
        <v>68.040000000000006</v>
      </c>
      <c r="O155">
        <v>39.738999999999997</v>
      </c>
      <c r="P155">
        <v>95.158000000000001</v>
      </c>
      <c r="Q155">
        <v>99.427666666666696</v>
      </c>
      <c r="R155">
        <v>61.398166666666697</v>
      </c>
      <c r="S155">
        <v>60.283799999999999</v>
      </c>
      <c r="T155">
        <v>59.863</v>
      </c>
      <c r="U155">
        <v>55.59825</v>
      </c>
    </row>
    <row r="156" spans="1:21" x14ac:dyDescent="0.2">
      <c r="A156" t="s">
        <v>165</v>
      </c>
      <c r="B156" t="s">
        <v>166</v>
      </c>
      <c r="E156">
        <v>90.159000000000006</v>
      </c>
      <c r="F156">
        <v>54.954875000000001</v>
      </c>
      <c r="G156">
        <v>78.271071428571403</v>
      </c>
      <c r="H156">
        <v>79.704999999999998</v>
      </c>
      <c r="I156">
        <v>68.514499999999998</v>
      </c>
      <c r="J156">
        <v>75.805599999999998</v>
      </c>
      <c r="K156">
        <v>87.633333333333297</v>
      </c>
      <c r="L156">
        <v>63.323166666666701</v>
      </c>
      <c r="M156">
        <v>20.198833333333301</v>
      </c>
      <c r="N156">
        <v>50.640999999999998</v>
      </c>
      <c r="O156">
        <v>84.526499999999999</v>
      </c>
      <c r="P156">
        <v>86.308000000000007</v>
      </c>
      <c r="Q156">
        <v>93.969666666666697</v>
      </c>
      <c r="R156">
        <v>27.856000000000002</v>
      </c>
      <c r="S156">
        <v>66.718999999999994</v>
      </c>
      <c r="T156">
        <v>61.3626</v>
      </c>
      <c r="U156">
        <v>64.801000000000002</v>
      </c>
    </row>
    <row r="157" spans="1:21" x14ac:dyDescent="0.2">
      <c r="A157" t="s">
        <v>391</v>
      </c>
      <c r="B157" t="s">
        <v>392</v>
      </c>
    </row>
    <row r="158" spans="1:21" x14ac:dyDescent="0.2">
      <c r="A158" t="s">
        <v>343</v>
      </c>
      <c r="B158" t="s">
        <v>344</v>
      </c>
      <c r="E158">
        <v>8.0715000000000003</v>
      </c>
      <c r="F158">
        <v>32.282400000000003</v>
      </c>
      <c r="G158">
        <v>24.975785714285699</v>
      </c>
      <c r="I158">
        <v>19.465333333333302</v>
      </c>
      <c r="J158">
        <v>47.737200000000001</v>
      </c>
      <c r="K158">
        <v>14.560499999999999</v>
      </c>
      <c r="L158">
        <v>53.305750000000003</v>
      </c>
      <c r="M158">
        <v>1.8056666666666701</v>
      </c>
      <c r="N158">
        <v>73.802999999999997</v>
      </c>
      <c r="O158">
        <v>56.819749999999999</v>
      </c>
      <c r="P158">
        <v>89.0762</v>
      </c>
      <c r="Q158">
        <v>99.906000000000006</v>
      </c>
      <c r="R158">
        <v>59.349333333333298</v>
      </c>
      <c r="S158">
        <v>54.654600000000002</v>
      </c>
      <c r="T158">
        <v>52.614833333333301</v>
      </c>
      <c r="U158">
        <v>33.3333333333333</v>
      </c>
    </row>
    <row r="159" spans="1:21" x14ac:dyDescent="0.2">
      <c r="A159" t="s">
        <v>91</v>
      </c>
      <c r="B159" t="s">
        <v>92</v>
      </c>
      <c r="E159">
        <v>99.72</v>
      </c>
      <c r="F159">
        <v>71.179124999999999</v>
      </c>
      <c r="G159">
        <v>82.965142857142794</v>
      </c>
      <c r="H159">
        <v>97.292666666666705</v>
      </c>
      <c r="I159">
        <v>65.001750000000001</v>
      </c>
      <c r="J159">
        <v>73.111400000000003</v>
      </c>
      <c r="K159">
        <v>84.682666666666705</v>
      </c>
      <c r="L159">
        <v>76.227000000000004</v>
      </c>
      <c r="M159">
        <v>51.975000000000001</v>
      </c>
      <c r="N159">
        <v>73.018500000000003</v>
      </c>
      <c r="O159">
        <v>78.729249999999993</v>
      </c>
      <c r="P159">
        <v>76.2053333333333</v>
      </c>
      <c r="Q159">
        <v>85.323333333333295</v>
      </c>
      <c r="S159">
        <v>60.462200000000003</v>
      </c>
      <c r="T159">
        <v>74.9041</v>
      </c>
      <c r="U159">
        <v>75.393500000000003</v>
      </c>
    </row>
    <row r="160" spans="1:21" x14ac:dyDescent="0.2">
      <c r="A160" t="s">
        <v>351</v>
      </c>
      <c r="B160" t="s">
        <v>352</v>
      </c>
      <c r="E160">
        <v>0</v>
      </c>
      <c r="F160">
        <v>23.323499999999999</v>
      </c>
      <c r="G160">
        <v>26.4950714285714</v>
      </c>
      <c r="H160">
        <v>1.6443333333333301</v>
      </c>
      <c r="I160">
        <v>52.054499999999997</v>
      </c>
      <c r="J160">
        <v>40.572800000000001</v>
      </c>
      <c r="K160">
        <v>26.0893333333333</v>
      </c>
      <c r="L160">
        <v>50.898666666666699</v>
      </c>
      <c r="M160">
        <v>2.121</v>
      </c>
      <c r="N160">
        <v>21.175999999999998</v>
      </c>
      <c r="O160">
        <v>13.1045</v>
      </c>
      <c r="P160">
        <v>74.591800000000006</v>
      </c>
      <c r="Q160">
        <v>99.611500000000007</v>
      </c>
      <c r="S160">
        <v>74.720200000000006</v>
      </c>
      <c r="T160">
        <v>46.154000000000003</v>
      </c>
      <c r="U160">
        <v>40.737333333333297</v>
      </c>
    </row>
    <row r="161" spans="1:21" x14ac:dyDescent="0.2">
      <c r="A161" t="s">
        <v>257</v>
      </c>
      <c r="B161" t="s">
        <v>258</v>
      </c>
      <c r="E161">
        <v>22.431000000000001</v>
      </c>
      <c r="F161">
        <v>57.205571428571403</v>
      </c>
      <c r="G161">
        <v>61.754083333333298</v>
      </c>
      <c r="H161">
        <v>83.542000000000002</v>
      </c>
      <c r="I161">
        <v>47.197499999999998</v>
      </c>
      <c r="J161">
        <v>61.174999999999997</v>
      </c>
      <c r="K161">
        <v>41.604500000000002</v>
      </c>
      <c r="L161">
        <v>62.66</v>
      </c>
      <c r="M161">
        <v>19.0398</v>
      </c>
      <c r="N161">
        <v>26.680499999999999</v>
      </c>
      <c r="O161">
        <v>58.329333333333302</v>
      </c>
      <c r="P161">
        <v>76.922833333333301</v>
      </c>
      <c r="Q161">
        <v>96.675333333333398</v>
      </c>
      <c r="R161">
        <v>85.272833333333296</v>
      </c>
      <c r="S161">
        <v>75.334500000000006</v>
      </c>
      <c r="T161">
        <v>76.787499999999994</v>
      </c>
      <c r="U161">
        <v>46.841000000000001</v>
      </c>
    </row>
    <row r="162" spans="1:21" x14ac:dyDescent="0.2">
      <c r="A162" t="s">
        <v>203</v>
      </c>
      <c r="B162" t="s">
        <v>204</v>
      </c>
      <c r="E162">
        <v>52.006999999999998</v>
      </c>
      <c r="F162">
        <v>62.8732857142857</v>
      </c>
      <c r="G162">
        <v>69.669214285714304</v>
      </c>
      <c r="H162">
        <v>68.9286666666667</v>
      </c>
      <c r="I162">
        <v>64.346500000000006</v>
      </c>
      <c r="J162">
        <v>73.400599999999997</v>
      </c>
      <c r="K162">
        <v>89.456333333333404</v>
      </c>
      <c r="L162">
        <v>72.7744</v>
      </c>
      <c r="M162">
        <v>35.34225</v>
      </c>
      <c r="O162">
        <v>85.871250000000003</v>
      </c>
      <c r="P162">
        <v>75.269833333333295</v>
      </c>
      <c r="Q162">
        <v>73.948999999999998</v>
      </c>
      <c r="R162">
        <v>79.581166666666704</v>
      </c>
      <c r="S162">
        <v>77.960800000000006</v>
      </c>
      <c r="T162">
        <v>67.111777777777803</v>
      </c>
      <c r="U162">
        <v>62.204666666666697</v>
      </c>
    </row>
    <row r="163" spans="1:21" x14ac:dyDescent="0.2">
      <c r="A163" t="s">
        <v>65</v>
      </c>
      <c r="B163" t="s">
        <v>66</v>
      </c>
      <c r="E163">
        <v>98.241500000000002</v>
      </c>
      <c r="F163">
        <v>72.012</v>
      </c>
      <c r="G163">
        <v>87.055846153846204</v>
      </c>
      <c r="H163">
        <v>94.221374999999995</v>
      </c>
      <c r="I163">
        <v>71.860500000000002</v>
      </c>
      <c r="J163">
        <v>84.921000000000006</v>
      </c>
      <c r="K163">
        <v>92.514666666666699</v>
      </c>
      <c r="L163">
        <v>80.888999999999996</v>
      </c>
      <c r="M163">
        <v>64.208500000000001</v>
      </c>
      <c r="N163">
        <v>90.947999999999993</v>
      </c>
      <c r="O163">
        <v>86.798500000000004</v>
      </c>
      <c r="P163">
        <v>66.995333333333306</v>
      </c>
      <c r="Q163">
        <v>72.358999999999995</v>
      </c>
      <c r="S163">
        <v>89.628399999999999</v>
      </c>
      <c r="T163">
        <v>81.228333333333296</v>
      </c>
      <c r="U163">
        <v>55.475250000000003</v>
      </c>
    </row>
    <row r="164" spans="1:21" x14ac:dyDescent="0.2">
      <c r="A164" t="s">
        <v>45</v>
      </c>
      <c r="B164" t="s">
        <v>46</v>
      </c>
      <c r="E164">
        <v>99.837999999999994</v>
      </c>
      <c r="F164">
        <v>59.009625</v>
      </c>
      <c r="G164">
        <v>91.823230769230804</v>
      </c>
      <c r="H164">
        <v>99.110666666666702</v>
      </c>
      <c r="I164">
        <v>76.131</v>
      </c>
      <c r="J164">
        <v>92.556600000000003</v>
      </c>
      <c r="K164">
        <v>93.838666666666697</v>
      </c>
      <c r="L164">
        <v>88.141999999999996</v>
      </c>
      <c r="M164">
        <v>73.308999999999997</v>
      </c>
      <c r="N164">
        <v>100</v>
      </c>
      <c r="O164">
        <v>90.256</v>
      </c>
      <c r="P164">
        <v>58.0625</v>
      </c>
      <c r="Q164">
        <v>61.55</v>
      </c>
      <c r="R164">
        <v>64.922799999999995</v>
      </c>
      <c r="S164">
        <v>88.456599999999995</v>
      </c>
      <c r="T164">
        <v>87.956500000000005</v>
      </c>
      <c r="U164">
        <v>62.253250000000001</v>
      </c>
    </row>
    <row r="165" spans="1:21" x14ac:dyDescent="0.2">
      <c r="A165" t="s">
        <v>23</v>
      </c>
      <c r="B165" t="s">
        <v>24</v>
      </c>
      <c r="E165">
        <v>99.384</v>
      </c>
      <c r="F165">
        <v>62.9285</v>
      </c>
      <c r="G165">
        <v>96.465583333333299</v>
      </c>
      <c r="H165">
        <v>99.420041666666705</v>
      </c>
      <c r="I165">
        <v>91.365750000000006</v>
      </c>
      <c r="J165">
        <v>93.391999999999996</v>
      </c>
      <c r="K165">
        <v>98.887</v>
      </c>
      <c r="L165">
        <v>83.271666666666704</v>
      </c>
      <c r="M165">
        <v>97.435333333333404</v>
      </c>
      <c r="N165">
        <v>94.245000000000005</v>
      </c>
      <c r="O165">
        <v>95.292249999999996</v>
      </c>
      <c r="P165">
        <v>56.882666666666701</v>
      </c>
      <c r="Q165">
        <v>65.294333333333299</v>
      </c>
      <c r="R165">
        <v>66.016666666666694</v>
      </c>
      <c r="S165">
        <v>79.903599999999997</v>
      </c>
      <c r="T165">
        <v>86.8386</v>
      </c>
      <c r="U165">
        <v>88.408249999999995</v>
      </c>
    </row>
    <row r="166" spans="1:21" x14ac:dyDescent="0.2">
      <c r="A166" t="s">
        <v>283</v>
      </c>
      <c r="B166" t="s">
        <v>284</v>
      </c>
      <c r="E166">
        <v>29.643999999999998</v>
      </c>
      <c r="F166">
        <v>50.396875000000001</v>
      </c>
      <c r="G166">
        <v>40.901142857142901</v>
      </c>
      <c r="H166">
        <v>66.768000000000001</v>
      </c>
      <c r="I166">
        <v>64.27</v>
      </c>
      <c r="J166">
        <v>45.3718</v>
      </c>
      <c r="K166">
        <v>61.412500000000001</v>
      </c>
      <c r="L166">
        <v>45.432000000000002</v>
      </c>
      <c r="M166">
        <v>14.065</v>
      </c>
      <c r="N166">
        <v>0</v>
      </c>
      <c r="O166">
        <v>78.912000000000006</v>
      </c>
      <c r="P166">
        <v>71.155666666666704</v>
      </c>
      <c r="Q166">
        <v>84.135666666666694</v>
      </c>
      <c r="S166">
        <v>65.202500000000001</v>
      </c>
      <c r="T166">
        <v>59.827111111111101</v>
      </c>
      <c r="U166">
        <v>61.076749999999997</v>
      </c>
    </row>
    <row r="167" spans="1:21" x14ac:dyDescent="0.2">
      <c r="A167" t="s">
        <v>393</v>
      </c>
      <c r="B167" t="s">
        <v>394</v>
      </c>
    </row>
    <row r="168" spans="1:21" x14ac:dyDescent="0.2">
      <c r="A168" t="s">
        <v>279</v>
      </c>
      <c r="B168" t="s">
        <v>280</v>
      </c>
      <c r="F168">
        <v>34.123833333333302</v>
      </c>
      <c r="G168">
        <v>66.597785714285706</v>
      </c>
      <c r="H168">
        <v>56.716999999999999</v>
      </c>
      <c r="I168">
        <v>33.301000000000002</v>
      </c>
      <c r="J168">
        <v>66.355400000000003</v>
      </c>
      <c r="K168">
        <v>86.063666666666705</v>
      </c>
      <c r="L168">
        <v>60.487666666666698</v>
      </c>
      <c r="M168">
        <v>14.410833333333301</v>
      </c>
      <c r="N168">
        <v>46.572000000000003</v>
      </c>
      <c r="O168">
        <v>45.393250000000002</v>
      </c>
      <c r="P168">
        <v>88.177666666666696</v>
      </c>
      <c r="Q168">
        <v>93.052499999999995</v>
      </c>
      <c r="R168">
        <v>50.081000000000003</v>
      </c>
      <c r="S168">
        <v>54.688000000000002</v>
      </c>
      <c r="T168">
        <v>48.847999999999999</v>
      </c>
      <c r="U168">
        <v>48.968666666666699</v>
      </c>
    </row>
    <row r="169" spans="1:21" x14ac:dyDescent="0.2">
      <c r="A169" t="s">
        <v>347</v>
      </c>
      <c r="B169" t="s">
        <v>348</v>
      </c>
      <c r="E169">
        <v>20.73</v>
      </c>
      <c r="F169">
        <v>32.216285714285704</v>
      </c>
      <c r="G169">
        <v>21.5365</v>
      </c>
      <c r="H169">
        <v>14.4646666666667</v>
      </c>
      <c r="I169">
        <v>26.8215</v>
      </c>
      <c r="J169">
        <v>39.9696</v>
      </c>
      <c r="K169">
        <v>2.0390000000000001</v>
      </c>
      <c r="L169">
        <v>55.779600000000002</v>
      </c>
      <c r="M169">
        <v>8.2186666666666692</v>
      </c>
      <c r="N169">
        <v>35.493000000000002</v>
      </c>
      <c r="O169">
        <v>26.78125</v>
      </c>
      <c r="P169">
        <v>90.888666666666694</v>
      </c>
      <c r="Q169">
        <v>99.6815</v>
      </c>
      <c r="S169">
        <v>71.691000000000003</v>
      </c>
      <c r="T169">
        <v>34.695</v>
      </c>
      <c r="U169">
        <v>46.356666666666698</v>
      </c>
    </row>
    <row r="170" spans="1:21" x14ac:dyDescent="0.2">
      <c r="A170" t="s">
        <v>291</v>
      </c>
      <c r="B170" t="s">
        <v>292</v>
      </c>
      <c r="E170">
        <v>18.113</v>
      </c>
      <c r="F170">
        <v>60.415875</v>
      </c>
      <c r="G170">
        <v>42.294071428571399</v>
      </c>
      <c r="H170">
        <v>69.277000000000001</v>
      </c>
      <c r="I170">
        <v>42.451250000000002</v>
      </c>
      <c r="J170">
        <v>49.711199999999998</v>
      </c>
      <c r="K170">
        <v>28.494333333333302</v>
      </c>
      <c r="L170">
        <v>64.168499999999995</v>
      </c>
      <c r="M170">
        <v>14.586166666666699</v>
      </c>
      <c r="N170">
        <v>29.848500000000001</v>
      </c>
      <c r="O170">
        <v>38.875250000000001</v>
      </c>
      <c r="P170">
        <v>93.240333333333297</v>
      </c>
      <c r="Q170">
        <v>98.837000000000003</v>
      </c>
      <c r="R170">
        <v>71.861500000000007</v>
      </c>
      <c r="S170">
        <v>73.201499999999996</v>
      </c>
      <c r="T170">
        <v>53.9951111111111</v>
      </c>
      <c r="U170">
        <v>55.504249999999999</v>
      </c>
    </row>
    <row r="171" spans="1:21" x14ac:dyDescent="0.2">
      <c r="A171" t="s">
        <v>105</v>
      </c>
      <c r="B171" t="s">
        <v>106</v>
      </c>
      <c r="E171">
        <v>100</v>
      </c>
      <c r="F171">
        <v>59.771999999999998</v>
      </c>
      <c r="G171">
        <v>77.826499999999996</v>
      </c>
      <c r="H171">
        <v>89.767666666666699</v>
      </c>
      <c r="I171">
        <v>69.273750000000007</v>
      </c>
      <c r="J171">
        <v>76.923400000000001</v>
      </c>
      <c r="K171">
        <v>83.432666666666705</v>
      </c>
      <c r="L171">
        <v>75.453166666666704</v>
      </c>
      <c r="M171">
        <v>55.155333333333303</v>
      </c>
      <c r="N171">
        <v>61.26</v>
      </c>
      <c r="O171">
        <v>81.672749999999994</v>
      </c>
      <c r="P171">
        <v>77.090666666666706</v>
      </c>
      <c r="Q171">
        <v>87.036000000000001</v>
      </c>
      <c r="R171">
        <v>68.156000000000006</v>
      </c>
      <c r="S171">
        <v>66.503399999999999</v>
      </c>
      <c r="T171">
        <v>70.418999999999997</v>
      </c>
      <c r="U171">
        <v>61.473750000000003</v>
      </c>
    </row>
    <row r="172" spans="1:21" x14ac:dyDescent="0.2">
      <c r="A172" t="s">
        <v>189</v>
      </c>
      <c r="B172" t="s">
        <v>190</v>
      </c>
      <c r="E172">
        <v>89.245999999999995</v>
      </c>
      <c r="F172">
        <v>59.594999999999999</v>
      </c>
      <c r="G172">
        <v>69.208928571428601</v>
      </c>
      <c r="H172">
        <v>97.992666666666693</v>
      </c>
      <c r="I172">
        <v>54.532499999999999</v>
      </c>
      <c r="J172">
        <v>59.65</v>
      </c>
      <c r="K172">
        <v>91.108333333333405</v>
      </c>
      <c r="L172">
        <v>69.380600000000001</v>
      </c>
      <c r="M172">
        <v>11.811</v>
      </c>
      <c r="N172">
        <v>74.563999999999993</v>
      </c>
      <c r="O172">
        <v>77.420749999999998</v>
      </c>
      <c r="P172">
        <v>85.774799999999999</v>
      </c>
      <c r="Q172">
        <v>94.264499999999998</v>
      </c>
      <c r="S172">
        <v>68.892799999999994</v>
      </c>
      <c r="T172">
        <v>73.445374999999999</v>
      </c>
      <c r="U172">
        <v>50.110750000000003</v>
      </c>
    </row>
    <row r="173" spans="1:21" x14ac:dyDescent="0.2">
      <c r="A173" t="s">
        <v>201</v>
      </c>
      <c r="B173" t="s">
        <v>202</v>
      </c>
      <c r="E173">
        <v>29.3735</v>
      </c>
      <c r="F173">
        <v>53.962571428571401</v>
      </c>
      <c r="G173">
        <v>68.733999999999995</v>
      </c>
      <c r="H173">
        <v>88.824883333333304</v>
      </c>
      <c r="I173">
        <v>58.353999999999999</v>
      </c>
      <c r="J173">
        <v>58.629800000000003</v>
      </c>
      <c r="K173">
        <v>81.333666666666701</v>
      </c>
      <c r="L173">
        <v>65.365600000000001</v>
      </c>
      <c r="M173">
        <v>12.4504</v>
      </c>
      <c r="O173">
        <v>80.218999999999994</v>
      </c>
      <c r="P173">
        <v>82.761166666666696</v>
      </c>
      <c r="Q173">
        <v>48.246499999999997</v>
      </c>
      <c r="S173">
        <v>63.843800000000002</v>
      </c>
      <c r="T173">
        <v>73.254125000000002</v>
      </c>
      <c r="U173">
        <v>42.768999999999998</v>
      </c>
    </row>
    <row r="174" spans="1:21" x14ac:dyDescent="0.2">
      <c r="A174" t="s">
        <v>395</v>
      </c>
      <c r="B174" t="s">
        <v>396</v>
      </c>
    </row>
    <row r="175" spans="1:21" x14ac:dyDescent="0.2">
      <c r="A175" t="s">
        <v>397</v>
      </c>
      <c r="B175" t="s">
        <v>398</v>
      </c>
    </row>
    <row r="176" spans="1:21" x14ac:dyDescent="0.2">
      <c r="A176" t="s">
        <v>247</v>
      </c>
      <c r="B176" t="s">
        <v>248</v>
      </c>
      <c r="E176">
        <v>98.531499999999994</v>
      </c>
      <c r="F176">
        <v>55.298499999999997</v>
      </c>
      <c r="G176">
        <v>80.950285714285698</v>
      </c>
      <c r="H176">
        <v>91.126999999999995</v>
      </c>
      <c r="I176">
        <v>65.886750000000006</v>
      </c>
      <c r="J176">
        <v>74.054000000000002</v>
      </c>
      <c r="K176">
        <v>88.5506666666667</v>
      </c>
      <c r="L176">
        <v>75.088499999999996</v>
      </c>
      <c r="M176">
        <v>29.2923333333333</v>
      </c>
      <c r="O176">
        <v>76.747333333333302</v>
      </c>
      <c r="P176">
        <v>65.614333333333306</v>
      </c>
      <c r="Q176">
        <v>29.0625</v>
      </c>
      <c r="R176">
        <v>51.804166666666703</v>
      </c>
      <c r="S176">
        <v>53.686</v>
      </c>
      <c r="T176">
        <v>60.382599999999996</v>
      </c>
      <c r="U176">
        <v>55.473333333333301</v>
      </c>
    </row>
    <row r="177" spans="1:21" x14ac:dyDescent="0.2">
      <c r="A177" t="s">
        <v>135</v>
      </c>
      <c r="B177" t="s">
        <v>136</v>
      </c>
      <c r="E177">
        <v>97.069000000000003</v>
      </c>
      <c r="F177">
        <v>55.104714285714302</v>
      </c>
      <c r="G177">
        <v>76.452785714285696</v>
      </c>
      <c r="H177">
        <v>87.773333333333298</v>
      </c>
      <c r="I177">
        <v>47.430999999999997</v>
      </c>
      <c r="J177">
        <v>63.3262</v>
      </c>
      <c r="K177">
        <v>92.027333333333303</v>
      </c>
      <c r="L177">
        <v>57.965666666666699</v>
      </c>
      <c r="M177">
        <v>42.943666666666701</v>
      </c>
      <c r="N177">
        <v>70.703999999999994</v>
      </c>
      <c r="O177">
        <v>70.928250000000006</v>
      </c>
      <c r="P177">
        <v>86.843833333333293</v>
      </c>
      <c r="Q177">
        <v>90.798666666666705</v>
      </c>
      <c r="R177">
        <v>64.364500000000007</v>
      </c>
      <c r="S177">
        <v>67.494</v>
      </c>
      <c r="T177">
        <v>69.508499999999998</v>
      </c>
      <c r="U177">
        <v>73.804500000000004</v>
      </c>
    </row>
    <row r="178" spans="1:21" x14ac:dyDescent="0.2">
      <c r="A178" t="s">
        <v>436</v>
      </c>
      <c r="B178" t="s">
        <v>164</v>
      </c>
      <c r="E178">
        <v>99.623999999999995</v>
      </c>
      <c r="F178">
        <v>65.067999999999998</v>
      </c>
      <c r="G178">
        <v>82.927999999999997</v>
      </c>
      <c r="H178">
        <v>96.272999999999996</v>
      </c>
      <c r="I178">
        <v>46.329749999999997</v>
      </c>
      <c r="J178">
        <v>75.128399999999999</v>
      </c>
      <c r="K178">
        <v>89.161000000000001</v>
      </c>
      <c r="L178">
        <v>59.060666666666698</v>
      </c>
      <c r="M178">
        <v>60.301499999999997</v>
      </c>
      <c r="N178">
        <v>38.104999999999997</v>
      </c>
      <c r="O178">
        <v>73.987499999999997</v>
      </c>
      <c r="P178">
        <v>79.810833333333406</v>
      </c>
      <c r="Q178">
        <v>86.967666666666702</v>
      </c>
      <c r="R178">
        <v>51.998166666666698</v>
      </c>
      <c r="S178">
        <v>53.259399999999999</v>
      </c>
      <c r="T178">
        <v>66.496444444444407</v>
      </c>
      <c r="U178">
        <v>71.963250000000002</v>
      </c>
    </row>
    <row r="179" spans="1:21" x14ac:dyDescent="0.2">
      <c r="A179" t="s">
        <v>399</v>
      </c>
      <c r="B179" t="s">
        <v>400</v>
      </c>
    </row>
    <row r="180" spans="1:21" x14ac:dyDescent="0.2">
      <c r="A180" t="s">
        <v>287</v>
      </c>
      <c r="B180" t="s">
        <v>288</v>
      </c>
      <c r="E180">
        <v>18.7605</v>
      </c>
      <c r="F180">
        <v>59.784374999999997</v>
      </c>
      <c r="G180">
        <v>44.318785714285703</v>
      </c>
      <c r="H180">
        <v>53.064999999999998</v>
      </c>
      <c r="I180">
        <v>72.904750000000007</v>
      </c>
      <c r="J180">
        <v>50.101799999999997</v>
      </c>
      <c r="K180">
        <v>34.643999999999998</v>
      </c>
      <c r="L180">
        <v>66.92</v>
      </c>
      <c r="M180">
        <v>22.425166666666701</v>
      </c>
      <c r="N180">
        <v>46.791499999999999</v>
      </c>
      <c r="O180">
        <v>63.05</v>
      </c>
      <c r="P180">
        <v>92.164333333333303</v>
      </c>
      <c r="Q180">
        <v>99.216999999999999</v>
      </c>
      <c r="R180">
        <v>75.266499999999994</v>
      </c>
      <c r="S180">
        <v>60.3444</v>
      </c>
      <c r="T180">
        <v>54.285899999999998</v>
      </c>
      <c r="U180">
        <v>45.302750000000003</v>
      </c>
    </row>
    <row r="181" spans="1:21" x14ac:dyDescent="0.2">
      <c r="A181" t="s">
        <v>301</v>
      </c>
      <c r="B181" t="s">
        <v>302</v>
      </c>
      <c r="E181">
        <v>23.664000000000001</v>
      </c>
      <c r="F181">
        <v>64.421428571428606</v>
      </c>
      <c r="G181">
        <v>47.9220714285714</v>
      </c>
      <c r="H181">
        <v>60.499000000000002</v>
      </c>
      <c r="I181">
        <v>60.577249999999999</v>
      </c>
      <c r="J181">
        <v>44.933799999999998</v>
      </c>
      <c r="K181">
        <v>18.454499999999999</v>
      </c>
      <c r="L181">
        <v>62.1905</v>
      </c>
      <c r="M181">
        <v>28.4806666666667</v>
      </c>
      <c r="N181">
        <v>39.457999999999998</v>
      </c>
      <c r="O181">
        <v>43.779499999999999</v>
      </c>
      <c r="P181">
        <v>88.549000000000007</v>
      </c>
      <c r="Q181">
        <v>99.229333333333301</v>
      </c>
      <c r="S181">
        <v>63.533000000000001</v>
      </c>
      <c r="T181">
        <v>47.980600000000003</v>
      </c>
      <c r="U181">
        <v>47.100250000000003</v>
      </c>
    </row>
    <row r="182" spans="1:21" x14ac:dyDescent="0.2">
      <c r="A182" t="s">
        <v>95</v>
      </c>
      <c r="B182" t="s">
        <v>96</v>
      </c>
      <c r="E182">
        <v>99.774000000000001</v>
      </c>
      <c r="F182">
        <v>63.821624999999997</v>
      </c>
      <c r="G182">
        <v>75.911142857142906</v>
      </c>
      <c r="H182">
        <v>91.917666666666705</v>
      </c>
      <c r="I182">
        <v>67.210999999999999</v>
      </c>
      <c r="J182">
        <v>78.688999999999993</v>
      </c>
      <c r="K182">
        <v>91.711666666666702</v>
      </c>
      <c r="L182">
        <v>71.707833333333298</v>
      </c>
      <c r="M182">
        <v>39.0075</v>
      </c>
      <c r="N182">
        <v>98.811000000000007</v>
      </c>
      <c r="O182">
        <v>75.473749999999995</v>
      </c>
      <c r="P182">
        <v>81.846833333333294</v>
      </c>
      <c r="Q182">
        <v>86.463999999999999</v>
      </c>
      <c r="R182">
        <v>58.004166666666698</v>
      </c>
      <c r="S182">
        <v>63.6828</v>
      </c>
      <c r="T182">
        <v>65.385300000000001</v>
      </c>
      <c r="U182">
        <v>74.259</v>
      </c>
    </row>
    <row r="183" spans="1:21" x14ac:dyDescent="0.2">
      <c r="A183" t="s">
        <v>83</v>
      </c>
      <c r="B183" t="s">
        <v>84</v>
      </c>
      <c r="E183">
        <v>99.932000000000002</v>
      </c>
      <c r="F183">
        <v>67.540875</v>
      </c>
      <c r="G183">
        <v>82.819461538461596</v>
      </c>
      <c r="H183">
        <v>88.769000000000005</v>
      </c>
      <c r="I183">
        <v>73.439750000000004</v>
      </c>
      <c r="J183">
        <v>78.3142</v>
      </c>
      <c r="K183">
        <v>96.891666666666694</v>
      </c>
      <c r="L183">
        <v>75.407833333333301</v>
      </c>
      <c r="M183">
        <v>45.055833333333297</v>
      </c>
      <c r="N183">
        <v>49.453499999999998</v>
      </c>
      <c r="O183">
        <v>90.046666666666695</v>
      </c>
      <c r="P183">
        <v>61.883666666666699</v>
      </c>
      <c r="Q183">
        <v>85.9613333333333</v>
      </c>
      <c r="R183">
        <v>61.643000000000001</v>
      </c>
      <c r="S183">
        <v>58.8142</v>
      </c>
      <c r="T183">
        <v>73.253200000000007</v>
      </c>
      <c r="U183">
        <v>78.062333333333299</v>
      </c>
    </row>
    <row r="184" spans="1:21" x14ac:dyDescent="0.2">
      <c r="A184" t="s">
        <v>97</v>
      </c>
      <c r="B184" t="s">
        <v>98</v>
      </c>
      <c r="E184">
        <v>99.233500000000006</v>
      </c>
      <c r="F184">
        <v>69.135374999999996</v>
      </c>
      <c r="G184">
        <v>88.681642857142904</v>
      </c>
      <c r="H184">
        <v>99.241375000000005</v>
      </c>
      <c r="I184">
        <v>74.352000000000004</v>
      </c>
      <c r="J184">
        <v>84.271799999999999</v>
      </c>
      <c r="K184">
        <v>93.531000000000006</v>
      </c>
      <c r="L184">
        <v>76.600166666666695</v>
      </c>
      <c r="M184">
        <v>93.947166666666703</v>
      </c>
      <c r="N184">
        <v>46.956000000000003</v>
      </c>
      <c r="O184">
        <v>92.593000000000004</v>
      </c>
      <c r="P184">
        <v>53.583500000000001</v>
      </c>
      <c r="Q184">
        <v>52.6636666666667</v>
      </c>
      <c r="R184">
        <v>64.618666666666698</v>
      </c>
      <c r="S184">
        <v>60.594200000000001</v>
      </c>
      <c r="T184">
        <v>73.345699999999994</v>
      </c>
      <c r="U184">
        <v>68.8155</v>
      </c>
    </row>
    <row r="185" spans="1:21" x14ac:dyDescent="0.2">
      <c r="A185" t="s">
        <v>157</v>
      </c>
      <c r="B185" t="s">
        <v>158</v>
      </c>
      <c r="E185">
        <v>75.784499999999994</v>
      </c>
      <c r="F185">
        <v>65.3818571428571</v>
      </c>
      <c r="G185">
        <v>78.214357142857097</v>
      </c>
      <c r="H185">
        <v>97.399333333333303</v>
      </c>
      <c r="I185">
        <v>73.114500000000007</v>
      </c>
      <c r="J185">
        <v>58.3596</v>
      </c>
      <c r="K185">
        <v>87.047333333333398</v>
      </c>
      <c r="L185">
        <v>62.424500000000002</v>
      </c>
      <c r="M185">
        <v>27.628833333333301</v>
      </c>
      <c r="N185">
        <v>51.165999999999997</v>
      </c>
      <c r="O185">
        <v>75.944000000000003</v>
      </c>
      <c r="P185">
        <v>91.454800000000006</v>
      </c>
      <c r="Q185">
        <v>93.114666666666693</v>
      </c>
      <c r="S185">
        <v>60.653199999999998</v>
      </c>
      <c r="T185">
        <v>74.368624999999994</v>
      </c>
      <c r="U185">
        <v>56.286499999999997</v>
      </c>
    </row>
    <row r="186" spans="1:21" x14ac:dyDescent="0.2">
      <c r="A186" t="s">
        <v>401</v>
      </c>
      <c r="B186" t="s">
        <v>402</v>
      </c>
    </row>
    <row r="187" spans="1:21" x14ac:dyDescent="0.2">
      <c r="A187" t="s">
        <v>253</v>
      </c>
      <c r="B187" t="s">
        <v>254</v>
      </c>
      <c r="E187">
        <v>13.244</v>
      </c>
      <c r="F187">
        <v>43.225857142857102</v>
      </c>
      <c r="G187">
        <v>65.286785714285699</v>
      </c>
      <c r="H187">
        <v>82.244666666666703</v>
      </c>
      <c r="I187">
        <v>66.278000000000006</v>
      </c>
      <c r="J187">
        <v>78.134799999999998</v>
      </c>
      <c r="K187">
        <v>92.111999999999995</v>
      </c>
      <c r="L187">
        <v>70.762799999999999</v>
      </c>
      <c r="M187">
        <v>32.317333333333302</v>
      </c>
      <c r="N187">
        <v>21.608000000000001</v>
      </c>
      <c r="O187">
        <v>47.579666666666697</v>
      </c>
      <c r="P187">
        <v>81.572500000000005</v>
      </c>
      <c r="Q187">
        <v>85.691999999999993</v>
      </c>
      <c r="R187">
        <v>64.511666666666699</v>
      </c>
      <c r="S187">
        <v>69.027000000000001</v>
      </c>
      <c r="T187">
        <v>34.133777777777802</v>
      </c>
      <c r="U187">
        <v>60.781999999999996</v>
      </c>
    </row>
    <row r="188" spans="1:21" x14ac:dyDescent="0.2">
      <c r="A188" t="s">
        <v>129</v>
      </c>
      <c r="B188" t="s">
        <v>130</v>
      </c>
      <c r="E188">
        <v>95.142499999999998</v>
      </c>
      <c r="F188">
        <v>71.032624999999996</v>
      </c>
      <c r="G188">
        <v>72.467428571428599</v>
      </c>
      <c r="H188">
        <v>97.107666666666702</v>
      </c>
      <c r="I188">
        <v>72.203249999999997</v>
      </c>
      <c r="J188">
        <v>73.138000000000005</v>
      </c>
      <c r="K188">
        <v>83.200333333333305</v>
      </c>
      <c r="L188">
        <v>72.149166666666702</v>
      </c>
      <c r="M188">
        <v>43.975666666666697</v>
      </c>
      <c r="N188">
        <v>70.499499999999998</v>
      </c>
      <c r="O188">
        <v>80.116249999999994</v>
      </c>
      <c r="P188">
        <v>91.899666666666704</v>
      </c>
      <c r="Q188">
        <v>93.97</v>
      </c>
      <c r="R188">
        <v>49.192166666666701</v>
      </c>
      <c r="S188">
        <v>46.689</v>
      </c>
      <c r="T188">
        <v>65.959999999999994</v>
      </c>
      <c r="U188">
        <v>59.681249999999999</v>
      </c>
    </row>
    <row r="189" spans="1:21" x14ac:dyDescent="0.2">
      <c r="A189" t="s">
        <v>403</v>
      </c>
      <c r="B189" t="s">
        <v>404</v>
      </c>
      <c r="E189">
        <v>52.396999999999998</v>
      </c>
      <c r="F189">
        <v>46.080571428571403</v>
      </c>
      <c r="G189">
        <v>64.413333333333298</v>
      </c>
      <c r="H189">
        <v>73.073333333333295</v>
      </c>
      <c r="I189">
        <v>37.122666666666703</v>
      </c>
      <c r="J189">
        <v>51.84675</v>
      </c>
      <c r="K189">
        <v>34.416499999999999</v>
      </c>
      <c r="L189">
        <v>79.150666666666694</v>
      </c>
      <c r="M189">
        <v>31.470500000000001</v>
      </c>
      <c r="N189">
        <v>62.270499999999998</v>
      </c>
      <c r="O189">
        <v>85.555999999999997</v>
      </c>
      <c r="P189">
        <v>66.106833333333299</v>
      </c>
      <c r="Q189">
        <v>96.003</v>
      </c>
      <c r="R189">
        <v>68.516666666666694</v>
      </c>
      <c r="S189">
        <v>52.825000000000003</v>
      </c>
      <c r="T189">
        <v>68.416166666666697</v>
      </c>
      <c r="U189">
        <v>59.234999999999999</v>
      </c>
    </row>
    <row r="190" spans="1:21" x14ac:dyDescent="0.2">
      <c r="A190" t="s">
        <v>405</v>
      </c>
      <c r="B190" t="s">
        <v>406</v>
      </c>
    </row>
    <row r="191" spans="1:21" x14ac:dyDescent="0.2">
      <c r="A191" t="s">
        <v>345</v>
      </c>
      <c r="B191" t="s">
        <v>346</v>
      </c>
      <c r="F191">
        <v>40.703714285714298</v>
      </c>
      <c r="G191">
        <v>44.696428571428598</v>
      </c>
      <c r="H191">
        <v>55.689</v>
      </c>
      <c r="I191">
        <v>13.44</v>
      </c>
      <c r="J191">
        <v>38.433799999999998</v>
      </c>
      <c r="K191">
        <v>60.905000000000001</v>
      </c>
      <c r="L191">
        <v>49.2946666666667</v>
      </c>
      <c r="M191">
        <v>8.9401666666666699</v>
      </c>
      <c r="N191">
        <v>48.930500000000002</v>
      </c>
      <c r="O191">
        <v>42.881500000000003</v>
      </c>
      <c r="P191">
        <v>91.545833333333405</v>
      </c>
      <c r="Q191">
        <v>97.463999999999999</v>
      </c>
      <c r="R191">
        <v>77.504999999999995</v>
      </c>
      <c r="S191">
        <v>47.747999999999998</v>
      </c>
      <c r="T191">
        <v>37.058500000000002</v>
      </c>
      <c r="U191">
        <v>51.118333333333297</v>
      </c>
    </row>
    <row r="192" spans="1:21" x14ac:dyDescent="0.2">
      <c r="A192" t="s">
        <v>239</v>
      </c>
      <c r="B192" t="s">
        <v>240</v>
      </c>
      <c r="E192">
        <v>44.186500000000002</v>
      </c>
      <c r="F192">
        <v>58.587499999999999</v>
      </c>
      <c r="G192">
        <v>51.881928571428602</v>
      </c>
      <c r="H192">
        <v>81.096666666666707</v>
      </c>
      <c r="I192">
        <v>83.996250000000003</v>
      </c>
      <c r="J192">
        <v>64.019400000000005</v>
      </c>
      <c r="K192">
        <v>81.325666666666706</v>
      </c>
      <c r="L192">
        <v>60.639666666666699</v>
      </c>
      <c r="M192">
        <v>61.4255</v>
      </c>
      <c r="N192">
        <v>0</v>
      </c>
      <c r="O192">
        <v>78.90625</v>
      </c>
      <c r="P192">
        <v>81.484333333333296</v>
      </c>
      <c r="Q192">
        <v>79.385333333333307</v>
      </c>
      <c r="R192">
        <v>64.602500000000006</v>
      </c>
      <c r="S192">
        <v>58.981999999999999</v>
      </c>
      <c r="T192">
        <v>58.616</v>
      </c>
      <c r="U192">
        <v>74.472999999999999</v>
      </c>
    </row>
    <row r="193" spans="1:21" x14ac:dyDescent="0.2">
      <c r="A193" t="s">
        <v>309</v>
      </c>
      <c r="B193" t="s">
        <v>310</v>
      </c>
      <c r="E193">
        <v>9.2974999999999994</v>
      </c>
      <c r="F193">
        <v>60.968857142857097</v>
      </c>
      <c r="G193">
        <v>48.593642857142903</v>
      </c>
      <c r="H193">
        <v>66.055666666666696</v>
      </c>
      <c r="I193">
        <v>59.292999999999999</v>
      </c>
      <c r="J193">
        <v>51.0242</v>
      </c>
      <c r="K193">
        <v>47.136666666666699</v>
      </c>
      <c r="L193">
        <v>56.783999999999999</v>
      </c>
      <c r="M193">
        <v>17.202999999999999</v>
      </c>
      <c r="N193">
        <v>0.46600000000000003</v>
      </c>
      <c r="O193">
        <v>55.722499999999997</v>
      </c>
      <c r="P193">
        <v>93.203500000000005</v>
      </c>
      <c r="Q193">
        <v>98.111999999999995</v>
      </c>
      <c r="S193">
        <v>69.192999999999998</v>
      </c>
      <c r="T193">
        <v>51.497100000000003</v>
      </c>
      <c r="U193">
        <v>55.09225</v>
      </c>
    </row>
    <row r="194" spans="1:21" x14ac:dyDescent="0.2">
      <c r="A194" t="s">
        <v>295</v>
      </c>
      <c r="B194" t="s">
        <v>296</v>
      </c>
      <c r="F194">
        <v>47.881</v>
      </c>
      <c r="G194">
        <v>43.284714285714301</v>
      </c>
      <c r="H194">
        <v>82.089666666666702</v>
      </c>
      <c r="I194">
        <v>78.370500000000007</v>
      </c>
      <c r="J194">
        <v>49.406999999999996</v>
      </c>
      <c r="K194">
        <v>47.021333333333303</v>
      </c>
      <c r="L194">
        <v>61.496499999999997</v>
      </c>
      <c r="M194">
        <v>17.817799999999998</v>
      </c>
      <c r="N194">
        <v>34.073999999999998</v>
      </c>
      <c r="O194">
        <v>58.692</v>
      </c>
      <c r="P194">
        <v>94.748500000000007</v>
      </c>
      <c r="Q194">
        <v>97.182666666666705</v>
      </c>
      <c r="S194">
        <v>77.3994</v>
      </c>
      <c r="T194">
        <v>49.215499999999999</v>
      </c>
      <c r="U194">
        <v>60.246000000000002</v>
      </c>
    </row>
    <row r="195" spans="1:21" x14ac:dyDescent="0.2">
      <c r="A195" t="s">
        <v>407</v>
      </c>
      <c r="B195" t="s">
        <v>408</v>
      </c>
      <c r="E195">
        <v>94.880499999999998</v>
      </c>
      <c r="F195">
        <v>57.769142857142903</v>
      </c>
      <c r="G195">
        <v>74.467285714285694</v>
      </c>
      <c r="H195">
        <v>92.748999999999995</v>
      </c>
      <c r="I195">
        <v>61.264499999999998</v>
      </c>
      <c r="J195">
        <v>68.965000000000003</v>
      </c>
      <c r="K195">
        <v>87.534333333333294</v>
      </c>
      <c r="L195">
        <v>68.671333333333294</v>
      </c>
      <c r="M195">
        <v>46.55</v>
      </c>
      <c r="N195">
        <v>71.955500000000001</v>
      </c>
      <c r="O195">
        <v>73.393000000000001</v>
      </c>
      <c r="P195">
        <v>80.139666666666699</v>
      </c>
      <c r="Q195">
        <v>82.084666666666706</v>
      </c>
      <c r="S195">
        <v>65.510800000000003</v>
      </c>
      <c r="T195">
        <v>61.084555555555603</v>
      </c>
      <c r="U195">
        <v>65.266000000000005</v>
      </c>
    </row>
    <row r="196" spans="1:21" x14ac:dyDescent="0.2">
      <c r="A196" t="s">
        <v>409</v>
      </c>
      <c r="B196" t="s">
        <v>410</v>
      </c>
      <c r="E196">
        <v>79.069500000000005</v>
      </c>
      <c r="F196">
        <v>65.100250000000003</v>
      </c>
      <c r="G196">
        <v>69.0749285714286</v>
      </c>
      <c r="H196">
        <v>89.970333333333301</v>
      </c>
      <c r="I196">
        <v>55.713000000000001</v>
      </c>
      <c r="J196">
        <v>62.945999999999998</v>
      </c>
      <c r="K196">
        <v>72.656999999999996</v>
      </c>
      <c r="L196">
        <v>69.557833333333306</v>
      </c>
      <c r="M196">
        <v>54.789166666666702</v>
      </c>
      <c r="N196">
        <v>28.6815</v>
      </c>
      <c r="O196">
        <v>64.653750000000002</v>
      </c>
      <c r="P196">
        <v>89.328166666666704</v>
      </c>
      <c r="Q196">
        <v>92.137</v>
      </c>
      <c r="R196">
        <v>59.342333333333301</v>
      </c>
      <c r="S196">
        <v>51.407800000000002</v>
      </c>
      <c r="T196">
        <v>63.0824</v>
      </c>
      <c r="U196">
        <v>50.225499999999997</v>
      </c>
    </row>
    <row r="197" spans="1:21" x14ac:dyDescent="0.2">
      <c r="A197" t="s">
        <v>411</v>
      </c>
      <c r="B197" t="s">
        <v>412</v>
      </c>
      <c r="E197">
        <v>79.245999999999995</v>
      </c>
      <c r="F197">
        <v>63.70675</v>
      </c>
      <c r="G197">
        <v>75.597571428571399</v>
      </c>
      <c r="H197">
        <v>87.724999999999994</v>
      </c>
      <c r="I197">
        <v>71.519750000000002</v>
      </c>
      <c r="J197">
        <v>80.575199999999995</v>
      </c>
      <c r="K197">
        <v>88.947000000000003</v>
      </c>
      <c r="L197">
        <v>66.422499999999999</v>
      </c>
      <c r="M197">
        <v>45.210500000000003</v>
      </c>
      <c r="N197">
        <v>16.076000000000001</v>
      </c>
      <c r="O197">
        <v>75.08175</v>
      </c>
      <c r="P197">
        <v>79.844333333333296</v>
      </c>
      <c r="Q197">
        <v>91.838999999999999</v>
      </c>
      <c r="R197">
        <v>56.198166666666701</v>
      </c>
      <c r="S197">
        <v>59.997</v>
      </c>
      <c r="T197">
        <v>59.531599999999997</v>
      </c>
      <c r="U197">
        <v>68.276499999999999</v>
      </c>
    </row>
    <row r="198" spans="1:21" x14ac:dyDescent="0.2">
      <c r="A198" t="s">
        <v>413</v>
      </c>
      <c r="B198" t="s">
        <v>414</v>
      </c>
      <c r="E198">
        <v>87.592500000000001</v>
      </c>
      <c r="F198">
        <v>61.610500000000002</v>
      </c>
      <c r="G198">
        <v>72.901142857142901</v>
      </c>
      <c r="H198">
        <v>84.991666666666703</v>
      </c>
      <c r="I198">
        <v>42.244500000000002</v>
      </c>
      <c r="J198">
        <v>57.504199999999997</v>
      </c>
      <c r="K198">
        <v>87.553333333333299</v>
      </c>
      <c r="L198">
        <v>62.106999999999999</v>
      </c>
      <c r="M198">
        <v>46.222333333333303</v>
      </c>
      <c r="N198">
        <v>61.985999999999997</v>
      </c>
      <c r="O198">
        <v>64.275499999999994</v>
      </c>
      <c r="P198">
        <v>83.457499999999996</v>
      </c>
      <c r="Q198">
        <v>83.146333333333303</v>
      </c>
      <c r="R198">
        <v>59.552999999999997</v>
      </c>
      <c r="S198">
        <v>55.774999999999999</v>
      </c>
      <c r="T198">
        <v>66.631124999999997</v>
      </c>
      <c r="U198">
        <v>63.149333333333303</v>
      </c>
    </row>
    <row r="199" spans="1:21" x14ac:dyDescent="0.2">
      <c r="A199" t="s">
        <v>415</v>
      </c>
      <c r="B199" t="s">
        <v>416</v>
      </c>
      <c r="E199">
        <v>34.152000000000001</v>
      </c>
      <c r="F199">
        <v>34.269599999999997</v>
      </c>
      <c r="G199">
        <v>47.2754166666667</v>
      </c>
      <c r="H199">
        <v>65.254000000000005</v>
      </c>
      <c r="I199">
        <v>43.688333333333297</v>
      </c>
      <c r="J199">
        <v>13.683999999999999</v>
      </c>
      <c r="K199">
        <v>38.241</v>
      </c>
      <c r="L199">
        <v>70.382999999999996</v>
      </c>
      <c r="M199">
        <v>10.83675</v>
      </c>
      <c r="N199">
        <v>33.768500000000003</v>
      </c>
      <c r="O199">
        <v>76.470500000000001</v>
      </c>
      <c r="P199">
        <v>67.141499999999994</v>
      </c>
      <c r="Q199">
        <v>97.7</v>
      </c>
      <c r="R199">
        <v>59.486800000000002</v>
      </c>
      <c r="S199">
        <v>49.347333333333303</v>
      </c>
      <c r="T199">
        <v>62.545250000000003</v>
      </c>
      <c r="U199">
        <v>47.100499999999997</v>
      </c>
    </row>
    <row r="200" spans="1:21" x14ac:dyDescent="0.2">
      <c r="A200" t="s">
        <v>417</v>
      </c>
      <c r="B200" t="s">
        <v>418</v>
      </c>
      <c r="E200">
        <v>97.888499999999993</v>
      </c>
      <c r="F200">
        <v>69.367125000000001</v>
      </c>
      <c r="G200">
        <v>89.001923076923106</v>
      </c>
      <c r="H200">
        <v>92.368484848484897</v>
      </c>
      <c r="I200">
        <v>74.22475</v>
      </c>
      <c r="J200">
        <v>84.175200000000004</v>
      </c>
      <c r="K200">
        <v>92.593666666666707</v>
      </c>
      <c r="L200">
        <v>77.25</v>
      </c>
      <c r="M200">
        <v>87.698333333333295</v>
      </c>
      <c r="N200">
        <v>57.741500000000002</v>
      </c>
      <c r="O200">
        <v>88.251750000000001</v>
      </c>
      <c r="P200">
        <v>62.630666666666698</v>
      </c>
      <c r="Q200">
        <v>65.906999999999996</v>
      </c>
      <c r="R200">
        <v>60.917666666666697</v>
      </c>
      <c r="S200">
        <v>65.873000000000005</v>
      </c>
      <c r="T200">
        <v>76.598200000000006</v>
      </c>
      <c r="U200">
        <v>70.042000000000002</v>
      </c>
    </row>
    <row r="201" spans="1:21" x14ac:dyDescent="0.2">
      <c r="A201" t="s">
        <v>419</v>
      </c>
      <c r="B201" t="s">
        <v>420</v>
      </c>
      <c r="E201">
        <v>59.3825</v>
      </c>
      <c r="F201">
        <v>51.510857142857098</v>
      </c>
      <c r="G201">
        <v>63.9464166666667</v>
      </c>
      <c r="H201">
        <v>82.837000000000003</v>
      </c>
      <c r="I201">
        <v>62.895000000000003</v>
      </c>
      <c r="J201">
        <v>62.353400000000001</v>
      </c>
      <c r="K201">
        <v>67.638000000000005</v>
      </c>
      <c r="L201">
        <v>71.241666666666703</v>
      </c>
      <c r="M201">
        <v>35.043999999999997</v>
      </c>
      <c r="N201">
        <v>33.825499999999998</v>
      </c>
      <c r="O201">
        <v>76.988</v>
      </c>
      <c r="P201">
        <v>72.628</v>
      </c>
      <c r="Q201">
        <v>76.832999999999998</v>
      </c>
      <c r="R201">
        <v>66.646333333333303</v>
      </c>
      <c r="S201">
        <v>56.96</v>
      </c>
      <c r="T201">
        <v>64.497666666666703</v>
      </c>
      <c r="U201">
        <v>56.617249999999999</v>
      </c>
    </row>
    <row r="202" spans="1:21" x14ac:dyDescent="0.2">
      <c r="A202" t="s">
        <v>421</v>
      </c>
      <c r="B202" t="s">
        <v>422</v>
      </c>
      <c r="E202">
        <v>21.4785</v>
      </c>
      <c r="F202">
        <v>57.578874999999996</v>
      </c>
      <c r="G202">
        <v>40.695357142857098</v>
      </c>
      <c r="H202">
        <v>49.601999999999997</v>
      </c>
      <c r="I202">
        <v>52.215000000000003</v>
      </c>
      <c r="J202">
        <v>50.318199999999997</v>
      </c>
      <c r="K202">
        <v>39.398000000000003</v>
      </c>
      <c r="L202">
        <v>59.398166666666697</v>
      </c>
      <c r="M202">
        <v>21.5178333333333</v>
      </c>
      <c r="N202">
        <v>25.544499999999999</v>
      </c>
      <c r="O202">
        <v>47.247250000000001</v>
      </c>
      <c r="P202">
        <v>91.287833333333296</v>
      </c>
      <c r="Q202">
        <v>97.582999999999998</v>
      </c>
      <c r="R202">
        <v>66.204833333333298</v>
      </c>
      <c r="S202">
        <v>66.209000000000003</v>
      </c>
      <c r="T202">
        <v>50.184800000000003</v>
      </c>
      <c r="U202">
        <v>46.292749999999998</v>
      </c>
    </row>
    <row r="203" spans="1:21" x14ac:dyDescent="0.2">
      <c r="A203" t="s">
        <v>423</v>
      </c>
      <c r="B203" t="s">
        <v>424</v>
      </c>
      <c r="E203">
        <v>18.077000000000002</v>
      </c>
      <c r="F203">
        <v>54.290125000000003</v>
      </c>
      <c r="G203">
        <v>42.657928571428599</v>
      </c>
      <c r="H203">
        <v>47.216333333333303</v>
      </c>
      <c r="I203">
        <v>46.429000000000002</v>
      </c>
      <c r="J203">
        <v>45.261600000000001</v>
      </c>
      <c r="K203">
        <v>42.337000000000003</v>
      </c>
      <c r="L203">
        <v>52.461666666666702</v>
      </c>
      <c r="M203">
        <v>11.2608333333333</v>
      </c>
      <c r="N203">
        <v>48.554499999999997</v>
      </c>
      <c r="O203">
        <v>46.0625</v>
      </c>
      <c r="P203">
        <v>91.237499999999997</v>
      </c>
      <c r="Q203">
        <v>99.089666666666702</v>
      </c>
      <c r="R203">
        <v>68.735333333333301</v>
      </c>
      <c r="S203">
        <v>61.190399999999997</v>
      </c>
      <c r="T203">
        <v>48.746200000000002</v>
      </c>
      <c r="U203">
        <v>42.722999999999999</v>
      </c>
    </row>
    <row r="204" spans="1:21" x14ac:dyDescent="0.2">
      <c r="A204" t="s">
        <v>425</v>
      </c>
      <c r="B204" t="s">
        <v>426</v>
      </c>
      <c r="E204">
        <v>58.029000000000003</v>
      </c>
      <c r="F204">
        <v>56.780374999999999</v>
      </c>
      <c r="G204">
        <v>57.455357142857103</v>
      </c>
      <c r="H204">
        <v>78.900000000000006</v>
      </c>
      <c r="I204">
        <v>43.625</v>
      </c>
      <c r="J204">
        <v>57.805599999999998</v>
      </c>
      <c r="K204">
        <v>65.276666666666699</v>
      </c>
      <c r="L204">
        <v>66.671999999999997</v>
      </c>
      <c r="M204">
        <v>36.203666666666699</v>
      </c>
      <c r="N204">
        <v>30.079000000000001</v>
      </c>
      <c r="O204">
        <v>54.201250000000002</v>
      </c>
      <c r="P204">
        <v>91.590999999999994</v>
      </c>
      <c r="Q204">
        <v>96.189666666666696</v>
      </c>
      <c r="R204">
        <v>61.629166666666698</v>
      </c>
      <c r="S204">
        <v>57.363199999999999</v>
      </c>
      <c r="T204">
        <v>58.311</v>
      </c>
      <c r="U204">
        <v>50.765000000000001</v>
      </c>
    </row>
    <row r="205" spans="1:21" x14ac:dyDescent="0.2">
      <c r="A205" t="s">
        <v>427</v>
      </c>
      <c r="B205" t="s">
        <v>428</v>
      </c>
      <c r="E205">
        <v>92.108500000000006</v>
      </c>
      <c r="F205">
        <v>71.605374999999995</v>
      </c>
      <c r="G205">
        <v>78.1960714285714</v>
      </c>
      <c r="H205">
        <v>94.504000000000005</v>
      </c>
      <c r="I205">
        <v>70.861249999999998</v>
      </c>
      <c r="J205">
        <v>71.242599999999996</v>
      </c>
      <c r="K205">
        <v>81.991333333333301</v>
      </c>
      <c r="L205">
        <v>69.189166666666694</v>
      </c>
      <c r="M205">
        <v>64.533000000000001</v>
      </c>
      <c r="N205">
        <v>24.817</v>
      </c>
      <c r="O205">
        <v>76.517250000000004</v>
      </c>
      <c r="P205">
        <v>84.104833333333303</v>
      </c>
      <c r="Q205">
        <v>86.852999999999994</v>
      </c>
      <c r="R205">
        <v>57.028500000000001</v>
      </c>
      <c r="S205">
        <v>53.5426</v>
      </c>
      <c r="T205">
        <v>69.025899999999993</v>
      </c>
      <c r="U205">
        <v>57.018749999999997</v>
      </c>
    </row>
    <row r="206" spans="1:21" x14ac:dyDescent="0.2">
      <c r="A206" t="s">
        <v>429</v>
      </c>
      <c r="B206" t="s">
        <v>430</v>
      </c>
      <c r="E206">
        <v>99.165499999999994</v>
      </c>
      <c r="F206">
        <v>70.729249999999993</v>
      </c>
      <c r="G206">
        <v>91.111714285714299</v>
      </c>
      <c r="H206">
        <v>98.427666666666696</v>
      </c>
      <c r="I206">
        <v>74.328500000000005</v>
      </c>
      <c r="J206">
        <v>73.448599999999999</v>
      </c>
      <c r="K206">
        <v>93.126999999999995</v>
      </c>
      <c r="L206">
        <v>80.222833333333298</v>
      </c>
      <c r="M206">
        <v>91.532333333333298</v>
      </c>
      <c r="N206">
        <v>67.876499999999993</v>
      </c>
      <c r="O206">
        <v>89.362499999999997</v>
      </c>
      <c r="P206">
        <v>58.4418333333333</v>
      </c>
      <c r="Q206">
        <v>59.805</v>
      </c>
      <c r="R206">
        <v>61.375</v>
      </c>
      <c r="S206">
        <v>68.299599999999998</v>
      </c>
      <c r="T206">
        <v>80.307199999999995</v>
      </c>
      <c r="U206">
        <v>70.677750000000003</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205"/>
  <sheetViews>
    <sheetView workbookViewId="0">
      <selection activeCell="C1" sqref="C1"/>
    </sheetView>
  </sheetViews>
  <sheetFormatPr defaultRowHeight="15" x14ac:dyDescent="0.25"/>
  <cols>
    <col min="1" max="1" width="13" customWidth="1"/>
    <col min="3" max="3" width="9.140625" style="2"/>
    <col min="4" max="4" width="9.140625" style="3"/>
    <col min="5" max="21" width="11.42578125" style="4" customWidth="1"/>
  </cols>
  <sheetData>
    <row r="1" spans="1:21" ht="45" x14ac:dyDescent="0.25">
      <c r="A1" s="5" t="s">
        <v>0</v>
      </c>
      <c r="B1" s="5" t="s">
        <v>437</v>
      </c>
      <c r="C1" s="6" t="s">
        <v>438</v>
      </c>
      <c r="D1" s="7" t="s">
        <v>439</v>
      </c>
      <c r="E1" s="8" t="s">
        <v>4</v>
      </c>
      <c r="F1" s="8" t="s">
        <v>5</v>
      </c>
      <c r="G1" s="8" t="s">
        <v>6</v>
      </c>
      <c r="H1" s="8" t="s">
        <v>7</v>
      </c>
      <c r="I1" s="8" t="s">
        <v>8</v>
      </c>
      <c r="J1" s="8" t="s">
        <v>9</v>
      </c>
      <c r="K1" s="8" t="s">
        <v>10</v>
      </c>
      <c r="L1" s="8" t="s">
        <v>11</v>
      </c>
      <c r="M1" s="8" t="s">
        <v>12</v>
      </c>
      <c r="N1" s="8" t="s">
        <v>13</v>
      </c>
      <c r="O1" s="8" t="s">
        <v>14</v>
      </c>
      <c r="P1" s="8" t="s">
        <v>15</v>
      </c>
      <c r="Q1" s="8" t="s">
        <v>16</v>
      </c>
      <c r="R1" s="8" t="s">
        <v>17</v>
      </c>
      <c r="S1" s="8" t="s">
        <v>18</v>
      </c>
      <c r="T1" s="8" t="s">
        <v>19</v>
      </c>
      <c r="U1" s="8" t="s">
        <v>20</v>
      </c>
    </row>
    <row r="2" spans="1:21" x14ac:dyDescent="0.25">
      <c r="A2" t="s">
        <v>23</v>
      </c>
      <c r="B2" t="s">
        <v>24</v>
      </c>
      <c r="C2" s="2">
        <v>84.724062669683263</v>
      </c>
      <c r="D2" s="3">
        <v>1</v>
      </c>
      <c r="E2" s="4">
        <v>99.033000000000001</v>
      </c>
      <c r="F2" s="4">
        <v>67.674999999999997</v>
      </c>
      <c r="G2" s="4">
        <v>96.629083333333313</v>
      </c>
      <c r="H2" s="4">
        <v>99.719948717948725</v>
      </c>
      <c r="I2" s="4">
        <v>89.381999999999991</v>
      </c>
      <c r="J2" s="4">
        <v>93.39200000000001</v>
      </c>
      <c r="K2" s="4">
        <v>98.677999999999997</v>
      </c>
      <c r="L2" s="4">
        <v>83.603199999999987</v>
      </c>
      <c r="M2" s="4">
        <v>96.913166666666669</v>
      </c>
      <c r="N2" s="4">
        <v>93.49</v>
      </c>
      <c r="O2" s="4">
        <v>88.846999999999994</v>
      </c>
      <c r="P2" s="4">
        <v>55.901333333333334</v>
      </c>
      <c r="Q2" s="4">
        <v>66.361000000000004</v>
      </c>
      <c r="R2" s="4">
        <v>54.040800000000004</v>
      </c>
      <c r="S2" s="4">
        <v>80.156199999999998</v>
      </c>
      <c r="T2" s="4">
        <v>85.361333333333334</v>
      </c>
      <c r="U2" s="4">
        <v>91.125999999999991</v>
      </c>
    </row>
    <row r="3" spans="1:21" x14ac:dyDescent="0.25">
      <c r="A3" t="s">
        <v>25</v>
      </c>
      <c r="B3" t="s">
        <v>26</v>
      </c>
      <c r="C3" s="2">
        <v>84.558775788264001</v>
      </c>
      <c r="D3" s="3">
        <v>2</v>
      </c>
      <c r="E3" s="4">
        <v>99.579499999999996</v>
      </c>
      <c r="F3" s="4">
        <v>71.409142857142868</v>
      </c>
      <c r="G3" s="4">
        <v>94.493285714285733</v>
      </c>
      <c r="H3" s="4">
        <v>99.102948717948721</v>
      </c>
      <c r="I3" s="4">
        <v>85.96350000000001</v>
      </c>
      <c r="J3" s="4">
        <v>90.917999999999992</v>
      </c>
      <c r="K3" s="4">
        <v>94.214666666666673</v>
      </c>
      <c r="L3" s="4">
        <v>85.275199999999984</v>
      </c>
      <c r="M3" s="4">
        <v>96.853999999999999</v>
      </c>
      <c r="N3" s="4">
        <v>97.546000000000006</v>
      </c>
      <c r="O3" s="4">
        <v>89.348333333333315</v>
      </c>
      <c r="P3" s="4">
        <v>42.624499999999998</v>
      </c>
      <c r="Q3" s="4">
        <v>62.520999999999994</v>
      </c>
      <c r="R3" s="4">
        <v>58.08</v>
      </c>
      <c r="S3" s="4">
        <v>92.936999999999983</v>
      </c>
      <c r="T3" s="4">
        <v>92.764111111111106</v>
      </c>
      <c r="U3" s="4">
        <v>83.867999999999995</v>
      </c>
    </row>
    <row r="4" spans="1:21" x14ac:dyDescent="0.25">
      <c r="A4" t="s">
        <v>21</v>
      </c>
      <c r="B4" t="s">
        <v>22</v>
      </c>
      <c r="C4" s="2">
        <v>83.772759495080081</v>
      </c>
      <c r="D4" s="3">
        <v>3</v>
      </c>
      <c r="E4" s="4">
        <v>99.837999999999994</v>
      </c>
      <c r="F4" s="4">
        <v>61.113000000000007</v>
      </c>
      <c r="G4" s="4">
        <v>94.896857142857158</v>
      </c>
      <c r="H4" s="4">
        <v>98.08194871794872</v>
      </c>
      <c r="I4" s="4">
        <v>91.232249999999993</v>
      </c>
      <c r="J4" s="4">
        <v>94.440599999999989</v>
      </c>
      <c r="K4" s="4">
        <v>96.322000000000003</v>
      </c>
      <c r="L4" s="4">
        <v>85.665400000000005</v>
      </c>
      <c r="M4" s="4">
        <v>93.881500000000003</v>
      </c>
      <c r="N4" s="4">
        <v>96.748999999999995</v>
      </c>
      <c r="O4" s="4">
        <v>85.367999999999995</v>
      </c>
      <c r="P4" s="4">
        <v>54.681333333333328</v>
      </c>
      <c r="Q4" s="4">
        <v>61.098000000000006</v>
      </c>
      <c r="R4" s="4">
        <v>62.779599999999995</v>
      </c>
      <c r="S4" s="4">
        <v>85.05019999999999</v>
      </c>
      <c r="T4" s="4">
        <v>94.458222222222219</v>
      </c>
      <c r="U4" s="4">
        <v>68.480999999999995</v>
      </c>
    </row>
    <row r="5" spans="1:21" x14ac:dyDescent="0.25">
      <c r="A5" t="s">
        <v>31</v>
      </c>
      <c r="B5" t="s">
        <v>32</v>
      </c>
      <c r="C5" s="2">
        <v>81.128541241111833</v>
      </c>
      <c r="D5" s="3">
        <v>4</v>
      </c>
      <c r="E5" s="4">
        <v>99.543000000000006</v>
      </c>
      <c r="F5" s="4">
        <v>70.337857142857146</v>
      </c>
      <c r="G5" s="4">
        <v>92.58442857142856</v>
      </c>
      <c r="H5" s="4">
        <v>99.459282051282045</v>
      </c>
      <c r="I5" s="4">
        <v>86.716500000000011</v>
      </c>
      <c r="J5" s="4">
        <v>85.992599999999996</v>
      </c>
      <c r="K5" s="4">
        <v>96.762666666666675</v>
      </c>
      <c r="L5" s="4">
        <v>78.452600000000004</v>
      </c>
      <c r="M5" s="4">
        <v>86.231333333333339</v>
      </c>
      <c r="N5" s="4">
        <v>83.623000000000005</v>
      </c>
      <c r="O5" s="4">
        <v>89.432000000000002</v>
      </c>
      <c r="P5" s="4">
        <v>57.418000000000006</v>
      </c>
      <c r="Q5" s="4">
        <v>73.943666666666672</v>
      </c>
      <c r="R5" s="4">
        <v>67.637200000000007</v>
      </c>
      <c r="S5" s="4">
        <v>70.802400000000006</v>
      </c>
      <c r="T5" s="4">
        <v>73.976333333333343</v>
      </c>
      <c r="U5" s="4">
        <v>66.272333333333336</v>
      </c>
    </row>
    <row r="6" spans="1:21" x14ac:dyDescent="0.25">
      <c r="A6" t="s">
        <v>27</v>
      </c>
      <c r="B6" t="s">
        <v>28</v>
      </c>
      <c r="C6" s="2">
        <v>80.77438596566833</v>
      </c>
      <c r="D6" s="3">
        <v>5</v>
      </c>
      <c r="E6" s="4">
        <v>99.635999999999996</v>
      </c>
      <c r="F6" s="4">
        <v>70.047714285714278</v>
      </c>
      <c r="G6" s="4">
        <v>93.473142857142861</v>
      </c>
      <c r="H6" s="4">
        <v>98.330615384615385</v>
      </c>
      <c r="I6" s="4">
        <v>77.346000000000004</v>
      </c>
      <c r="J6" s="4">
        <v>84.495800000000003</v>
      </c>
      <c r="K6" s="4">
        <v>93.429333333333332</v>
      </c>
      <c r="L6" s="4">
        <v>84.962599999999995</v>
      </c>
      <c r="M6" s="4">
        <v>92.308333333333337</v>
      </c>
      <c r="N6" s="4">
        <v>82.408000000000001</v>
      </c>
      <c r="O6" s="4">
        <v>88.995000000000005</v>
      </c>
      <c r="P6" s="4">
        <v>52.434333333333335</v>
      </c>
      <c r="Q6" s="4">
        <v>62.437333333333335</v>
      </c>
      <c r="R6" s="4">
        <v>52.420800000000007</v>
      </c>
      <c r="S6" s="4">
        <v>79.328000000000003</v>
      </c>
      <c r="T6" s="4">
        <v>81.89255555555556</v>
      </c>
      <c r="U6" s="4">
        <v>79.218999999999994</v>
      </c>
    </row>
    <row r="7" spans="1:21" x14ac:dyDescent="0.25">
      <c r="A7" t="s">
        <v>33</v>
      </c>
      <c r="B7" t="s">
        <v>34</v>
      </c>
      <c r="C7" s="2">
        <v>80.757919439057687</v>
      </c>
      <c r="D7" s="3">
        <v>6</v>
      </c>
      <c r="E7" s="4">
        <v>99.48</v>
      </c>
      <c r="F7" s="4">
        <v>59.215714285714292</v>
      </c>
      <c r="G7" s="4">
        <v>97.079928571428567</v>
      </c>
      <c r="H7" s="4">
        <v>99.048615384615388</v>
      </c>
      <c r="I7" s="4">
        <v>87.828249999999997</v>
      </c>
      <c r="J7" s="4">
        <v>80.404200000000003</v>
      </c>
      <c r="K7" s="4">
        <v>98.661000000000001</v>
      </c>
      <c r="L7" s="4">
        <v>82.818600000000004</v>
      </c>
      <c r="M7" s="4">
        <v>91.288833333333329</v>
      </c>
      <c r="N7" s="4">
        <v>100</v>
      </c>
      <c r="O7" s="4">
        <v>87.241</v>
      </c>
      <c r="P7" s="4">
        <v>44.540666666666674</v>
      </c>
      <c r="Q7" s="4">
        <v>20.932333333333336</v>
      </c>
      <c r="R7" s="4">
        <v>66.904600000000002</v>
      </c>
      <c r="S7" s="4">
        <v>70.106000000000009</v>
      </c>
      <c r="T7" s="4">
        <v>87.705222222222218</v>
      </c>
      <c r="U7" s="4">
        <v>99.629666666666665</v>
      </c>
    </row>
    <row r="8" spans="1:21" x14ac:dyDescent="0.25">
      <c r="A8" t="s">
        <v>29</v>
      </c>
      <c r="B8" t="s">
        <v>30</v>
      </c>
      <c r="C8" s="2">
        <v>80.698546306830437</v>
      </c>
      <c r="D8" s="3">
        <v>7</v>
      </c>
      <c r="E8" s="4">
        <v>99.192000000000007</v>
      </c>
      <c r="F8" s="4">
        <v>71.622142857142862</v>
      </c>
      <c r="G8" s="4">
        <v>92.054692307692292</v>
      </c>
      <c r="H8" s="4">
        <v>98.219615384615395</v>
      </c>
      <c r="I8" s="4">
        <v>81.967250000000007</v>
      </c>
      <c r="J8" s="4">
        <v>89.599400000000003</v>
      </c>
      <c r="K8" s="4">
        <v>94.124333333333325</v>
      </c>
      <c r="L8" s="4">
        <v>83.285600000000002</v>
      </c>
      <c r="M8" s="4">
        <v>93.39233333333334</v>
      </c>
      <c r="N8" s="4">
        <v>87.417000000000002</v>
      </c>
      <c r="O8" s="4">
        <v>88.40100000000001</v>
      </c>
      <c r="P8" s="4">
        <v>46.713166666666666</v>
      </c>
      <c r="Q8" s="4">
        <v>56.46</v>
      </c>
      <c r="S8" s="4">
        <v>73.018200000000007</v>
      </c>
      <c r="T8" s="4">
        <v>93.722444444444449</v>
      </c>
      <c r="U8" s="4">
        <v>63.345333333333336</v>
      </c>
    </row>
    <row r="9" spans="1:21" x14ac:dyDescent="0.25">
      <c r="A9" t="s">
        <v>435</v>
      </c>
      <c r="B9" t="s">
        <v>36</v>
      </c>
      <c r="C9" s="2">
        <v>80.576676451195866</v>
      </c>
      <c r="D9" s="3">
        <v>8</v>
      </c>
      <c r="E9" s="4">
        <v>99.415000000000006</v>
      </c>
      <c r="F9" s="4">
        <v>63.981142857142864</v>
      </c>
      <c r="G9" s="4">
        <v>90.956071428571434</v>
      </c>
      <c r="H9" s="4">
        <v>97.652615384615387</v>
      </c>
      <c r="I9" s="4">
        <v>72.556250000000006</v>
      </c>
      <c r="J9" s="4">
        <v>85.545600000000007</v>
      </c>
      <c r="K9" s="4">
        <v>91.933333333333337</v>
      </c>
      <c r="L9" s="4">
        <v>85.982399999999998</v>
      </c>
      <c r="M9" s="4">
        <v>78.439000000000007</v>
      </c>
      <c r="N9" s="4">
        <v>92.977000000000004</v>
      </c>
      <c r="O9" s="4">
        <v>89.085333333333324</v>
      </c>
      <c r="P9" s="4">
        <v>69.284333333333336</v>
      </c>
      <c r="Q9" s="4">
        <v>68.921333333333337</v>
      </c>
      <c r="S9" s="4">
        <v>92.056200000000004</v>
      </c>
      <c r="T9" s="4">
        <v>81.563111111111127</v>
      </c>
      <c r="U9" s="4">
        <v>50.113999999999997</v>
      </c>
    </row>
    <row r="10" spans="1:21" x14ac:dyDescent="0.25">
      <c r="A10" t="s">
        <v>59</v>
      </c>
      <c r="B10" t="s">
        <v>60</v>
      </c>
      <c r="C10" s="2">
        <v>80.371472053436776</v>
      </c>
      <c r="D10" s="3">
        <v>9</v>
      </c>
      <c r="E10" s="4">
        <v>99.613</v>
      </c>
      <c r="F10" s="4">
        <v>66.666857142857154</v>
      </c>
      <c r="G10" s="4">
        <v>95.416285714285735</v>
      </c>
      <c r="H10" s="4">
        <v>99.443615384615399</v>
      </c>
      <c r="I10" s="4">
        <v>80.288499999999999</v>
      </c>
      <c r="J10" s="4">
        <v>88.62660000000001</v>
      </c>
      <c r="K10" s="4">
        <v>92.113</v>
      </c>
      <c r="L10" s="4">
        <v>84.082199999999986</v>
      </c>
      <c r="M10" s="4">
        <v>89.903666666666666</v>
      </c>
      <c r="N10" s="4">
        <v>96.213999999999999</v>
      </c>
      <c r="O10" s="4">
        <v>92.578666666666663</v>
      </c>
      <c r="P10" s="4">
        <v>47.709833333333336</v>
      </c>
      <c r="Q10" s="4">
        <v>56.019333333333329</v>
      </c>
      <c r="R10" s="4">
        <v>51.370600000000003</v>
      </c>
      <c r="S10" s="4">
        <v>81.787200000000013</v>
      </c>
      <c r="T10" s="4">
        <v>82.930999999999997</v>
      </c>
      <c r="U10" s="4">
        <v>61.550666666666672</v>
      </c>
    </row>
    <row r="11" spans="1:21" x14ac:dyDescent="0.25">
      <c r="A11" t="s">
        <v>39</v>
      </c>
      <c r="B11" t="s">
        <v>40</v>
      </c>
      <c r="C11" s="2">
        <v>80.061000233426725</v>
      </c>
      <c r="D11" s="3">
        <v>10</v>
      </c>
      <c r="E11" s="4">
        <v>99.704000000000008</v>
      </c>
      <c r="F11" s="4">
        <v>61.508428571428567</v>
      </c>
      <c r="G11" s="4">
        <v>87.099714285714299</v>
      </c>
      <c r="H11" s="4">
        <v>96.722666666666669</v>
      </c>
      <c r="I11" s="4">
        <v>76.333749999999995</v>
      </c>
      <c r="J11" s="4">
        <v>88.497800000000012</v>
      </c>
      <c r="K11" s="4">
        <v>90.22</v>
      </c>
      <c r="L11" s="4">
        <v>88.011600000000016</v>
      </c>
      <c r="M11" s="4">
        <v>74.35466666666666</v>
      </c>
      <c r="N11" s="4">
        <v>79.231000000000009</v>
      </c>
      <c r="O11" s="4">
        <v>91.257333333333335</v>
      </c>
      <c r="P11" s="4">
        <v>59.379333333333328</v>
      </c>
      <c r="Q11" s="4">
        <v>57.701000000000001</v>
      </c>
      <c r="R11" s="4">
        <v>82.593999999999994</v>
      </c>
      <c r="S11" s="4">
        <v>96.241599999999991</v>
      </c>
      <c r="T11" s="4">
        <v>88.662777777777791</v>
      </c>
      <c r="U11" s="4">
        <v>43.51733333333334</v>
      </c>
    </row>
    <row r="12" spans="1:21" x14ac:dyDescent="0.25">
      <c r="A12" t="s">
        <v>57</v>
      </c>
      <c r="B12" t="s">
        <v>58</v>
      </c>
      <c r="C12" s="2">
        <v>79.955404313007236</v>
      </c>
      <c r="D12" s="3">
        <v>11</v>
      </c>
      <c r="E12" s="4">
        <v>99.543000000000006</v>
      </c>
      <c r="F12" s="4">
        <v>69.369285714285724</v>
      </c>
      <c r="G12" s="4">
        <v>92.730166666666662</v>
      </c>
      <c r="H12" s="4">
        <v>98.3666153846154</v>
      </c>
      <c r="I12" s="4">
        <v>85.228999999999985</v>
      </c>
      <c r="J12" s="4">
        <v>71.732200000000006</v>
      </c>
      <c r="K12" s="4">
        <v>93.689333333333323</v>
      </c>
      <c r="L12" s="4">
        <v>82.412599999999998</v>
      </c>
      <c r="M12" s="4">
        <v>89.037999999999997</v>
      </c>
      <c r="N12" s="4">
        <v>94.772000000000006</v>
      </c>
      <c r="O12" s="4">
        <v>83.865333333333339</v>
      </c>
      <c r="P12" s="4">
        <v>55.770166666666675</v>
      </c>
      <c r="Q12" s="4">
        <v>62.818999999999996</v>
      </c>
      <c r="R12" s="4">
        <v>46.58775</v>
      </c>
      <c r="S12" s="4">
        <v>84.319199999999995</v>
      </c>
      <c r="T12" s="4">
        <v>84.862555555555559</v>
      </c>
      <c r="U12" s="4">
        <v>64.135666666666665</v>
      </c>
    </row>
    <row r="13" spans="1:21" x14ac:dyDescent="0.25">
      <c r="A13" t="s">
        <v>45</v>
      </c>
      <c r="B13" t="s">
        <v>46</v>
      </c>
      <c r="C13" s="2">
        <v>79.800248858004736</v>
      </c>
      <c r="D13" s="3">
        <v>12</v>
      </c>
      <c r="E13" s="4">
        <v>99.669499999999999</v>
      </c>
      <c r="F13" s="4">
        <v>66.370285714285728</v>
      </c>
      <c r="G13" s="4">
        <v>91.533461538461552</v>
      </c>
      <c r="H13" s="4">
        <v>97.580666666666673</v>
      </c>
      <c r="I13" s="4">
        <v>77.101249999999993</v>
      </c>
      <c r="J13" s="4">
        <v>92.556600000000017</v>
      </c>
      <c r="K13" s="4">
        <v>93.737000000000009</v>
      </c>
      <c r="L13" s="4">
        <v>88.118799999999993</v>
      </c>
      <c r="M13" s="4">
        <v>73.194999999999993</v>
      </c>
      <c r="N13" s="4">
        <v>100</v>
      </c>
      <c r="O13" s="4">
        <v>83.22966666666666</v>
      </c>
      <c r="P13" s="4">
        <v>57.323000000000008</v>
      </c>
      <c r="Q13" s="4">
        <v>63.559000000000005</v>
      </c>
      <c r="R13" s="4">
        <v>46.266999999999996</v>
      </c>
      <c r="S13" s="4">
        <v>84.881</v>
      </c>
      <c r="T13" s="4">
        <v>86.96833333333332</v>
      </c>
      <c r="U13" s="4">
        <v>54.513666666666666</v>
      </c>
    </row>
    <row r="14" spans="1:21" x14ac:dyDescent="0.25">
      <c r="A14" t="s">
        <v>41</v>
      </c>
      <c r="B14" t="s">
        <v>42</v>
      </c>
      <c r="C14" s="2">
        <v>79.789097030094084</v>
      </c>
      <c r="D14" s="3">
        <v>13</v>
      </c>
      <c r="E14" s="4">
        <v>99.692499999999995</v>
      </c>
      <c r="F14" s="4">
        <v>67.454428571428579</v>
      </c>
      <c r="G14" s="4">
        <v>93.616583333333338</v>
      </c>
      <c r="H14" s="4">
        <v>97.977282051282074</v>
      </c>
      <c r="I14" s="4">
        <v>84.304500000000004</v>
      </c>
      <c r="J14" s="4">
        <v>92.44980000000001</v>
      </c>
      <c r="K14" s="4">
        <v>93.63266666666668</v>
      </c>
      <c r="L14" s="4">
        <v>82.272600000000011</v>
      </c>
      <c r="M14" s="4">
        <v>89.757000000000005</v>
      </c>
      <c r="N14" s="4">
        <v>73.307000000000002</v>
      </c>
      <c r="O14" s="4">
        <v>90.991</v>
      </c>
      <c r="P14" s="4">
        <v>53.301666666666669</v>
      </c>
      <c r="Q14" s="4">
        <v>59.137666666666668</v>
      </c>
      <c r="R14" s="4">
        <v>64.730199999999996</v>
      </c>
      <c r="S14" s="4">
        <v>76.836200000000005</v>
      </c>
      <c r="T14" s="4">
        <v>85.13355555555556</v>
      </c>
      <c r="U14" s="4">
        <v>51.82</v>
      </c>
    </row>
    <row r="15" spans="1:21" x14ac:dyDescent="0.25">
      <c r="A15" t="s">
        <v>53</v>
      </c>
      <c r="B15" t="s">
        <v>54</v>
      </c>
      <c r="C15" s="2">
        <v>79.381031017022195</v>
      </c>
      <c r="D15" s="3">
        <v>14</v>
      </c>
      <c r="E15" s="4">
        <v>99.686000000000007</v>
      </c>
      <c r="F15" s="4">
        <v>75.765714285714282</v>
      </c>
      <c r="G15" s="4">
        <v>93.762714285714281</v>
      </c>
      <c r="H15" s="4">
        <v>99.745948717948707</v>
      </c>
      <c r="I15" s="4">
        <v>73.911749999999998</v>
      </c>
      <c r="J15" s="4">
        <v>87.28540000000001</v>
      </c>
      <c r="K15" s="4">
        <v>93.078999999999994</v>
      </c>
      <c r="L15" s="4">
        <v>86.474600000000009</v>
      </c>
      <c r="M15" s="4">
        <v>81.557500000000005</v>
      </c>
      <c r="N15" s="4">
        <v>84.096000000000004</v>
      </c>
      <c r="O15" s="4">
        <v>86.249333333333325</v>
      </c>
      <c r="P15" s="4">
        <v>44.302166666666665</v>
      </c>
      <c r="Q15" s="4">
        <v>60.244333333333337</v>
      </c>
      <c r="R15" s="4">
        <v>61.343800000000009</v>
      </c>
      <c r="S15" s="4">
        <v>89.651600000000002</v>
      </c>
      <c r="T15" s="4">
        <v>90.572333333333333</v>
      </c>
      <c r="U15" s="4">
        <v>41.749333333333333</v>
      </c>
    </row>
    <row r="16" spans="1:21" x14ac:dyDescent="0.25">
      <c r="A16" t="s">
        <v>49</v>
      </c>
      <c r="B16" t="s">
        <v>50</v>
      </c>
      <c r="C16" s="2">
        <v>79.350896802413288</v>
      </c>
      <c r="D16" s="3">
        <v>15</v>
      </c>
      <c r="E16" s="4">
        <v>99.881</v>
      </c>
      <c r="F16" s="4">
        <v>67.547000000000011</v>
      </c>
      <c r="G16" s="4">
        <v>96.587076923076907</v>
      </c>
      <c r="H16" s="4">
        <v>99.597948717948725</v>
      </c>
      <c r="I16" s="4">
        <v>83.833500000000001</v>
      </c>
      <c r="J16" s="4">
        <v>89.801599999999993</v>
      </c>
      <c r="K16" s="4">
        <v>96.36733333333332</v>
      </c>
      <c r="L16" s="4">
        <v>79.440599999999989</v>
      </c>
      <c r="M16" s="4">
        <v>96.6785</v>
      </c>
      <c r="N16" s="4">
        <v>80.918000000000006</v>
      </c>
      <c r="O16" s="4">
        <v>97.991666666666674</v>
      </c>
      <c r="P16" s="4">
        <v>40.29066666666666</v>
      </c>
      <c r="Q16" s="4">
        <v>61.17733333333333</v>
      </c>
      <c r="S16" s="4">
        <v>65.394800000000004</v>
      </c>
      <c r="T16" s="4">
        <v>82.694111111111113</v>
      </c>
      <c r="U16" s="4">
        <v>51.423333333333339</v>
      </c>
    </row>
    <row r="17" spans="1:21" x14ac:dyDescent="0.25">
      <c r="A17" t="s">
        <v>73</v>
      </c>
      <c r="B17" t="s">
        <v>74</v>
      </c>
      <c r="C17" s="2">
        <v>79.202936130440122</v>
      </c>
      <c r="D17" s="3">
        <v>16</v>
      </c>
      <c r="E17" s="4">
        <v>99.973500000000001</v>
      </c>
      <c r="F17" s="4">
        <v>66.611428571428561</v>
      </c>
      <c r="G17" s="4">
        <v>93.183142857142869</v>
      </c>
      <c r="I17" s="4">
        <v>85.335250000000002</v>
      </c>
      <c r="J17" s="4">
        <v>92.337400000000002</v>
      </c>
      <c r="K17" s="4">
        <v>95.762666666666675</v>
      </c>
      <c r="L17" s="4">
        <v>87.154000000000011</v>
      </c>
      <c r="M17" s="4">
        <v>87.307833333333335</v>
      </c>
      <c r="O17" s="4">
        <v>81.967666666666673</v>
      </c>
      <c r="P17" s="4">
        <v>43.811333333333344</v>
      </c>
      <c r="Q17" s="4">
        <v>68.63600000000001</v>
      </c>
      <c r="R17" s="4">
        <v>61.790600000000005</v>
      </c>
      <c r="S17" s="4">
        <v>49.5458</v>
      </c>
      <c r="T17" s="4">
        <v>91.785222222222217</v>
      </c>
      <c r="U17" s="4">
        <v>68.583666666666673</v>
      </c>
    </row>
    <row r="18" spans="1:21" x14ac:dyDescent="0.25">
      <c r="A18" t="s">
        <v>61</v>
      </c>
      <c r="B18" t="s">
        <v>62</v>
      </c>
      <c r="C18" s="2">
        <v>79.166125228039945</v>
      </c>
      <c r="D18" s="3">
        <v>17</v>
      </c>
      <c r="E18" s="4">
        <v>98.991500000000002</v>
      </c>
      <c r="F18" s="4">
        <v>74.117571428571424</v>
      </c>
      <c r="G18" s="4">
        <v>94.136714285714291</v>
      </c>
      <c r="H18" s="4">
        <v>99.745948717948707</v>
      </c>
      <c r="I18" s="4">
        <v>58.759749999999997</v>
      </c>
      <c r="J18" s="4">
        <v>84.869</v>
      </c>
      <c r="K18" s="4">
        <v>93.51400000000001</v>
      </c>
      <c r="L18" s="4">
        <v>86.831400000000002</v>
      </c>
      <c r="M18" s="4">
        <v>90.409666666666666</v>
      </c>
      <c r="N18" s="4">
        <v>76.935000000000002</v>
      </c>
      <c r="O18" s="4">
        <v>76.673000000000002</v>
      </c>
      <c r="P18" s="4">
        <v>69.090333333333334</v>
      </c>
      <c r="Q18" s="4">
        <v>68.593666666666664</v>
      </c>
      <c r="R18" s="4">
        <v>52.366</v>
      </c>
      <c r="S18" s="4">
        <v>64.836800000000011</v>
      </c>
      <c r="T18" s="4">
        <v>90.430111111111103</v>
      </c>
      <c r="U18" s="4">
        <v>65.523666666666671</v>
      </c>
    </row>
    <row r="19" spans="1:21" x14ac:dyDescent="0.25">
      <c r="A19" t="s">
        <v>87</v>
      </c>
      <c r="B19" t="s">
        <v>88</v>
      </c>
      <c r="C19" s="2">
        <v>78.759140609880319</v>
      </c>
      <c r="D19" s="3">
        <v>18</v>
      </c>
      <c r="E19" s="4">
        <v>99.911500000000004</v>
      </c>
      <c r="F19" s="4">
        <v>61.329000000000008</v>
      </c>
      <c r="G19" s="4">
        <v>83.077571428571432</v>
      </c>
      <c r="H19" s="4">
        <v>95.372333333333344</v>
      </c>
      <c r="I19" s="4">
        <v>80.841999999999999</v>
      </c>
      <c r="J19" s="4">
        <v>79.721400000000003</v>
      </c>
      <c r="K19" s="4">
        <v>89.98</v>
      </c>
      <c r="L19" s="4">
        <v>75.394800000000004</v>
      </c>
      <c r="M19" s="4">
        <v>43.685333333333325</v>
      </c>
      <c r="N19" s="4">
        <v>85.372</v>
      </c>
      <c r="O19" s="4">
        <v>80.406000000000006</v>
      </c>
      <c r="P19" s="4">
        <v>87.67</v>
      </c>
      <c r="Q19" s="4">
        <v>90.656000000000006</v>
      </c>
      <c r="S19" s="4">
        <v>78.7898</v>
      </c>
      <c r="T19" s="4">
        <v>73.198875000000001</v>
      </c>
      <c r="U19" s="4">
        <v>74.581000000000003</v>
      </c>
    </row>
    <row r="20" spans="1:21" x14ac:dyDescent="0.25">
      <c r="A20" t="s">
        <v>43</v>
      </c>
      <c r="B20" t="s">
        <v>44</v>
      </c>
      <c r="C20" s="2">
        <v>78.400594187675082</v>
      </c>
      <c r="D20" s="3">
        <v>19</v>
      </c>
      <c r="E20" s="4">
        <v>98.466000000000008</v>
      </c>
      <c r="F20" s="4">
        <v>68.839285714285722</v>
      </c>
      <c r="G20" s="4">
        <v>86.053357142857152</v>
      </c>
      <c r="H20" s="4">
        <v>88.39266666666667</v>
      </c>
      <c r="I20" s="4">
        <v>61.872250000000001</v>
      </c>
      <c r="J20" s="4">
        <v>86.792600000000007</v>
      </c>
      <c r="K20" s="4">
        <v>89.466000000000008</v>
      </c>
      <c r="L20" s="4">
        <v>81.048000000000002</v>
      </c>
      <c r="M20" s="4">
        <v>62.59</v>
      </c>
      <c r="N20" s="4">
        <v>74.423000000000002</v>
      </c>
      <c r="O20" s="4">
        <v>76.040000000000006</v>
      </c>
      <c r="P20" s="4">
        <v>70.407833333333329</v>
      </c>
      <c r="Q20" s="4">
        <v>79.577333333333343</v>
      </c>
      <c r="R20" s="4">
        <v>79.286599999999993</v>
      </c>
      <c r="S20" s="4">
        <v>84.240800000000007</v>
      </c>
      <c r="T20" s="4">
        <v>73.745874999999998</v>
      </c>
      <c r="U20" s="4">
        <v>71.5685</v>
      </c>
    </row>
    <row r="21" spans="1:21" x14ac:dyDescent="0.25">
      <c r="A21" t="s">
        <v>81</v>
      </c>
      <c r="B21" t="s">
        <v>82</v>
      </c>
      <c r="C21" s="2">
        <v>78.341552887308779</v>
      </c>
      <c r="D21" s="3">
        <v>20</v>
      </c>
      <c r="E21" s="4">
        <v>99.024500000000003</v>
      </c>
      <c r="F21" s="4">
        <v>80.244428571428571</v>
      </c>
      <c r="G21" s="4">
        <v>91.706538461538457</v>
      </c>
      <c r="H21" s="4">
        <v>96.789615384615388</v>
      </c>
      <c r="I21" s="4">
        <v>65.489999999999995</v>
      </c>
      <c r="J21" s="4">
        <v>75.233200000000011</v>
      </c>
      <c r="K21" s="4">
        <v>92.481000000000009</v>
      </c>
      <c r="L21" s="4">
        <v>85.769800000000004</v>
      </c>
      <c r="M21" s="4">
        <v>98.761666666666656</v>
      </c>
      <c r="N21" s="4">
        <v>86.504000000000005</v>
      </c>
      <c r="O21" s="4">
        <v>80.724500000000006</v>
      </c>
      <c r="P21" s="4">
        <v>71.594333333333324</v>
      </c>
      <c r="Q21" s="4">
        <v>65.302999999999997</v>
      </c>
      <c r="R21" s="4">
        <v>58.007000000000005</v>
      </c>
      <c r="S21" s="4">
        <v>54.445400000000006</v>
      </c>
      <c r="T21" s="4">
        <v>75.143749999999997</v>
      </c>
      <c r="U21" s="4">
        <v>54.583666666666666</v>
      </c>
    </row>
    <row r="22" spans="1:21" x14ac:dyDescent="0.25">
      <c r="A22" t="s">
        <v>71</v>
      </c>
      <c r="B22" t="s">
        <v>72</v>
      </c>
      <c r="C22" s="2">
        <v>78.189728043525093</v>
      </c>
      <c r="D22" s="3">
        <v>21</v>
      </c>
      <c r="E22" s="4">
        <v>99.229500000000002</v>
      </c>
      <c r="F22" s="4">
        <v>63.837285714285713</v>
      </c>
      <c r="G22" s="4">
        <v>94.133692307692314</v>
      </c>
      <c r="H22" s="4">
        <v>99.745948717948707</v>
      </c>
      <c r="I22" s="4">
        <v>81.513249999999999</v>
      </c>
      <c r="J22" s="4">
        <v>85.899799999999999</v>
      </c>
      <c r="K22" s="4">
        <v>95.169333333333327</v>
      </c>
      <c r="L22" s="4">
        <v>84.335199999999986</v>
      </c>
      <c r="M22" s="4">
        <v>84.570333333333338</v>
      </c>
      <c r="N22" s="4">
        <v>78.847999999999999</v>
      </c>
      <c r="O22" s="4">
        <v>87.198666666666668</v>
      </c>
      <c r="P22" s="4">
        <v>51.178166666666669</v>
      </c>
      <c r="Q22" s="4">
        <v>53.079666666666668</v>
      </c>
      <c r="R22" s="4">
        <v>59.147799999999997</v>
      </c>
      <c r="S22" s="4">
        <v>59.048400000000001</v>
      </c>
      <c r="T22" s="4">
        <v>86.66</v>
      </c>
      <c r="U22" s="4">
        <v>65.630333333333326</v>
      </c>
    </row>
    <row r="23" spans="1:21" x14ac:dyDescent="0.25">
      <c r="A23" t="s">
        <v>51</v>
      </c>
      <c r="B23" t="s">
        <v>52</v>
      </c>
      <c r="C23" s="2">
        <v>78.110660313869147</v>
      </c>
      <c r="D23" s="3">
        <v>22</v>
      </c>
      <c r="E23" s="4">
        <v>98.078000000000003</v>
      </c>
      <c r="F23" s="4">
        <v>57.304142857142857</v>
      </c>
      <c r="G23" s="4">
        <v>93.609076923076927</v>
      </c>
      <c r="H23" s="4">
        <v>96.661000000000001</v>
      </c>
      <c r="I23" s="4">
        <v>85.141750000000002</v>
      </c>
      <c r="J23" s="4">
        <v>86.263400000000004</v>
      </c>
      <c r="K23" s="4">
        <v>94.491666666666674</v>
      </c>
      <c r="L23" s="4">
        <v>75.202799999999996</v>
      </c>
      <c r="M23" s="4">
        <v>85.705666666666673</v>
      </c>
      <c r="N23" s="4">
        <v>68.867999999999995</v>
      </c>
      <c r="O23" s="4">
        <v>87.87266666666666</v>
      </c>
      <c r="P23" s="4">
        <v>62.285166666666669</v>
      </c>
      <c r="Q23" s="4">
        <v>78.526666666666671</v>
      </c>
      <c r="R23" s="4">
        <v>61.194000000000003</v>
      </c>
      <c r="S23" s="4">
        <v>64.891000000000005</v>
      </c>
      <c r="T23" s="4">
        <v>79.643555555555551</v>
      </c>
      <c r="U23" s="4">
        <v>52.142666666666663</v>
      </c>
    </row>
    <row r="24" spans="1:21" x14ac:dyDescent="0.25">
      <c r="A24" t="s">
        <v>37</v>
      </c>
      <c r="B24" t="s">
        <v>38</v>
      </c>
      <c r="C24" s="2">
        <v>78.09870441313781</v>
      </c>
      <c r="D24" s="3">
        <v>23</v>
      </c>
      <c r="E24" s="4">
        <v>99.908500000000004</v>
      </c>
      <c r="F24" s="4">
        <v>65.344000000000008</v>
      </c>
      <c r="G24" s="4">
        <v>86.066571428571436</v>
      </c>
      <c r="H24" s="4">
        <v>98.227264705882348</v>
      </c>
      <c r="I24" s="4">
        <v>71.388750000000002</v>
      </c>
      <c r="J24" s="4">
        <v>84.522600000000011</v>
      </c>
      <c r="K24" s="4">
        <v>89.242999999999995</v>
      </c>
      <c r="L24" s="4">
        <v>85.88</v>
      </c>
      <c r="M24" s="4">
        <v>69.282333333333327</v>
      </c>
      <c r="N24" s="4">
        <v>56.481999999999999</v>
      </c>
      <c r="O24" s="4">
        <v>83.104333333333344</v>
      </c>
      <c r="P24" s="4">
        <v>75.698333333333338</v>
      </c>
      <c r="Q24" s="4">
        <v>78.003666666666675</v>
      </c>
      <c r="R24" s="4">
        <v>55.249199999999995</v>
      </c>
      <c r="S24" s="4">
        <v>92.380200000000002</v>
      </c>
      <c r="T24" s="4">
        <v>82.299888888888901</v>
      </c>
      <c r="U24" s="4">
        <v>54.597333333333331</v>
      </c>
    </row>
    <row r="25" spans="1:21" x14ac:dyDescent="0.25">
      <c r="A25" t="s">
        <v>47</v>
      </c>
      <c r="B25" t="s">
        <v>48</v>
      </c>
      <c r="C25" s="2">
        <v>77.734046545284755</v>
      </c>
      <c r="D25" s="3">
        <v>24</v>
      </c>
      <c r="E25" s="4">
        <v>98.753999999999991</v>
      </c>
      <c r="F25" s="4">
        <v>63.936285714285724</v>
      </c>
      <c r="G25" s="4">
        <v>83.286500000000018</v>
      </c>
      <c r="H25" s="4">
        <v>98.051000000000002</v>
      </c>
      <c r="I25" s="4">
        <v>77.220749999999995</v>
      </c>
      <c r="J25" s="4">
        <v>92.460399999999993</v>
      </c>
      <c r="K25" s="4">
        <v>93.28166666666668</v>
      </c>
      <c r="L25" s="4">
        <v>85.807400000000001</v>
      </c>
      <c r="M25" s="4">
        <v>59.975500000000004</v>
      </c>
      <c r="N25" s="4">
        <v>67.439000000000007</v>
      </c>
      <c r="O25" s="4">
        <v>87.35199999999999</v>
      </c>
      <c r="P25" s="4">
        <v>63.491999999999997</v>
      </c>
      <c r="Q25" s="4">
        <v>77.600666666666669</v>
      </c>
      <c r="R25" s="4">
        <v>60.689199999999992</v>
      </c>
      <c r="S25" s="4">
        <v>97.837199999999996</v>
      </c>
      <c r="T25" s="4">
        <v>78.150555555555556</v>
      </c>
      <c r="U25" s="4">
        <v>36.144666666666666</v>
      </c>
    </row>
    <row r="26" spans="1:21" x14ac:dyDescent="0.25">
      <c r="A26" t="s">
        <v>55</v>
      </c>
      <c r="B26" t="s">
        <v>56</v>
      </c>
      <c r="C26" s="2">
        <v>77.648565826330554</v>
      </c>
      <c r="D26" s="3">
        <v>25</v>
      </c>
      <c r="E26" s="4">
        <v>98.76400000000001</v>
      </c>
      <c r="F26" s="4">
        <v>58.940142857142867</v>
      </c>
      <c r="G26" s="4">
        <v>92.067142857142855</v>
      </c>
      <c r="H26" s="4">
        <v>98.204999999999998</v>
      </c>
      <c r="I26" s="4">
        <v>83.442999999999998</v>
      </c>
      <c r="J26" s="4">
        <v>85.485399999999998</v>
      </c>
      <c r="K26" s="4">
        <v>94.774000000000001</v>
      </c>
      <c r="L26" s="4">
        <v>82.536200000000008</v>
      </c>
      <c r="M26" s="4">
        <v>73.154333333333341</v>
      </c>
      <c r="N26" s="4">
        <v>58.768999999999998</v>
      </c>
      <c r="O26" s="4">
        <v>82.412666666666681</v>
      </c>
      <c r="P26" s="4">
        <v>62.526333333333334</v>
      </c>
      <c r="Q26" s="4">
        <v>76.932333333333332</v>
      </c>
      <c r="R26" s="4">
        <v>56.8658</v>
      </c>
      <c r="S26" s="4">
        <v>71.777600000000007</v>
      </c>
      <c r="T26" s="4">
        <v>86.278999999999996</v>
      </c>
      <c r="U26" s="4">
        <v>57.093666666666671</v>
      </c>
    </row>
    <row r="27" spans="1:21" x14ac:dyDescent="0.25">
      <c r="A27" t="s">
        <v>77</v>
      </c>
      <c r="B27" t="s">
        <v>78</v>
      </c>
      <c r="C27" s="2">
        <v>77.516800391438608</v>
      </c>
      <c r="D27" s="3">
        <v>26</v>
      </c>
      <c r="E27" s="4">
        <v>99.705500000000001</v>
      </c>
      <c r="F27" s="4">
        <v>62.059500000000014</v>
      </c>
      <c r="G27" s="4">
        <v>95.240785714285707</v>
      </c>
      <c r="H27" s="4">
        <v>98.597948717948725</v>
      </c>
      <c r="I27" s="4">
        <v>85.615333333333339</v>
      </c>
      <c r="J27" s="4">
        <v>74.643000000000001</v>
      </c>
      <c r="K27" s="4">
        <v>99.350333333333325</v>
      </c>
      <c r="L27" s="4">
        <v>83.063000000000002</v>
      </c>
      <c r="M27" s="4">
        <v>86.503666666666675</v>
      </c>
      <c r="N27" s="4">
        <v>93.793999999999997</v>
      </c>
      <c r="O27" s="4">
        <v>89.544333333333341</v>
      </c>
      <c r="P27" s="4">
        <v>27.679666666666666</v>
      </c>
      <c r="Q27" s="4">
        <v>55.646999999999998</v>
      </c>
      <c r="R27" s="4">
        <v>48.696399999999997</v>
      </c>
      <c r="S27" s="4">
        <v>51.401249999999997</v>
      </c>
      <c r="T27" s="4">
        <v>94.648222222222216</v>
      </c>
      <c r="U27" s="4">
        <v>71.595666666666673</v>
      </c>
    </row>
    <row r="28" spans="1:21" x14ac:dyDescent="0.25">
      <c r="A28" t="s">
        <v>65</v>
      </c>
      <c r="B28" t="s">
        <v>66</v>
      </c>
      <c r="C28" s="2">
        <v>77.510564826546002</v>
      </c>
      <c r="D28" s="3">
        <v>27</v>
      </c>
      <c r="E28" s="4">
        <v>98.231500000000011</v>
      </c>
      <c r="F28" s="4">
        <v>67.7427142857143</v>
      </c>
      <c r="G28" s="4">
        <v>87.328785714285715</v>
      </c>
      <c r="H28" s="4">
        <v>93.927615384615407</v>
      </c>
      <c r="I28" s="4">
        <v>69.507999999999996</v>
      </c>
      <c r="J28" s="4">
        <v>84.921000000000006</v>
      </c>
      <c r="K28" s="4">
        <v>91.808333333333337</v>
      </c>
      <c r="L28" s="4">
        <v>82.218400000000003</v>
      </c>
      <c r="M28" s="4">
        <v>61.26466666666667</v>
      </c>
      <c r="N28" s="4">
        <v>81.896000000000001</v>
      </c>
      <c r="O28" s="4">
        <v>81.573999999999998</v>
      </c>
      <c r="P28" s="4">
        <v>67.325166666666675</v>
      </c>
      <c r="Q28" s="4">
        <v>74.248000000000005</v>
      </c>
      <c r="S28" s="4">
        <v>87.985200000000006</v>
      </c>
      <c r="T28" s="4">
        <v>79.796111111111117</v>
      </c>
      <c r="U28" s="4">
        <v>48.563333333333333</v>
      </c>
    </row>
    <row r="29" spans="1:21" x14ac:dyDescent="0.25">
      <c r="A29" t="s">
        <v>79</v>
      </c>
      <c r="B29" t="s">
        <v>80</v>
      </c>
      <c r="C29" s="2">
        <v>77.419163118580755</v>
      </c>
      <c r="D29" s="3">
        <v>28</v>
      </c>
      <c r="E29" s="4">
        <v>98.956500000000005</v>
      </c>
      <c r="F29" s="4">
        <v>67.862857142857138</v>
      </c>
      <c r="G29" s="4">
        <v>85.545071428571433</v>
      </c>
      <c r="H29" s="4">
        <v>96.50200000000001</v>
      </c>
      <c r="I29" s="4">
        <v>70.688000000000002</v>
      </c>
      <c r="J29" s="4">
        <v>93.30619999999999</v>
      </c>
      <c r="K29" s="4">
        <v>90.995333333333335</v>
      </c>
      <c r="L29" s="4">
        <v>81.281199999999984</v>
      </c>
      <c r="M29" s="4">
        <v>61.125500000000009</v>
      </c>
      <c r="N29" s="4">
        <v>32.314999999999998</v>
      </c>
      <c r="O29" s="4">
        <v>80.304666666666677</v>
      </c>
      <c r="P29" s="4">
        <v>79.047833333333315</v>
      </c>
      <c r="Q29" s="4">
        <v>86.48566666666666</v>
      </c>
      <c r="R29" s="4">
        <v>73.406800000000004</v>
      </c>
      <c r="S29" s="4">
        <v>57.864200000000004</v>
      </c>
      <c r="T29" s="4">
        <v>76.00244444444445</v>
      </c>
      <c r="U29" s="4">
        <v>84.436499999999995</v>
      </c>
    </row>
    <row r="30" spans="1:21" x14ac:dyDescent="0.25">
      <c r="A30" t="s">
        <v>63</v>
      </c>
      <c r="B30" t="s">
        <v>64</v>
      </c>
      <c r="C30" s="2">
        <v>77.336211400560245</v>
      </c>
      <c r="D30" s="3">
        <v>29</v>
      </c>
      <c r="E30" s="4">
        <v>98.968000000000004</v>
      </c>
      <c r="F30" s="4">
        <v>68.04457142857143</v>
      </c>
      <c r="G30" s="4">
        <v>84.45578571428571</v>
      </c>
      <c r="H30" s="4">
        <v>94.245666666666679</v>
      </c>
      <c r="I30" s="4">
        <v>63.641249999999999</v>
      </c>
      <c r="J30" s="4">
        <v>88.715999999999994</v>
      </c>
      <c r="K30" s="4">
        <v>91.706333333333347</v>
      </c>
      <c r="L30" s="4">
        <v>83.157200000000003</v>
      </c>
      <c r="M30" s="4">
        <v>62.993666666666662</v>
      </c>
      <c r="N30" s="4">
        <v>76.558000000000007</v>
      </c>
      <c r="O30" s="4">
        <v>85.102333333333334</v>
      </c>
      <c r="P30" s="4">
        <v>72.957166666666666</v>
      </c>
      <c r="Q30" s="4">
        <v>81.74166666666666</v>
      </c>
      <c r="S30" s="4">
        <v>88.935400000000001</v>
      </c>
      <c r="T30" s="4">
        <v>75.367111111111114</v>
      </c>
      <c r="U30" s="4">
        <v>38.784666666666666</v>
      </c>
    </row>
    <row r="31" spans="1:21" x14ac:dyDescent="0.25">
      <c r="A31" t="s">
        <v>67</v>
      </c>
      <c r="B31" t="s">
        <v>68</v>
      </c>
      <c r="C31" s="2">
        <v>77.011800280112041</v>
      </c>
      <c r="D31" s="3">
        <v>30</v>
      </c>
      <c r="E31" s="4">
        <v>97.307999999999993</v>
      </c>
      <c r="F31" s="4">
        <v>66.93485714285714</v>
      </c>
      <c r="G31" s="4">
        <v>93.690714285714293</v>
      </c>
      <c r="H31" s="4">
        <v>97.272666666666666</v>
      </c>
      <c r="I31" s="4">
        <v>71.031999999999996</v>
      </c>
      <c r="J31" s="4">
        <v>82.112200000000001</v>
      </c>
      <c r="K31" s="4">
        <v>93.531000000000006</v>
      </c>
      <c r="L31" s="4">
        <v>80.8964</v>
      </c>
      <c r="M31" s="4">
        <v>83.037833333333339</v>
      </c>
      <c r="N31" s="4">
        <v>68.09</v>
      </c>
      <c r="O31" s="4">
        <v>68.731999999999999</v>
      </c>
      <c r="P31" s="4">
        <v>62.609666666666662</v>
      </c>
      <c r="Q31" s="4">
        <v>78.518666666666661</v>
      </c>
      <c r="R31" s="4">
        <v>49.758600000000001</v>
      </c>
      <c r="S31" s="4">
        <v>80.263999999999996</v>
      </c>
      <c r="T31" s="4">
        <v>77.234666666666669</v>
      </c>
      <c r="U31" s="4">
        <v>58.177333333333337</v>
      </c>
    </row>
    <row r="32" spans="1:21" x14ac:dyDescent="0.25">
      <c r="A32" t="s">
        <v>97</v>
      </c>
      <c r="B32" t="s">
        <v>98</v>
      </c>
      <c r="C32" s="2">
        <v>76.428500764921338</v>
      </c>
      <c r="D32" s="3">
        <v>31</v>
      </c>
      <c r="E32" s="4">
        <v>98.929000000000002</v>
      </c>
      <c r="F32" s="4">
        <v>66.258714285714291</v>
      </c>
      <c r="G32" s="4">
        <v>88.850999999999985</v>
      </c>
      <c r="H32" s="4">
        <v>99.745948717948707</v>
      </c>
      <c r="I32" s="4">
        <v>73.963250000000002</v>
      </c>
      <c r="J32" s="4">
        <v>83.723199999999991</v>
      </c>
      <c r="K32" s="4">
        <v>93.373000000000005</v>
      </c>
      <c r="L32" s="4">
        <v>85.2042</v>
      </c>
      <c r="M32" s="4">
        <v>93.784999999999997</v>
      </c>
      <c r="N32" s="4">
        <v>47.661999999999999</v>
      </c>
      <c r="O32" s="4">
        <v>89.137666666666675</v>
      </c>
      <c r="P32" s="4">
        <v>54.722333333333331</v>
      </c>
      <c r="Q32" s="4">
        <v>58.05866666666666</v>
      </c>
      <c r="R32" s="4">
        <v>63.726600000000005</v>
      </c>
      <c r="S32" s="4">
        <v>59.534599999999998</v>
      </c>
      <c r="T32" s="4">
        <v>74.76400000000001</v>
      </c>
      <c r="U32" s="4">
        <v>67.845333333333329</v>
      </c>
    </row>
    <row r="33" spans="1:21" x14ac:dyDescent="0.25">
      <c r="A33" t="s">
        <v>101</v>
      </c>
      <c r="B33" t="s">
        <v>102</v>
      </c>
      <c r="C33" s="2">
        <v>75.966364608920486</v>
      </c>
      <c r="D33" s="3">
        <v>32</v>
      </c>
      <c r="E33" s="4">
        <v>99.754999999999995</v>
      </c>
      <c r="F33" s="4">
        <v>62.21557142857143</v>
      </c>
      <c r="G33" s="4">
        <v>91.807076923076934</v>
      </c>
      <c r="H33" s="4">
        <v>99.24133333333333</v>
      </c>
      <c r="I33" s="4">
        <v>60.433249999999994</v>
      </c>
      <c r="J33" s="4">
        <v>83.046000000000006</v>
      </c>
      <c r="K33" s="4">
        <v>94.497333333333344</v>
      </c>
      <c r="L33" s="4">
        <v>85.915500000000009</v>
      </c>
      <c r="M33" s="4">
        <v>66.459500000000006</v>
      </c>
      <c r="N33" s="4">
        <v>94.048000000000002</v>
      </c>
      <c r="O33" s="4">
        <v>84.446333333333328</v>
      </c>
      <c r="P33" s="4">
        <v>43.132166666666656</v>
      </c>
      <c r="Q33" s="4">
        <v>62.231333333333339</v>
      </c>
      <c r="R33" s="4">
        <v>59.669800000000009</v>
      </c>
      <c r="S33" s="4">
        <v>86.396999999999991</v>
      </c>
      <c r="T33" s="4">
        <v>75.168999999999997</v>
      </c>
      <c r="U33" s="4">
        <v>42.963999999999999</v>
      </c>
    </row>
    <row r="34" spans="1:21" x14ac:dyDescent="0.25">
      <c r="A34" t="s">
        <v>91</v>
      </c>
      <c r="B34" t="s">
        <v>92</v>
      </c>
      <c r="C34" s="2">
        <v>75.234805058993288</v>
      </c>
      <c r="D34" s="3">
        <v>33</v>
      </c>
      <c r="E34" s="4">
        <v>99.509500000000003</v>
      </c>
      <c r="F34" s="4">
        <v>62.338428571428572</v>
      </c>
      <c r="G34" s="4">
        <v>83.470785714285711</v>
      </c>
      <c r="H34" s="4">
        <v>95.075666666666663</v>
      </c>
      <c r="I34" s="4">
        <v>63.91225</v>
      </c>
      <c r="J34" s="4">
        <v>73.111399999999989</v>
      </c>
      <c r="K34" s="4">
        <v>84.394333333333336</v>
      </c>
      <c r="L34" s="4">
        <v>74.211600000000004</v>
      </c>
      <c r="M34" s="4">
        <v>49.436499999999995</v>
      </c>
      <c r="N34" s="4">
        <v>82.287000000000006</v>
      </c>
      <c r="O34" s="4">
        <v>71.728333333333339</v>
      </c>
      <c r="P34" s="4">
        <v>77.819666666666663</v>
      </c>
      <c r="Q34" s="4">
        <v>87.682666666666663</v>
      </c>
      <c r="S34" s="4">
        <v>61.733000000000004</v>
      </c>
      <c r="T34" s="4">
        <v>74.781777777777791</v>
      </c>
      <c r="U34" s="4">
        <v>78.581000000000003</v>
      </c>
    </row>
    <row r="35" spans="1:21" x14ac:dyDescent="0.25">
      <c r="A35" t="s">
        <v>137</v>
      </c>
      <c r="B35" t="s">
        <v>138</v>
      </c>
      <c r="C35" s="2">
        <v>75.214208058608051</v>
      </c>
      <c r="D35" s="3">
        <v>34</v>
      </c>
      <c r="E35" s="4">
        <v>99.881</v>
      </c>
      <c r="F35" s="4">
        <v>53.88128571428571</v>
      </c>
      <c r="G35" s="4">
        <v>90.838384615384626</v>
      </c>
      <c r="H35" s="4">
        <v>97.112000000000009</v>
      </c>
      <c r="I35" s="4">
        <v>72.165666666666667</v>
      </c>
      <c r="J35" s="4">
        <v>77.311799999999991</v>
      </c>
      <c r="K35" s="4">
        <v>92.39533333333334</v>
      </c>
      <c r="L35" s="4">
        <v>81.128400000000013</v>
      </c>
      <c r="M35" s="4">
        <v>71.926333333333346</v>
      </c>
      <c r="N35" s="4">
        <v>81.831000000000003</v>
      </c>
      <c r="O35" s="4">
        <v>77.338999999999999</v>
      </c>
      <c r="P35" s="4">
        <v>54.614666666666665</v>
      </c>
      <c r="Q35" s="4">
        <v>66.141999999999996</v>
      </c>
      <c r="R35" s="4">
        <v>59.716999999999999</v>
      </c>
      <c r="S35" s="4">
        <v>84.658500000000004</v>
      </c>
      <c r="T35" s="4">
        <v>81.226500000000016</v>
      </c>
      <c r="U35" s="4">
        <v>36.472666666666669</v>
      </c>
    </row>
    <row r="36" spans="1:21" x14ac:dyDescent="0.25">
      <c r="A36" t="s">
        <v>123</v>
      </c>
      <c r="B36" t="s">
        <v>124</v>
      </c>
      <c r="C36" s="2">
        <v>75.077653548085891</v>
      </c>
      <c r="D36" s="3">
        <v>35</v>
      </c>
      <c r="E36" s="4">
        <v>97.658500000000004</v>
      </c>
      <c r="F36" s="4">
        <v>55.034285714285708</v>
      </c>
      <c r="G36" s="4">
        <v>85.019285714285715</v>
      </c>
      <c r="H36" s="4">
        <v>85.655333333333331</v>
      </c>
      <c r="I36" s="4">
        <v>82.225750000000005</v>
      </c>
      <c r="J36" s="4">
        <v>80.412599999999998</v>
      </c>
      <c r="K36" s="4">
        <v>93.805999999999997</v>
      </c>
      <c r="L36" s="4">
        <v>74.980400000000003</v>
      </c>
      <c r="M36" s="4">
        <v>49.264166666666654</v>
      </c>
      <c r="N36" s="4">
        <v>35.454000000000001</v>
      </c>
      <c r="O36" s="4">
        <v>92.262999999999991</v>
      </c>
      <c r="P36" s="4">
        <v>81.302166666666679</v>
      </c>
      <c r="Q36" s="4">
        <v>83.82</v>
      </c>
      <c r="R36" s="4">
        <v>71.832799999999992</v>
      </c>
      <c r="S36" s="4">
        <v>53.23660000000001</v>
      </c>
      <c r="T36" s="4">
        <v>75.760888888888886</v>
      </c>
      <c r="U36" s="4">
        <v>78.594333333333338</v>
      </c>
    </row>
    <row r="37" spans="1:21" x14ac:dyDescent="0.25">
      <c r="A37" t="s">
        <v>93</v>
      </c>
      <c r="B37" t="s">
        <v>94</v>
      </c>
      <c r="C37" s="2">
        <v>74.950263186813189</v>
      </c>
      <c r="D37" s="3">
        <v>36</v>
      </c>
      <c r="E37" s="4">
        <v>98.510500000000008</v>
      </c>
      <c r="F37" s="4">
        <v>61.476285714285723</v>
      </c>
      <c r="G37" s="4">
        <v>83.804538461538471</v>
      </c>
      <c r="H37" s="4">
        <v>99.912333333333336</v>
      </c>
      <c r="I37" s="4">
        <v>73.528000000000006</v>
      </c>
      <c r="J37" s="4">
        <v>81.992800000000017</v>
      </c>
      <c r="K37" s="4">
        <v>80.169333333333341</v>
      </c>
      <c r="L37" s="4">
        <v>81.968599999999995</v>
      </c>
      <c r="M37" s="4">
        <v>59.892166666666668</v>
      </c>
      <c r="N37" s="4">
        <v>53.067999999999998</v>
      </c>
      <c r="O37" s="4">
        <v>76.49966666666667</v>
      </c>
      <c r="P37" s="4">
        <v>62.079333333333331</v>
      </c>
      <c r="Q37" s="4">
        <v>74.86633333333333</v>
      </c>
      <c r="R37" s="4">
        <v>70.113249999999994</v>
      </c>
      <c r="S37" s="4">
        <v>94.956000000000003</v>
      </c>
      <c r="T37" s="4">
        <v>76.47699999999999</v>
      </c>
      <c r="U37" s="4">
        <v>44.840333333333326</v>
      </c>
    </row>
    <row r="38" spans="1:21" x14ac:dyDescent="0.25">
      <c r="A38" t="s">
        <v>99</v>
      </c>
      <c r="B38" t="s">
        <v>100</v>
      </c>
      <c r="C38" s="2">
        <v>74.870323640738363</v>
      </c>
      <c r="D38" s="3">
        <v>37</v>
      </c>
      <c r="E38" s="4">
        <v>99.030500000000004</v>
      </c>
      <c r="F38" s="4">
        <v>56.179285714285712</v>
      </c>
      <c r="G38" s="4">
        <v>95.591928571428568</v>
      </c>
      <c r="H38" s="4">
        <v>99.745948717948707</v>
      </c>
      <c r="I38" s="4">
        <v>79.997749999999996</v>
      </c>
      <c r="J38" s="4">
        <v>94.953199999999995</v>
      </c>
      <c r="K38" s="4">
        <v>91.113</v>
      </c>
      <c r="L38" s="4">
        <v>82.659400000000005</v>
      </c>
      <c r="M38" s="4">
        <v>89.702500000000001</v>
      </c>
      <c r="N38" s="4">
        <v>73.451000000000008</v>
      </c>
      <c r="O38" s="4">
        <v>82.304333333333332</v>
      </c>
      <c r="P38" s="4">
        <v>42.794166666666662</v>
      </c>
      <c r="Q38" s="4">
        <v>15.087666666666669</v>
      </c>
      <c r="R38" s="4">
        <v>57.484200000000001</v>
      </c>
      <c r="S38" s="4">
        <v>62.700400000000002</v>
      </c>
      <c r="T38" s="4">
        <v>86.094555555555559</v>
      </c>
      <c r="U38" s="4">
        <v>63.905666666666662</v>
      </c>
    </row>
    <row r="39" spans="1:21" x14ac:dyDescent="0.25">
      <c r="A39" t="s">
        <v>89</v>
      </c>
      <c r="B39" t="s">
        <v>90</v>
      </c>
      <c r="C39" s="2">
        <v>74.781475280112019</v>
      </c>
      <c r="D39" s="3">
        <v>38</v>
      </c>
      <c r="E39" s="4">
        <v>99.085499999999996</v>
      </c>
      <c r="F39" s="4">
        <v>64.950857142857146</v>
      </c>
      <c r="G39" s="4">
        <v>80.202214285714291</v>
      </c>
      <c r="H39" s="4">
        <v>82.375666666666675</v>
      </c>
      <c r="I39" s="4">
        <v>57.406000000000006</v>
      </c>
      <c r="J39" s="4">
        <v>81.474800000000002</v>
      </c>
      <c r="K39" s="4">
        <v>88.649333333333331</v>
      </c>
      <c r="L39" s="4">
        <v>82.734799999999993</v>
      </c>
      <c r="M39" s="4">
        <v>53.254500000000007</v>
      </c>
      <c r="N39" s="4">
        <v>48.544000000000004</v>
      </c>
      <c r="O39" s="4">
        <v>79.36066666666666</v>
      </c>
      <c r="P39" s="4">
        <v>76.180999999999997</v>
      </c>
      <c r="Q39" s="4">
        <v>89.06</v>
      </c>
      <c r="R39" s="4">
        <v>65.460999999999999</v>
      </c>
      <c r="S39" s="4">
        <v>84.791200000000003</v>
      </c>
      <c r="T39" s="4">
        <v>77.108875000000012</v>
      </c>
      <c r="U39" s="4">
        <v>60.644666666666666</v>
      </c>
    </row>
    <row r="40" spans="1:21" x14ac:dyDescent="0.25">
      <c r="A40" t="s">
        <v>107</v>
      </c>
      <c r="B40" t="s">
        <v>108</v>
      </c>
      <c r="C40" s="2">
        <v>74.765975770308131</v>
      </c>
      <c r="D40" s="3">
        <v>39</v>
      </c>
      <c r="E40" s="4">
        <v>97.174000000000007</v>
      </c>
      <c r="F40" s="4">
        <v>63.575142857142851</v>
      </c>
      <c r="G40" s="4">
        <v>78.297428571428568</v>
      </c>
      <c r="H40" s="4">
        <v>67.600333333333325</v>
      </c>
      <c r="I40" s="4">
        <v>70.70474999999999</v>
      </c>
      <c r="J40" s="4">
        <v>70.860600000000005</v>
      </c>
      <c r="K40" s="4">
        <v>90.45</v>
      </c>
      <c r="L40" s="4">
        <v>81.753000000000014</v>
      </c>
      <c r="M40" s="4">
        <v>51.609833333333341</v>
      </c>
      <c r="N40" s="4">
        <v>62.169000000000004</v>
      </c>
      <c r="O40" s="4">
        <v>74.435666666666677</v>
      </c>
      <c r="P40" s="4">
        <v>74.967666666666673</v>
      </c>
      <c r="Q40" s="4">
        <v>80.914333333333346</v>
      </c>
      <c r="R40" s="4">
        <v>73.81450000000001</v>
      </c>
      <c r="S40" s="4">
        <v>94.489000000000004</v>
      </c>
      <c r="T40" s="4">
        <v>70.198999999999998</v>
      </c>
      <c r="U40" s="4">
        <v>68.007333333333335</v>
      </c>
    </row>
    <row r="41" spans="1:21" x14ac:dyDescent="0.25">
      <c r="A41" t="s">
        <v>115</v>
      </c>
      <c r="B41" t="s">
        <v>116</v>
      </c>
      <c r="C41" s="2">
        <v>74.596410597572344</v>
      </c>
      <c r="D41" s="3">
        <v>40</v>
      </c>
      <c r="E41" s="4">
        <v>99.232500000000002</v>
      </c>
      <c r="F41" s="4">
        <v>57.77628571428572</v>
      </c>
      <c r="G41" s="4">
        <v>94.688384615384606</v>
      </c>
      <c r="H41" s="4">
        <v>96.315615384615398</v>
      </c>
      <c r="I41" s="4">
        <v>73.924250000000001</v>
      </c>
      <c r="J41" s="4">
        <v>72.782799999999995</v>
      </c>
      <c r="K41" s="4">
        <v>94.327666666666673</v>
      </c>
      <c r="L41" s="4">
        <v>84.913200000000003</v>
      </c>
      <c r="M41" s="4">
        <v>93.298666666666676</v>
      </c>
      <c r="N41" s="4">
        <v>55.758000000000003</v>
      </c>
      <c r="O41" s="4">
        <v>79.788000000000011</v>
      </c>
      <c r="P41" s="4">
        <v>61.456833333333329</v>
      </c>
      <c r="Q41" s="4">
        <v>74.358333333333334</v>
      </c>
      <c r="R41" s="4">
        <v>47.706666666666671</v>
      </c>
      <c r="S41" s="4">
        <v>52.180999999999997</v>
      </c>
      <c r="T41" s="4">
        <v>72.399111111111125</v>
      </c>
      <c r="U41" s="4">
        <v>57.231666666666662</v>
      </c>
    </row>
    <row r="42" spans="1:21" x14ac:dyDescent="0.25">
      <c r="A42" t="s">
        <v>105</v>
      </c>
      <c r="B42" t="s">
        <v>106</v>
      </c>
      <c r="C42" s="2">
        <v>74.536290476190473</v>
      </c>
      <c r="D42" s="3">
        <v>41</v>
      </c>
      <c r="E42" s="4">
        <v>99.990499999999997</v>
      </c>
      <c r="F42" s="4">
        <v>62.895571428571436</v>
      </c>
      <c r="G42" s="4">
        <v>77.194000000000003</v>
      </c>
      <c r="H42" s="4">
        <v>88.683333333333337</v>
      </c>
      <c r="I42" s="4">
        <v>69.478999999999999</v>
      </c>
      <c r="J42" s="4">
        <v>76.923399999999987</v>
      </c>
      <c r="K42" s="4">
        <v>83.51166666666667</v>
      </c>
      <c r="L42" s="4">
        <v>81.564400000000006</v>
      </c>
      <c r="M42" s="4">
        <v>53.499500000000005</v>
      </c>
      <c r="N42" s="4">
        <v>62.27</v>
      </c>
      <c r="O42" s="4">
        <v>83.336666666666659</v>
      </c>
      <c r="P42" s="4">
        <v>78.342500000000001</v>
      </c>
      <c r="Q42" s="4">
        <v>87.453999999999994</v>
      </c>
      <c r="R42" s="4">
        <v>64.370999999999995</v>
      </c>
      <c r="S42" s="4">
        <v>67.469399999999993</v>
      </c>
      <c r="T42" s="4">
        <v>71.056333333333342</v>
      </c>
      <c r="U42" s="4">
        <v>59.07566666666667</v>
      </c>
    </row>
    <row r="43" spans="1:21" x14ac:dyDescent="0.25">
      <c r="A43" t="s">
        <v>69</v>
      </c>
      <c r="B43" t="s">
        <v>70</v>
      </c>
      <c r="C43" s="2">
        <v>74.443867243867246</v>
      </c>
      <c r="D43" s="3">
        <v>42</v>
      </c>
      <c r="E43" s="4">
        <v>99.649500000000003</v>
      </c>
      <c r="F43" s="4">
        <v>58.739333333333342</v>
      </c>
      <c r="G43" s="4">
        <v>76.223571428571418</v>
      </c>
      <c r="H43" s="4">
        <v>83.954666666666668</v>
      </c>
      <c r="I43" s="4">
        <v>70.164249999999996</v>
      </c>
      <c r="J43" s="4">
        <v>72.084999999999994</v>
      </c>
      <c r="K43" s="4">
        <v>88.264666666666656</v>
      </c>
      <c r="L43" s="4">
        <v>73.114400000000003</v>
      </c>
      <c r="M43" s="4">
        <v>26.670500000000004</v>
      </c>
      <c r="N43" s="4">
        <v>89.055999999999997</v>
      </c>
      <c r="O43" s="4">
        <v>79.87833333333333</v>
      </c>
      <c r="P43" s="4">
        <v>81.652500000000003</v>
      </c>
      <c r="Q43" s="4">
        <v>97.99366666666667</v>
      </c>
      <c r="S43" s="4">
        <v>64.56280000000001</v>
      </c>
      <c r="T43" s="4">
        <v>69.37211111111111</v>
      </c>
      <c r="U43" s="4">
        <v>75.24666666666667</v>
      </c>
    </row>
    <row r="44" spans="1:21" x14ac:dyDescent="0.25">
      <c r="A44" t="s">
        <v>75</v>
      </c>
      <c r="B44" t="s">
        <v>76</v>
      </c>
      <c r="C44" s="2">
        <v>74.329603921568633</v>
      </c>
      <c r="D44" s="3">
        <v>43</v>
      </c>
      <c r="E44" s="4">
        <v>96.679500000000004</v>
      </c>
      <c r="F44" s="4">
        <v>62.278000000000006</v>
      </c>
      <c r="G44" s="4">
        <v>87.177416666666659</v>
      </c>
      <c r="H44" s="4">
        <v>96.645333333333326</v>
      </c>
      <c r="I44" s="4">
        <v>63.450750000000006</v>
      </c>
      <c r="J44" s="4">
        <v>87.594200000000001</v>
      </c>
      <c r="K44" s="4">
        <v>91.278000000000006</v>
      </c>
      <c r="L44" s="4">
        <v>65.834199999999996</v>
      </c>
      <c r="M44" s="4">
        <v>69.50333333333333</v>
      </c>
      <c r="N44" s="4">
        <v>50.317999999999998</v>
      </c>
      <c r="O44" s="4">
        <v>81.710666666666668</v>
      </c>
      <c r="P44" s="4">
        <v>58.636000000000003</v>
      </c>
      <c r="Q44" s="4">
        <v>74.74466666666666</v>
      </c>
      <c r="R44" s="4">
        <v>68.454999999999998</v>
      </c>
      <c r="S44" s="4">
        <v>81.052199999999999</v>
      </c>
      <c r="T44" s="4">
        <v>72.954666666666654</v>
      </c>
      <c r="U44" s="4">
        <v>55.291333333333334</v>
      </c>
    </row>
    <row r="45" spans="1:21" x14ac:dyDescent="0.25">
      <c r="A45" t="s">
        <v>85</v>
      </c>
      <c r="B45" t="s">
        <v>86</v>
      </c>
      <c r="C45" s="2">
        <v>74.309226077713134</v>
      </c>
      <c r="D45" s="3">
        <v>44</v>
      </c>
      <c r="E45" s="4">
        <v>99.855000000000004</v>
      </c>
      <c r="F45" s="4">
        <v>67.122</v>
      </c>
      <c r="G45" s="4">
        <v>95.838285714285718</v>
      </c>
      <c r="H45" s="4">
        <v>95.651282051282053</v>
      </c>
      <c r="I45" s="4">
        <v>76.563000000000002</v>
      </c>
      <c r="J45" s="4">
        <v>79.132000000000005</v>
      </c>
      <c r="K45" s="4">
        <v>66.666666666666671</v>
      </c>
      <c r="L45" s="4">
        <v>69.978399999999993</v>
      </c>
      <c r="M45" s="4">
        <v>86.187000000000012</v>
      </c>
      <c r="N45" s="4">
        <v>79.510000000000005</v>
      </c>
      <c r="O45" s="4">
        <v>95.9</v>
      </c>
      <c r="P45" s="4">
        <v>20.165833333333335</v>
      </c>
      <c r="Q45" s="4">
        <v>45.377000000000002</v>
      </c>
      <c r="S45" s="4">
        <v>67.040600000000012</v>
      </c>
      <c r="T45" s="4">
        <v>90.206666666666663</v>
      </c>
      <c r="U45" s="4">
        <v>68.722333333333339</v>
      </c>
    </row>
    <row r="46" spans="1:21" x14ac:dyDescent="0.25">
      <c r="A46" t="s">
        <v>83</v>
      </c>
      <c r="B46" t="s">
        <v>84</v>
      </c>
      <c r="C46" s="2">
        <v>74.277688655462185</v>
      </c>
      <c r="D46" s="3">
        <v>45</v>
      </c>
      <c r="E46" s="4">
        <v>99.885999999999996</v>
      </c>
      <c r="F46" s="4">
        <v>61.348428571428585</v>
      </c>
      <c r="G46" s="4">
        <v>83.206928571428563</v>
      </c>
      <c r="H46" s="4">
        <v>88.418333333333337</v>
      </c>
      <c r="I46" s="4">
        <v>74.352249999999998</v>
      </c>
      <c r="J46" s="4">
        <v>78.3142</v>
      </c>
      <c r="K46" s="4">
        <v>96.85766666666666</v>
      </c>
      <c r="L46" s="4">
        <v>76.590999999999994</v>
      </c>
      <c r="M46" s="4">
        <v>44.612166666666667</v>
      </c>
      <c r="N46" s="4">
        <v>56.532000000000004</v>
      </c>
      <c r="O46" s="4">
        <v>86.57</v>
      </c>
      <c r="P46" s="4">
        <v>61.700500000000005</v>
      </c>
      <c r="Q46" s="4">
        <v>85.523666666666671</v>
      </c>
      <c r="R46" s="4">
        <v>60.0244</v>
      </c>
      <c r="S46" s="4">
        <v>53.042999999999992</v>
      </c>
      <c r="T46" s="4">
        <v>68.223666666666674</v>
      </c>
      <c r="U46" s="4">
        <v>87.516500000000008</v>
      </c>
    </row>
    <row r="47" spans="1:21" x14ac:dyDescent="0.25">
      <c r="A47" t="s">
        <v>167</v>
      </c>
      <c r="B47" t="s">
        <v>168</v>
      </c>
      <c r="C47" s="2">
        <v>74.260651213818861</v>
      </c>
      <c r="D47" s="3">
        <v>46</v>
      </c>
      <c r="E47" s="4">
        <v>88.355000000000004</v>
      </c>
      <c r="F47" s="4">
        <v>52.582571428571434</v>
      </c>
      <c r="G47" s="4">
        <v>77.463071428571425</v>
      </c>
      <c r="H47" s="4">
        <v>92.102000000000018</v>
      </c>
      <c r="I47" s="4">
        <v>77.620750000000001</v>
      </c>
      <c r="J47" s="4">
        <v>75.015000000000001</v>
      </c>
      <c r="K47" s="4">
        <v>91.722666666666669</v>
      </c>
      <c r="L47" s="4">
        <v>73.956000000000003</v>
      </c>
      <c r="M47" s="4">
        <v>35.157333333333334</v>
      </c>
      <c r="N47" s="4">
        <v>46.789000000000001</v>
      </c>
      <c r="O47" s="4">
        <v>89.949333333333342</v>
      </c>
      <c r="P47" s="4">
        <v>84.597166666666666</v>
      </c>
      <c r="Q47" s="4">
        <v>93.454000000000008</v>
      </c>
      <c r="R47" s="4">
        <v>78.748400000000004</v>
      </c>
      <c r="S47" s="4">
        <v>61.061</v>
      </c>
      <c r="T47" s="4">
        <v>63.057777777777773</v>
      </c>
      <c r="U47" s="4">
        <v>80.8</v>
      </c>
    </row>
    <row r="48" spans="1:21" x14ac:dyDescent="0.25">
      <c r="A48" t="s">
        <v>95</v>
      </c>
      <c r="B48" t="s">
        <v>96</v>
      </c>
      <c r="C48" s="2">
        <v>74.244860830999073</v>
      </c>
      <c r="D48" s="3">
        <v>47</v>
      </c>
      <c r="E48" s="4">
        <v>99.764499999999998</v>
      </c>
      <c r="F48" s="4">
        <v>57.53171428571428</v>
      </c>
      <c r="G48" s="4">
        <v>70.210214285714287</v>
      </c>
      <c r="H48" s="4">
        <v>91.682333333333347</v>
      </c>
      <c r="I48" s="4">
        <v>67.126750000000001</v>
      </c>
      <c r="J48" s="4">
        <v>78.620400000000004</v>
      </c>
      <c r="K48" s="4">
        <v>91.903666666666666</v>
      </c>
      <c r="L48" s="4">
        <v>72.510799999999989</v>
      </c>
      <c r="M48" s="4">
        <v>34.454666666666661</v>
      </c>
      <c r="N48" s="4">
        <v>98.685000000000002</v>
      </c>
      <c r="O48" s="4">
        <v>71.688000000000002</v>
      </c>
      <c r="P48" s="4">
        <v>82.733833333333337</v>
      </c>
      <c r="Q48" s="4">
        <v>89.481666666666669</v>
      </c>
      <c r="R48" s="4">
        <v>53.255600000000001</v>
      </c>
      <c r="S48" s="4">
        <v>64.209599999999995</v>
      </c>
      <c r="T48" s="4">
        <v>62.887222222222221</v>
      </c>
      <c r="U48" s="4">
        <v>75.416666666666671</v>
      </c>
    </row>
    <row r="49" spans="1:21" x14ac:dyDescent="0.25">
      <c r="A49" t="s">
        <v>145</v>
      </c>
      <c r="B49" t="s">
        <v>146</v>
      </c>
      <c r="C49" s="2">
        <v>73.893619753884465</v>
      </c>
      <c r="D49" s="3">
        <v>48</v>
      </c>
      <c r="E49" s="4">
        <v>97.959500000000006</v>
      </c>
      <c r="F49" s="4">
        <v>76.393571428571434</v>
      </c>
      <c r="G49" s="4">
        <v>79.841538461538462</v>
      </c>
      <c r="H49" s="4">
        <v>94.956092592592597</v>
      </c>
      <c r="I49" s="4">
        <v>75.745500000000007</v>
      </c>
      <c r="J49" s="4">
        <v>68.597200000000001</v>
      </c>
      <c r="K49" s="4">
        <v>69.408666666666662</v>
      </c>
      <c r="L49" s="4">
        <v>87.466000000000008</v>
      </c>
      <c r="M49" s="4">
        <v>72.145500000000013</v>
      </c>
      <c r="N49" s="4">
        <v>61.317999999999998</v>
      </c>
      <c r="O49" s="4">
        <v>75.908000000000001</v>
      </c>
      <c r="P49" s="4">
        <v>88.550833333333344</v>
      </c>
      <c r="Q49" s="4">
        <v>89.778999999999996</v>
      </c>
      <c r="R49" s="4">
        <v>50.507199999999997</v>
      </c>
      <c r="S49" s="4">
        <v>59.471600000000002</v>
      </c>
      <c r="T49" s="4">
        <v>63.787833333333332</v>
      </c>
      <c r="U49" s="4">
        <v>44.355500000000006</v>
      </c>
    </row>
    <row r="50" spans="1:21" x14ac:dyDescent="0.25">
      <c r="A50" t="s">
        <v>129</v>
      </c>
      <c r="B50" t="s">
        <v>130</v>
      </c>
      <c r="C50" s="2">
        <v>73.801900793650802</v>
      </c>
      <c r="D50" s="3">
        <v>49</v>
      </c>
      <c r="E50" s="4">
        <v>96.129000000000005</v>
      </c>
      <c r="F50" s="4">
        <v>67.641285714285715</v>
      </c>
      <c r="G50" s="4">
        <v>72.076999999999998</v>
      </c>
      <c r="H50" s="4">
        <v>96.613333333333344</v>
      </c>
      <c r="I50" s="4">
        <v>72.050250000000005</v>
      </c>
      <c r="J50" s="4">
        <v>73.138000000000005</v>
      </c>
      <c r="K50" s="4">
        <v>82.51100000000001</v>
      </c>
      <c r="L50" s="4">
        <v>74.917400000000015</v>
      </c>
      <c r="M50" s="4">
        <v>44.594833333333334</v>
      </c>
      <c r="N50" s="4">
        <v>77.123999999999995</v>
      </c>
      <c r="O50" s="4">
        <v>77.715000000000003</v>
      </c>
      <c r="P50" s="4">
        <v>92.755166666666682</v>
      </c>
      <c r="Q50" s="4">
        <v>95.719333333333338</v>
      </c>
      <c r="R50" s="4">
        <v>58.944000000000003</v>
      </c>
      <c r="S50" s="4">
        <v>46.649600000000007</v>
      </c>
      <c r="T50" s="4">
        <v>64.315444444444452</v>
      </c>
      <c r="U50" s="4">
        <v>61.737666666666662</v>
      </c>
    </row>
    <row r="51" spans="1:21" x14ac:dyDescent="0.25">
      <c r="A51" t="s">
        <v>113</v>
      </c>
      <c r="B51" t="s">
        <v>114</v>
      </c>
      <c r="C51" s="2">
        <v>73.478858543417374</v>
      </c>
      <c r="D51" s="3">
        <v>50</v>
      </c>
      <c r="E51" s="4">
        <v>99.728499999999997</v>
      </c>
      <c r="F51" s="4">
        <v>61.880285714285719</v>
      </c>
      <c r="G51" s="4">
        <v>78.588857142857137</v>
      </c>
      <c r="H51" s="4">
        <v>90.579063492063483</v>
      </c>
      <c r="I51" s="4">
        <v>40.138000000000005</v>
      </c>
      <c r="J51" s="4">
        <v>77.333200000000005</v>
      </c>
      <c r="K51" s="4">
        <v>79.504666666666665</v>
      </c>
      <c r="L51" s="4">
        <v>69.340400000000002</v>
      </c>
      <c r="M51" s="4">
        <v>33.097499999999997</v>
      </c>
      <c r="N51" s="4">
        <v>81.275999999999996</v>
      </c>
      <c r="O51" s="4">
        <v>72.349333333333348</v>
      </c>
      <c r="P51" s="4">
        <v>79.298500000000004</v>
      </c>
      <c r="Q51" s="4">
        <v>86.406333333333336</v>
      </c>
      <c r="R51" s="4">
        <v>58.396500000000003</v>
      </c>
      <c r="S51" s="4">
        <v>70.321399999999997</v>
      </c>
      <c r="T51" s="4">
        <v>72.668555555555557</v>
      </c>
      <c r="U51" s="4">
        <v>98.233499999999992</v>
      </c>
    </row>
    <row r="52" spans="1:21" x14ac:dyDescent="0.25">
      <c r="A52" t="s">
        <v>121</v>
      </c>
      <c r="B52" t="s">
        <v>122</v>
      </c>
      <c r="C52" s="2">
        <v>73.168055648926241</v>
      </c>
      <c r="D52" s="3">
        <v>51</v>
      </c>
      <c r="E52" s="4">
        <v>96.715000000000003</v>
      </c>
      <c r="F52" s="4">
        <v>64.520142857142858</v>
      </c>
      <c r="G52" s="4">
        <v>80.902214285714294</v>
      </c>
      <c r="H52" s="4">
        <v>94.971666666666678</v>
      </c>
      <c r="I52" s="4">
        <v>79.220999999999989</v>
      </c>
      <c r="J52" s="4">
        <v>79.063599999999994</v>
      </c>
      <c r="K52" s="4">
        <v>91.969666666666669</v>
      </c>
      <c r="L52" s="4">
        <v>69.470399999999998</v>
      </c>
      <c r="M52" s="4">
        <v>45.207666666666661</v>
      </c>
      <c r="N52" s="4">
        <v>45.992000000000004</v>
      </c>
      <c r="O52" s="4">
        <v>86.076333333333324</v>
      </c>
      <c r="P52" s="4">
        <v>77.761499999999998</v>
      </c>
      <c r="Q52" s="4">
        <v>86.489333333333335</v>
      </c>
      <c r="R52" s="4">
        <v>51.936999999999998</v>
      </c>
      <c r="S52" s="4">
        <v>59.869199999999999</v>
      </c>
      <c r="T52" s="4">
        <v>65.142222222222216</v>
      </c>
      <c r="U52" s="4">
        <v>68.548000000000002</v>
      </c>
    </row>
    <row r="53" spans="1:21" x14ac:dyDescent="0.25">
      <c r="A53" t="s">
        <v>109</v>
      </c>
      <c r="B53" t="s">
        <v>110</v>
      </c>
      <c r="C53" s="2">
        <v>73.010922192513377</v>
      </c>
      <c r="D53" s="3">
        <v>52</v>
      </c>
      <c r="E53" s="4">
        <v>84.328499999999991</v>
      </c>
      <c r="F53" s="4">
        <v>60.491</v>
      </c>
      <c r="G53" s="4">
        <v>72.65600000000002</v>
      </c>
      <c r="H53" s="4">
        <v>90.541999999999987</v>
      </c>
      <c r="I53" s="4">
        <v>62.182499999999997</v>
      </c>
      <c r="J53" s="4">
        <v>65.148600000000002</v>
      </c>
      <c r="K53" s="4">
        <v>90.328666666666663</v>
      </c>
      <c r="L53" s="4">
        <v>69.478999999999999</v>
      </c>
      <c r="M53" s="4">
        <v>28.426000000000002</v>
      </c>
      <c r="N53" s="4">
        <v>84.963000000000008</v>
      </c>
      <c r="O53" s="4">
        <v>83.84333333333332</v>
      </c>
      <c r="P53" s="4">
        <v>86.753833333333333</v>
      </c>
      <c r="Q53" s="4">
        <v>93.254000000000005</v>
      </c>
      <c r="S53" s="4">
        <v>71.079800000000006</v>
      </c>
      <c r="T53" s="4">
        <v>64.375</v>
      </c>
      <c r="U53" s="4">
        <v>74.416666666666671</v>
      </c>
    </row>
    <row r="54" spans="1:21" x14ac:dyDescent="0.25">
      <c r="A54" t="s">
        <v>119</v>
      </c>
      <c r="B54" t="s">
        <v>120</v>
      </c>
      <c r="C54" s="2">
        <v>72.672831979458437</v>
      </c>
      <c r="D54" s="3">
        <v>53</v>
      </c>
      <c r="E54" s="4">
        <v>86.352000000000004</v>
      </c>
      <c r="F54" s="4">
        <v>66.603857142857137</v>
      </c>
      <c r="G54" s="4">
        <v>78.422714285714292</v>
      </c>
      <c r="H54" s="4">
        <v>85.361666666666679</v>
      </c>
      <c r="I54" s="4">
        <v>69.804249999999996</v>
      </c>
      <c r="J54" s="4">
        <v>86.245599999999996</v>
      </c>
      <c r="K54" s="4">
        <v>94.319333333333319</v>
      </c>
      <c r="L54" s="4">
        <v>72.448800000000006</v>
      </c>
      <c r="M54" s="4">
        <v>59.049666666666667</v>
      </c>
      <c r="N54" s="4">
        <v>24.808</v>
      </c>
      <c r="O54" s="4">
        <v>79.531000000000006</v>
      </c>
      <c r="P54" s="4">
        <v>79.423500000000004</v>
      </c>
      <c r="Q54" s="4">
        <v>94.565666666666672</v>
      </c>
      <c r="R54" s="4">
        <v>70.894800000000004</v>
      </c>
      <c r="S54" s="4">
        <v>57.230399999999996</v>
      </c>
      <c r="T54" s="4">
        <v>55.634888888888888</v>
      </c>
      <c r="U54" s="4">
        <v>74.742000000000004</v>
      </c>
    </row>
    <row r="55" spans="1:21" x14ac:dyDescent="0.25">
      <c r="A55" t="s">
        <v>125</v>
      </c>
      <c r="B55" t="s">
        <v>126</v>
      </c>
      <c r="C55" s="2">
        <v>72.608897776080141</v>
      </c>
      <c r="D55" s="3">
        <v>54</v>
      </c>
      <c r="E55" s="4">
        <v>100</v>
      </c>
      <c r="F55" s="4">
        <v>61.759857142857143</v>
      </c>
      <c r="G55" s="4">
        <v>73.484999999999999</v>
      </c>
      <c r="H55" s="4">
        <v>88.282666666666671</v>
      </c>
      <c r="I55" s="4">
        <v>54.14875</v>
      </c>
      <c r="J55" s="4">
        <v>65.561200000000014</v>
      </c>
      <c r="K55" s="4">
        <v>90.90100000000001</v>
      </c>
      <c r="L55" s="4">
        <v>66.027199999999993</v>
      </c>
      <c r="M55" s="4">
        <v>34.636333333333333</v>
      </c>
      <c r="N55" s="4">
        <v>68.597000000000008</v>
      </c>
      <c r="O55" s="4">
        <v>85.414666666666662</v>
      </c>
      <c r="P55" s="4">
        <v>84.770499999999984</v>
      </c>
      <c r="Q55" s="4">
        <v>90.400666666666666</v>
      </c>
      <c r="S55" s="4">
        <v>66.704199999999986</v>
      </c>
      <c r="T55" s="4">
        <v>74.039777777777772</v>
      </c>
      <c r="U55" s="4">
        <v>70.704666666666668</v>
      </c>
    </row>
    <row r="56" spans="1:21" x14ac:dyDescent="0.25">
      <c r="A56" t="s">
        <v>111</v>
      </c>
      <c r="B56" t="s">
        <v>112</v>
      </c>
      <c r="C56" s="2">
        <v>72.58152218568587</v>
      </c>
      <c r="D56" s="3">
        <v>55</v>
      </c>
      <c r="F56" s="4">
        <v>58.415142857142861</v>
      </c>
      <c r="G56" s="4">
        <v>85.297499999999999</v>
      </c>
      <c r="H56" s="4">
        <v>95.458000000000013</v>
      </c>
      <c r="I56" s="4">
        <v>83.63</v>
      </c>
      <c r="J56" s="4">
        <v>74.502200000000002</v>
      </c>
      <c r="K56" s="4">
        <v>85.362666666666655</v>
      </c>
      <c r="L56" s="4">
        <v>91.853333333333339</v>
      </c>
      <c r="M56" s="4">
        <v>23.107833333333332</v>
      </c>
      <c r="O56" s="4">
        <v>56.179333333333339</v>
      </c>
      <c r="P56" s="4">
        <v>88.221999999999994</v>
      </c>
      <c r="Q56" s="4">
        <v>88.381500000000003</v>
      </c>
      <c r="R56" s="4">
        <v>66.894199999999998</v>
      </c>
      <c r="S56" s="4">
        <v>51.433599999999998</v>
      </c>
      <c r="T56" s="4">
        <v>64.70183333333334</v>
      </c>
      <c r="U56" s="4">
        <v>100</v>
      </c>
    </row>
    <row r="57" spans="1:21" x14ac:dyDescent="0.25">
      <c r="A57" t="s">
        <v>161</v>
      </c>
      <c r="B57" t="s">
        <v>162</v>
      </c>
      <c r="C57" s="2">
        <v>72.269622128851537</v>
      </c>
      <c r="D57" s="3">
        <v>56</v>
      </c>
      <c r="E57" s="4">
        <v>97.881</v>
      </c>
      <c r="F57" s="4">
        <v>54.580571428571439</v>
      </c>
      <c r="G57" s="4">
        <v>75.503571428571419</v>
      </c>
      <c r="H57" s="4">
        <v>90.485333333333344</v>
      </c>
      <c r="I57" s="4">
        <v>52.793500000000002</v>
      </c>
      <c r="J57" s="4">
        <v>61.034000000000006</v>
      </c>
      <c r="K57" s="4">
        <v>87.173333333333332</v>
      </c>
      <c r="L57" s="4">
        <v>67.032999999999987</v>
      </c>
      <c r="M57" s="4">
        <v>40.04</v>
      </c>
      <c r="N57" s="4">
        <v>88.67</v>
      </c>
      <c r="O57" s="4">
        <v>66.611666666666665</v>
      </c>
      <c r="P57" s="4">
        <v>88.36066666666666</v>
      </c>
      <c r="Q57" s="4">
        <v>92.091333333333338</v>
      </c>
      <c r="R57" s="4">
        <v>48.790399999999998</v>
      </c>
      <c r="S57" s="4">
        <v>62.181200000000011</v>
      </c>
      <c r="T57" s="4">
        <v>72.327333333333343</v>
      </c>
      <c r="U57" s="4">
        <v>83.026666666666657</v>
      </c>
    </row>
    <row r="58" spans="1:21" x14ac:dyDescent="0.25">
      <c r="A58" t="s">
        <v>117</v>
      </c>
      <c r="B58" t="s">
        <v>118</v>
      </c>
      <c r="C58" s="2">
        <v>71.92445354449471</v>
      </c>
      <c r="D58" s="3">
        <v>57</v>
      </c>
      <c r="E58" s="4">
        <v>99.960999999999999</v>
      </c>
      <c r="F58" s="4">
        <v>50.066200000000002</v>
      </c>
      <c r="G58" s="4">
        <v>76.618076923076927</v>
      </c>
      <c r="H58" s="4">
        <v>94.624000000000009</v>
      </c>
      <c r="I58" s="4">
        <v>66.337000000000003</v>
      </c>
      <c r="J58" s="4">
        <v>72.010999999999996</v>
      </c>
      <c r="K58" s="4">
        <v>91.009333333333345</v>
      </c>
      <c r="L58" s="4">
        <v>79.5886</v>
      </c>
      <c r="M58" s="4">
        <v>66.255166666666653</v>
      </c>
      <c r="N58" s="4">
        <v>53.484999999999999</v>
      </c>
      <c r="O58" s="4">
        <v>82.352999999999994</v>
      </c>
      <c r="P58" s="4">
        <v>77.839166666666671</v>
      </c>
      <c r="Q58" s="4">
        <v>76.716333333333338</v>
      </c>
      <c r="R58" s="4">
        <v>50.695800000000006</v>
      </c>
      <c r="S58" s="4">
        <v>66.147199999999998</v>
      </c>
      <c r="T58" s="4">
        <v>51.227499999999999</v>
      </c>
      <c r="U58" s="4">
        <v>67.781333333333336</v>
      </c>
    </row>
    <row r="59" spans="1:21" x14ac:dyDescent="0.25">
      <c r="A59" t="s">
        <v>103</v>
      </c>
      <c r="B59" t="s">
        <v>104</v>
      </c>
      <c r="C59" s="2">
        <v>71.880186274509811</v>
      </c>
      <c r="D59" s="3">
        <v>58</v>
      </c>
      <c r="E59" s="4">
        <v>85.77600000000001</v>
      </c>
      <c r="F59" s="4">
        <v>51.183857142857143</v>
      </c>
      <c r="G59" s="4">
        <v>73.187642857142848</v>
      </c>
      <c r="H59" s="4">
        <v>97.210333333333324</v>
      </c>
      <c r="I59" s="4">
        <v>58.860250000000008</v>
      </c>
      <c r="J59" s="4">
        <v>83.497600000000006</v>
      </c>
      <c r="K59" s="4">
        <v>88.089666666666673</v>
      </c>
      <c r="L59" s="4">
        <v>70.615600000000001</v>
      </c>
      <c r="M59" s="4">
        <v>37.145166666666668</v>
      </c>
      <c r="N59" s="4">
        <v>43.459000000000003</v>
      </c>
      <c r="O59" s="4">
        <v>83.286000000000001</v>
      </c>
      <c r="P59" s="4">
        <v>84.673000000000016</v>
      </c>
      <c r="Q59" s="4">
        <v>88.18</v>
      </c>
      <c r="R59" s="4">
        <v>64.282250000000005</v>
      </c>
      <c r="S59" s="4">
        <v>66.0608</v>
      </c>
      <c r="T59" s="4">
        <v>83.420333333333332</v>
      </c>
      <c r="U59" s="4">
        <v>63.035666666666664</v>
      </c>
    </row>
    <row r="60" spans="1:21" x14ac:dyDescent="0.25">
      <c r="A60" t="s">
        <v>191</v>
      </c>
      <c r="B60" t="s">
        <v>192</v>
      </c>
      <c r="C60" s="2">
        <v>71.813098832866473</v>
      </c>
      <c r="D60" s="3">
        <v>59</v>
      </c>
      <c r="E60" s="4">
        <v>95.787499999999994</v>
      </c>
      <c r="F60" s="4">
        <v>58.403571428571425</v>
      </c>
      <c r="G60" s="4">
        <v>79.147714285714301</v>
      </c>
      <c r="H60" s="4">
        <v>94.658000000000015</v>
      </c>
      <c r="I60" s="4">
        <v>43.792249999999996</v>
      </c>
      <c r="J60" s="4">
        <v>59.547399999999996</v>
      </c>
      <c r="K60" s="4">
        <v>88.418666666666653</v>
      </c>
      <c r="L60" s="4">
        <v>70.093400000000003</v>
      </c>
      <c r="M60" s="4">
        <v>54.475666666666676</v>
      </c>
      <c r="N60" s="4">
        <v>59.901000000000003</v>
      </c>
      <c r="O60" s="4">
        <v>75.290333333333322</v>
      </c>
      <c r="P60" s="4">
        <v>84.579666666666682</v>
      </c>
      <c r="Q60" s="4">
        <v>82.793666666666667</v>
      </c>
      <c r="R60" s="4">
        <v>75.8994</v>
      </c>
      <c r="S60" s="4">
        <v>67.022000000000006</v>
      </c>
      <c r="T60" s="4">
        <v>63.297111111111107</v>
      </c>
      <c r="U60" s="4">
        <v>67.715333333333334</v>
      </c>
    </row>
    <row r="61" spans="1:21" x14ac:dyDescent="0.25">
      <c r="A61" t="s">
        <v>175</v>
      </c>
      <c r="B61" t="s">
        <v>176</v>
      </c>
      <c r="C61" s="2">
        <v>71.758739495798324</v>
      </c>
      <c r="D61" s="3">
        <v>60</v>
      </c>
      <c r="E61" s="4">
        <v>99.980500000000006</v>
      </c>
      <c r="F61" s="4">
        <v>54.557142857142864</v>
      </c>
      <c r="G61" s="4">
        <v>79.46378571428572</v>
      </c>
      <c r="H61" s="4">
        <v>90.418000000000006</v>
      </c>
      <c r="I61" s="4">
        <v>55.861000000000004</v>
      </c>
      <c r="J61" s="4">
        <v>77.548200000000008</v>
      </c>
      <c r="K61" s="4">
        <v>91.097333333333324</v>
      </c>
      <c r="L61" s="4">
        <v>80.895600000000002</v>
      </c>
      <c r="M61" s="4">
        <v>71.45450000000001</v>
      </c>
      <c r="N61" s="4">
        <v>56.253999999999998</v>
      </c>
      <c r="O61" s="4">
        <v>83.88266666666668</v>
      </c>
      <c r="P61" s="4">
        <v>76.913166666666669</v>
      </c>
      <c r="Q61" s="4">
        <v>78.678333333333342</v>
      </c>
      <c r="R61" s="4">
        <v>55.998199999999997</v>
      </c>
      <c r="S61" s="4">
        <v>40.116</v>
      </c>
      <c r="T61" s="4">
        <v>71.69014285714286</v>
      </c>
      <c r="U61" s="4">
        <v>55.09</v>
      </c>
    </row>
    <row r="62" spans="1:21" x14ac:dyDescent="0.25">
      <c r="A62" t="s">
        <v>149</v>
      </c>
      <c r="B62" t="s">
        <v>150</v>
      </c>
      <c r="C62" s="2">
        <v>71.754564799253046</v>
      </c>
      <c r="D62" s="3">
        <v>61</v>
      </c>
      <c r="E62" s="4">
        <v>90.133499999999998</v>
      </c>
      <c r="F62" s="4">
        <v>63.375857142857157</v>
      </c>
      <c r="G62" s="4">
        <v>78.474999999999994</v>
      </c>
      <c r="H62" s="4">
        <v>95.446000000000012</v>
      </c>
      <c r="I62" s="4">
        <v>67.739500000000007</v>
      </c>
      <c r="J62" s="4">
        <v>80.327200000000005</v>
      </c>
      <c r="K62" s="4">
        <v>84.714333333333343</v>
      </c>
      <c r="L62" s="4">
        <v>75.472400000000007</v>
      </c>
      <c r="M62" s="4">
        <v>36.220166666666678</v>
      </c>
      <c r="N62" s="4">
        <v>39.825000000000003</v>
      </c>
      <c r="O62" s="4">
        <v>74.972999999999999</v>
      </c>
      <c r="P62" s="4">
        <v>86.99433333333333</v>
      </c>
      <c r="Q62" s="4">
        <v>93.818666666666672</v>
      </c>
      <c r="R62" s="4">
        <v>82.059200000000004</v>
      </c>
      <c r="S62" s="4">
        <v>55.259</v>
      </c>
      <c r="T62" s="4">
        <v>58.057777777777773</v>
      </c>
      <c r="U62" s="4">
        <v>56.936666666666667</v>
      </c>
    </row>
    <row r="63" spans="1:21" x14ac:dyDescent="0.25">
      <c r="A63" t="s">
        <v>139</v>
      </c>
      <c r="B63" t="s">
        <v>140</v>
      </c>
      <c r="C63" s="2">
        <v>71.399160381122158</v>
      </c>
      <c r="D63" s="3">
        <v>62</v>
      </c>
      <c r="E63" s="4">
        <v>89.953000000000003</v>
      </c>
      <c r="F63" s="4">
        <v>64.698714285714303</v>
      </c>
      <c r="G63" s="4">
        <v>80.208357142857139</v>
      </c>
      <c r="H63" s="4">
        <v>90.616666666666674</v>
      </c>
      <c r="I63" s="4">
        <v>55.477499999999999</v>
      </c>
      <c r="J63" s="4">
        <v>76.215999999999994</v>
      </c>
      <c r="K63" s="4">
        <v>80.422666666666672</v>
      </c>
      <c r="L63" s="4">
        <v>67.936400000000006</v>
      </c>
      <c r="M63" s="4">
        <v>35.323</v>
      </c>
      <c r="N63" s="4">
        <v>53.500999999999998</v>
      </c>
      <c r="O63" s="4">
        <v>72.503</v>
      </c>
      <c r="P63" s="4">
        <v>76.685333333333332</v>
      </c>
      <c r="Q63" s="4">
        <v>89.374000000000009</v>
      </c>
      <c r="S63" s="4">
        <v>79.94919999999999</v>
      </c>
      <c r="T63" s="4">
        <v>72.105111111111114</v>
      </c>
      <c r="U63" s="4">
        <v>69.89800000000001</v>
      </c>
    </row>
    <row r="64" spans="1:21" x14ac:dyDescent="0.25">
      <c r="A64" t="s">
        <v>135</v>
      </c>
      <c r="B64" t="s">
        <v>136</v>
      </c>
      <c r="C64" s="2">
        <v>71.372005882352937</v>
      </c>
      <c r="D64" s="3">
        <v>63</v>
      </c>
      <c r="E64" s="4">
        <v>97.802499999999995</v>
      </c>
      <c r="F64" s="4">
        <v>53.617857142857147</v>
      </c>
      <c r="G64" s="4">
        <v>74.672142857142845</v>
      </c>
      <c r="H64" s="4">
        <v>86.916333333333341</v>
      </c>
      <c r="I64" s="4">
        <v>49.939000000000007</v>
      </c>
      <c r="J64" s="4">
        <v>63.326199999999993</v>
      </c>
      <c r="K64" s="4">
        <v>91.987666666666655</v>
      </c>
      <c r="L64" s="4">
        <v>62.675199999999997</v>
      </c>
      <c r="M64" s="4">
        <v>41.810499999999998</v>
      </c>
      <c r="N64" s="4">
        <v>64.783000000000001</v>
      </c>
      <c r="O64" s="4">
        <v>65.044666666666672</v>
      </c>
      <c r="P64" s="4">
        <v>87.436833333333325</v>
      </c>
      <c r="Q64" s="4">
        <v>92.647666666666666</v>
      </c>
      <c r="R64" s="4">
        <v>63.460599999999999</v>
      </c>
      <c r="S64" s="4">
        <v>66.929600000000008</v>
      </c>
      <c r="T64" s="4">
        <v>69.642999999999986</v>
      </c>
      <c r="U64" s="4">
        <v>80.63133333333333</v>
      </c>
    </row>
    <row r="65" spans="1:21" x14ac:dyDescent="0.25">
      <c r="A65" t="s">
        <v>159</v>
      </c>
      <c r="B65" t="s">
        <v>160</v>
      </c>
      <c r="C65" s="2">
        <v>71.294600933706818</v>
      </c>
      <c r="D65" s="3">
        <v>64</v>
      </c>
      <c r="E65" s="4">
        <v>95.484999999999999</v>
      </c>
      <c r="F65" s="4">
        <v>56.761571428571422</v>
      </c>
      <c r="G65" s="4">
        <v>75.368499999999997</v>
      </c>
      <c r="H65" s="4">
        <v>83.708333333333329</v>
      </c>
      <c r="I65" s="4">
        <v>41.134500000000003</v>
      </c>
      <c r="J65" s="4">
        <v>65.227800000000002</v>
      </c>
      <c r="K65" s="4">
        <v>87.86066666666666</v>
      </c>
      <c r="L65" s="4">
        <v>66.945599999999985</v>
      </c>
      <c r="M65" s="4">
        <v>39.083000000000006</v>
      </c>
      <c r="N65" s="4">
        <v>65.486999999999995</v>
      </c>
      <c r="O65" s="4">
        <v>68.978999999999999</v>
      </c>
      <c r="P65" s="4">
        <v>91.37</v>
      </c>
      <c r="Q65" s="4">
        <v>95.689333333333323</v>
      </c>
      <c r="R65" s="4">
        <v>60.101600000000005</v>
      </c>
      <c r="S65" s="4">
        <v>78.370199999999997</v>
      </c>
      <c r="T65" s="4">
        <v>72.273777777777781</v>
      </c>
      <c r="U65" s="4">
        <v>68.162333333333336</v>
      </c>
    </row>
    <row r="66" spans="1:21" x14ac:dyDescent="0.25">
      <c r="A66" t="s">
        <v>151</v>
      </c>
      <c r="B66" t="s">
        <v>152</v>
      </c>
      <c r="C66" s="2">
        <v>71.058550577200577</v>
      </c>
      <c r="D66" s="3">
        <v>65</v>
      </c>
      <c r="E66" s="4">
        <v>99.885999999999996</v>
      </c>
      <c r="F66" s="4">
        <v>53.347285714285711</v>
      </c>
      <c r="G66" s="4">
        <v>77.67128571428573</v>
      </c>
      <c r="H66" s="4">
        <v>90.454000000000008</v>
      </c>
      <c r="I66" s="4">
        <v>77.037999999999997</v>
      </c>
      <c r="J66" s="4">
        <v>78.813400000000001</v>
      </c>
      <c r="K66" s="4">
        <v>83.606999999999999</v>
      </c>
      <c r="L66" s="4">
        <v>76.908000000000001</v>
      </c>
      <c r="M66" s="4">
        <v>40.971499999999999</v>
      </c>
      <c r="N66" s="4">
        <v>60.048000000000002</v>
      </c>
      <c r="O66" s="4">
        <v>83.661333333333332</v>
      </c>
      <c r="P66" s="4">
        <v>75.544333333333327</v>
      </c>
      <c r="Q66" s="4">
        <v>68.287666666666667</v>
      </c>
      <c r="S66" s="4">
        <v>58.636000000000003</v>
      </c>
      <c r="T66" s="4">
        <v>72.975111111111104</v>
      </c>
      <c r="U66" s="4">
        <v>51.228666666666669</v>
      </c>
    </row>
    <row r="67" spans="1:21" x14ac:dyDescent="0.25">
      <c r="A67" t="s">
        <v>157</v>
      </c>
      <c r="B67" t="s">
        <v>158</v>
      </c>
      <c r="C67" s="2">
        <v>71.018146842373312</v>
      </c>
      <c r="D67" s="3">
        <v>66</v>
      </c>
      <c r="E67" s="4">
        <v>67.498500000000007</v>
      </c>
      <c r="F67" s="4">
        <v>59.860428571428564</v>
      </c>
      <c r="G67" s="4">
        <v>77.411642857142866</v>
      </c>
      <c r="H67" s="4">
        <v>94.436333333333337</v>
      </c>
      <c r="I67" s="4">
        <v>73.894000000000005</v>
      </c>
      <c r="J67" s="4">
        <v>58.3596</v>
      </c>
      <c r="K67" s="4">
        <v>89.477000000000018</v>
      </c>
      <c r="L67" s="4">
        <v>70.881600000000006</v>
      </c>
      <c r="M67" s="4">
        <v>27.688833333333335</v>
      </c>
      <c r="N67" s="4">
        <v>51.166000000000004</v>
      </c>
      <c r="O67" s="4">
        <v>86.617666666666665</v>
      </c>
      <c r="P67" s="4">
        <v>91.454800000000006</v>
      </c>
      <c r="Q67" s="4">
        <v>94.089666666666673</v>
      </c>
      <c r="S67" s="4">
        <v>62.706600000000002</v>
      </c>
      <c r="T67" s="4">
        <v>76.764714285714277</v>
      </c>
      <c r="U67" s="4">
        <v>66.083333333333329</v>
      </c>
    </row>
    <row r="68" spans="1:21" x14ac:dyDescent="0.25">
      <c r="A68" t="s">
        <v>171</v>
      </c>
      <c r="B68" t="s">
        <v>172</v>
      </c>
      <c r="C68" s="2">
        <v>70.905391643324009</v>
      </c>
      <c r="D68" s="3">
        <v>67</v>
      </c>
      <c r="E68" s="4">
        <v>86.642499999999998</v>
      </c>
      <c r="F68" s="4">
        <v>59.438857142857138</v>
      </c>
      <c r="G68" s="4">
        <v>79.186428571428578</v>
      </c>
      <c r="H68" s="4">
        <v>84.325333333333333</v>
      </c>
      <c r="I68" s="4">
        <v>70.653750000000002</v>
      </c>
      <c r="J68" s="4">
        <v>81.160799999999995</v>
      </c>
      <c r="K68" s="4">
        <v>91.262</v>
      </c>
      <c r="L68" s="4">
        <v>69.601799999999997</v>
      </c>
      <c r="M68" s="4">
        <v>40.212166666666668</v>
      </c>
      <c r="N68" s="4">
        <v>21.914999999999999</v>
      </c>
      <c r="O68" s="4">
        <v>84.158000000000001</v>
      </c>
      <c r="P68" s="4">
        <v>86.16200000000002</v>
      </c>
      <c r="Q68" s="4">
        <v>90.037999999999997</v>
      </c>
      <c r="R68" s="4">
        <v>79.043800000000005</v>
      </c>
      <c r="S68" s="4">
        <v>57.184000000000005</v>
      </c>
      <c r="T68" s="4">
        <v>58.43255555555556</v>
      </c>
      <c r="U68" s="4">
        <v>65.974666666666664</v>
      </c>
    </row>
    <row r="69" spans="1:21" x14ac:dyDescent="0.25">
      <c r="A69" t="s">
        <v>127</v>
      </c>
      <c r="B69" t="s">
        <v>128</v>
      </c>
      <c r="C69" s="2">
        <v>70.817032679738574</v>
      </c>
      <c r="D69" s="3">
        <v>68</v>
      </c>
      <c r="E69" s="4">
        <v>95.535499999999999</v>
      </c>
      <c r="F69" s="4">
        <v>48.876000000000012</v>
      </c>
      <c r="G69" s="4">
        <v>78.144000000000005</v>
      </c>
      <c r="H69" s="4">
        <v>94.155666666666662</v>
      </c>
      <c r="I69" s="4">
        <v>54.548749999999998</v>
      </c>
      <c r="J69" s="4">
        <v>75.907600000000002</v>
      </c>
      <c r="K69" s="4">
        <v>86.844999999999999</v>
      </c>
      <c r="L69" s="4">
        <v>64.439599999999999</v>
      </c>
      <c r="M69" s="4">
        <v>29.071666666666673</v>
      </c>
      <c r="N69" s="4">
        <v>60.051000000000002</v>
      </c>
      <c r="O69" s="4">
        <v>75.01166666666667</v>
      </c>
      <c r="P69" s="4">
        <v>79.864833333333337</v>
      </c>
      <c r="Q69" s="4">
        <v>93.262999999999991</v>
      </c>
      <c r="R69" s="4">
        <v>50.303250000000006</v>
      </c>
      <c r="S69" s="4">
        <v>85.660799999999995</v>
      </c>
      <c r="T69" s="4">
        <v>66.620222222222239</v>
      </c>
      <c r="U69" s="4">
        <v>65.590999999999994</v>
      </c>
    </row>
    <row r="70" spans="1:21" x14ac:dyDescent="0.25">
      <c r="A70" t="s">
        <v>179</v>
      </c>
      <c r="B70" t="s">
        <v>180</v>
      </c>
      <c r="C70" s="2">
        <v>70.436346311858088</v>
      </c>
      <c r="D70" s="3">
        <v>69</v>
      </c>
      <c r="E70" s="4">
        <v>87.263000000000005</v>
      </c>
      <c r="F70" s="4">
        <v>56.827857142857155</v>
      </c>
      <c r="G70" s="4">
        <v>81.674785714285704</v>
      </c>
      <c r="H70" s="4">
        <v>99.584999999999994</v>
      </c>
      <c r="I70" s="4">
        <v>76.897000000000006</v>
      </c>
      <c r="J70" s="4">
        <v>78.78779999999999</v>
      </c>
      <c r="K70" s="4">
        <v>86.756999999999991</v>
      </c>
      <c r="L70" s="4">
        <v>73.456600000000009</v>
      </c>
      <c r="M70" s="4">
        <v>46.45333333333334</v>
      </c>
      <c r="N70" s="4">
        <v>21.527000000000001</v>
      </c>
      <c r="O70" s="4">
        <v>81.406999999999996</v>
      </c>
      <c r="P70" s="4">
        <v>81.061333333333337</v>
      </c>
      <c r="Q70" s="4">
        <v>89.148666666666671</v>
      </c>
      <c r="R70" s="4">
        <v>74.917600000000007</v>
      </c>
      <c r="S70" s="4">
        <v>47.373800000000003</v>
      </c>
      <c r="T70" s="4">
        <v>53.843444444444444</v>
      </c>
      <c r="U70" s="4">
        <v>60.436666666666667</v>
      </c>
    </row>
    <row r="71" spans="1:21" x14ac:dyDescent="0.25">
      <c r="A71" t="s">
        <v>436</v>
      </c>
      <c r="B71" t="s">
        <v>164</v>
      </c>
      <c r="C71" s="2">
        <v>70.30322351863822</v>
      </c>
      <c r="D71" s="3">
        <v>70</v>
      </c>
      <c r="E71" s="4">
        <v>99.679500000000004</v>
      </c>
      <c r="F71" s="4">
        <v>59.742285714285721</v>
      </c>
      <c r="G71" s="4">
        <v>81.169230769230779</v>
      </c>
      <c r="H71" s="4">
        <v>98.75566666666667</v>
      </c>
      <c r="I71" s="4">
        <v>46.246750000000006</v>
      </c>
      <c r="J71" s="4">
        <v>75.51700000000001</v>
      </c>
      <c r="K71" s="4">
        <v>88.661000000000001</v>
      </c>
      <c r="L71" s="4">
        <v>69.709400000000002</v>
      </c>
      <c r="M71" s="4">
        <v>59.342500000000001</v>
      </c>
      <c r="N71" s="4">
        <v>39.335000000000001</v>
      </c>
      <c r="O71" s="4">
        <v>70.392999999999986</v>
      </c>
      <c r="P71" s="4">
        <v>81.456000000000003</v>
      </c>
      <c r="Q71" s="4">
        <v>88.853666666666655</v>
      </c>
      <c r="R71" s="4">
        <v>45.892200000000003</v>
      </c>
      <c r="S71" s="4">
        <v>52.811599999999999</v>
      </c>
      <c r="T71" s="4">
        <v>65.690999999999988</v>
      </c>
      <c r="U71" s="4">
        <v>71.899000000000001</v>
      </c>
    </row>
    <row r="72" spans="1:21" x14ac:dyDescent="0.25">
      <c r="A72" t="s">
        <v>177</v>
      </c>
      <c r="B72" t="s">
        <v>178</v>
      </c>
      <c r="C72" s="2">
        <v>70.295398734109014</v>
      </c>
      <c r="D72" s="3">
        <v>71</v>
      </c>
      <c r="F72" s="4">
        <v>63.397571428571432</v>
      </c>
      <c r="G72" s="4">
        <v>85.059615384615398</v>
      </c>
      <c r="H72" s="4">
        <v>88.629333333333349</v>
      </c>
      <c r="I72" s="4">
        <v>73.715499999999992</v>
      </c>
      <c r="J72" s="4">
        <v>56.111599999999996</v>
      </c>
      <c r="K72" s="4">
        <v>90.719333333333338</v>
      </c>
      <c r="L72" s="4">
        <v>68.982250000000008</v>
      </c>
      <c r="M72" s="4">
        <v>73.569166666666675</v>
      </c>
      <c r="N72" s="4">
        <v>85.887</v>
      </c>
      <c r="O72" s="4">
        <v>77.511499999999998</v>
      </c>
      <c r="P72" s="4">
        <v>52.161833333333334</v>
      </c>
      <c r="Q72" s="4">
        <v>28.849333333333334</v>
      </c>
      <c r="R72" s="4">
        <v>67.086200000000005</v>
      </c>
      <c r="S72" s="4">
        <v>58.207666666666661</v>
      </c>
      <c r="T72" s="4">
        <v>79.581625000000003</v>
      </c>
      <c r="U72" s="4">
        <v>51.389000000000003</v>
      </c>
    </row>
    <row r="73" spans="1:21" x14ac:dyDescent="0.25">
      <c r="A73" t="s">
        <v>153</v>
      </c>
      <c r="B73" t="s">
        <v>154</v>
      </c>
      <c r="C73" s="2">
        <v>70.187862651727357</v>
      </c>
      <c r="D73" s="3">
        <v>72</v>
      </c>
      <c r="E73" s="4">
        <v>99.915500000000009</v>
      </c>
      <c r="F73" s="4">
        <v>50.318428571428576</v>
      </c>
      <c r="G73" s="4">
        <v>78.129214285714269</v>
      </c>
      <c r="H73" s="4">
        <v>96.725333333333353</v>
      </c>
      <c r="I73" s="4">
        <v>59.361499999999999</v>
      </c>
      <c r="J73" s="4">
        <v>69.834000000000003</v>
      </c>
      <c r="K73" s="4">
        <v>84.36</v>
      </c>
      <c r="L73" s="4">
        <v>69.288800000000009</v>
      </c>
      <c r="M73" s="4">
        <v>43.773833333333336</v>
      </c>
      <c r="N73" s="4">
        <v>63.372</v>
      </c>
      <c r="O73" s="4">
        <v>72.197333333333333</v>
      </c>
      <c r="P73" s="4">
        <v>60.421166666666664</v>
      </c>
      <c r="Q73" s="4">
        <v>85.931333333333328</v>
      </c>
      <c r="R73" s="4">
        <v>33.213250000000002</v>
      </c>
      <c r="S73" s="4">
        <v>51.981749999999998</v>
      </c>
      <c r="T73" s="4">
        <v>74.370222222222225</v>
      </c>
      <c r="U73" s="4">
        <v>100</v>
      </c>
    </row>
    <row r="74" spans="1:21" x14ac:dyDescent="0.25">
      <c r="A74" t="s">
        <v>143</v>
      </c>
      <c r="B74" t="s">
        <v>144</v>
      </c>
      <c r="C74" s="2">
        <v>70.165078151260502</v>
      </c>
      <c r="D74" s="3">
        <v>73</v>
      </c>
      <c r="E74" s="4">
        <v>95.364500000000007</v>
      </c>
      <c r="F74" s="4">
        <v>54.377571428571436</v>
      </c>
      <c r="G74" s="4">
        <v>67.770857142857139</v>
      </c>
      <c r="H74" s="4">
        <v>88.094333333333338</v>
      </c>
      <c r="I74" s="4">
        <v>72.219249999999988</v>
      </c>
      <c r="J74" s="4">
        <v>69.717200000000005</v>
      </c>
      <c r="K74" s="4">
        <v>90.025999999999996</v>
      </c>
      <c r="L74" s="4">
        <v>78.524200000000008</v>
      </c>
      <c r="M74" s="4">
        <v>33.869999999999997</v>
      </c>
      <c r="N74" s="4">
        <v>32.256</v>
      </c>
      <c r="O74" s="4">
        <v>80.192333333333337</v>
      </c>
      <c r="P74" s="4">
        <v>84.943000000000012</v>
      </c>
      <c r="Q74" s="4">
        <v>92.805000000000007</v>
      </c>
      <c r="R74" s="4">
        <v>75.373750000000001</v>
      </c>
      <c r="S74" s="4">
        <v>75.073000000000008</v>
      </c>
      <c r="T74" s="4">
        <v>54.784999999999997</v>
      </c>
      <c r="U74" s="4">
        <v>47.414333333333332</v>
      </c>
    </row>
    <row r="75" spans="1:21" x14ac:dyDescent="0.25">
      <c r="A75" t="s">
        <v>133</v>
      </c>
      <c r="B75" t="s">
        <v>134</v>
      </c>
      <c r="C75" s="2">
        <v>69.946921568627445</v>
      </c>
      <c r="D75" s="3">
        <v>74</v>
      </c>
      <c r="E75" s="4">
        <v>93.368500000000012</v>
      </c>
      <c r="F75" s="4">
        <v>51.29</v>
      </c>
      <c r="G75" s="4">
        <v>70.774083333333351</v>
      </c>
      <c r="H75" s="4">
        <v>97.507999999999996</v>
      </c>
      <c r="I75" s="4">
        <v>58.280999999999999</v>
      </c>
      <c r="J75" s="4">
        <v>76.740399999999994</v>
      </c>
      <c r="K75" s="4">
        <v>66.96350000000001</v>
      </c>
      <c r="L75" s="4">
        <v>83.451000000000008</v>
      </c>
      <c r="M75" s="4">
        <v>39.7014</v>
      </c>
      <c r="N75" s="4">
        <v>29.738</v>
      </c>
      <c r="O75" s="4">
        <v>95.593500000000006</v>
      </c>
      <c r="P75" s="4">
        <v>81.16</v>
      </c>
      <c r="Q75" s="4">
        <v>92.165000000000006</v>
      </c>
      <c r="R75" s="4">
        <v>59.210250000000002</v>
      </c>
      <c r="S75" s="4">
        <v>42.8202</v>
      </c>
      <c r="T75" s="4">
        <v>85.589500000000001</v>
      </c>
      <c r="U75" s="4">
        <v>64.743333333333325</v>
      </c>
    </row>
    <row r="76" spans="1:21" x14ac:dyDescent="0.25">
      <c r="A76" t="s">
        <v>131</v>
      </c>
      <c r="B76" t="s">
        <v>132</v>
      </c>
      <c r="C76" s="2">
        <v>69.860363228927923</v>
      </c>
      <c r="D76" s="3">
        <v>75</v>
      </c>
      <c r="E76" s="4">
        <v>93.183500000000009</v>
      </c>
      <c r="F76" s="4">
        <v>58.966000000000001</v>
      </c>
      <c r="G76" s="4">
        <v>77.385214285714298</v>
      </c>
      <c r="H76" s="4">
        <v>90.487000000000009</v>
      </c>
      <c r="I76" s="4">
        <v>58.067250000000001</v>
      </c>
      <c r="J76" s="4">
        <v>67.494200000000006</v>
      </c>
      <c r="K76" s="4">
        <v>94.97966666666666</v>
      </c>
      <c r="L76" s="4">
        <v>64.888599999999997</v>
      </c>
      <c r="M76" s="4">
        <v>33.428666666666672</v>
      </c>
      <c r="N76" s="4">
        <v>43.762999999999998</v>
      </c>
      <c r="O76" s="4">
        <v>67.221999999999994</v>
      </c>
      <c r="P76" s="4">
        <v>89.489500000000007</v>
      </c>
      <c r="Q76" s="4">
        <v>93.683333333333337</v>
      </c>
      <c r="S76" s="4">
        <v>61.083799999999997</v>
      </c>
      <c r="T76" s="4">
        <v>77.608999999999995</v>
      </c>
      <c r="U76" s="4">
        <v>56.977666666666664</v>
      </c>
    </row>
    <row r="77" spans="1:21" x14ac:dyDescent="0.25">
      <c r="A77" t="s">
        <v>199</v>
      </c>
      <c r="B77" t="s">
        <v>200</v>
      </c>
      <c r="C77" s="2">
        <v>69.668435650623891</v>
      </c>
      <c r="D77" s="3">
        <v>76</v>
      </c>
      <c r="F77" s="4">
        <v>58.321428571428569</v>
      </c>
      <c r="G77" s="4">
        <v>84.542071428571447</v>
      </c>
      <c r="H77" s="4">
        <v>89.241666666666674</v>
      </c>
      <c r="I77" s="4">
        <v>36.448</v>
      </c>
      <c r="J77" s="4">
        <v>51.162799999999997</v>
      </c>
      <c r="K77" s="4">
        <v>87.475666666666669</v>
      </c>
      <c r="L77" s="4">
        <v>73.913250000000005</v>
      </c>
      <c r="M77" s="4">
        <v>51.088833333333326</v>
      </c>
      <c r="O77" s="4">
        <v>77.878</v>
      </c>
      <c r="P77" s="4">
        <v>72.149500000000003</v>
      </c>
      <c r="Q77" s="4">
        <v>63.594999999999999</v>
      </c>
      <c r="R77" s="4">
        <v>70.242000000000004</v>
      </c>
      <c r="S77" s="4">
        <v>56.951000000000001</v>
      </c>
      <c r="T77" s="4">
        <v>80.198666666666668</v>
      </c>
      <c r="U77" s="4">
        <v>74.67</v>
      </c>
    </row>
    <row r="78" spans="1:21" x14ac:dyDescent="0.25">
      <c r="A78" t="s">
        <v>165</v>
      </c>
      <c r="B78" t="s">
        <v>166</v>
      </c>
      <c r="C78" s="2">
        <v>69.624196498599417</v>
      </c>
      <c r="D78" s="3">
        <v>77</v>
      </c>
      <c r="E78" s="4">
        <v>92.060500000000005</v>
      </c>
      <c r="F78" s="4">
        <v>52.950142857142851</v>
      </c>
      <c r="G78" s="4">
        <v>77.060214285714295</v>
      </c>
      <c r="H78" s="4">
        <v>76.051333333333332</v>
      </c>
      <c r="I78" s="4">
        <v>68.108750000000001</v>
      </c>
      <c r="J78" s="4">
        <v>75.805599999999998</v>
      </c>
      <c r="K78" s="4">
        <v>88.926666666666677</v>
      </c>
      <c r="L78" s="4">
        <v>70.6494</v>
      </c>
      <c r="M78" s="4">
        <v>20.045666666666666</v>
      </c>
      <c r="N78" s="4">
        <v>52.47</v>
      </c>
      <c r="O78" s="4">
        <v>89.309000000000012</v>
      </c>
      <c r="P78" s="4">
        <v>86.126333333333335</v>
      </c>
      <c r="Q78" s="4">
        <v>93.887999999999991</v>
      </c>
      <c r="R78" s="4">
        <v>49.3996</v>
      </c>
      <c r="S78" s="4">
        <v>65.971800000000002</v>
      </c>
      <c r="T78" s="4">
        <v>56.140333333333331</v>
      </c>
      <c r="U78" s="4">
        <v>68.64800000000001</v>
      </c>
    </row>
    <row r="79" spans="1:21" x14ac:dyDescent="0.25">
      <c r="A79" t="s">
        <v>189</v>
      </c>
      <c r="B79" t="s">
        <v>190</v>
      </c>
      <c r="C79" s="2">
        <v>69.431674013241647</v>
      </c>
      <c r="D79" s="3">
        <v>78</v>
      </c>
      <c r="E79" s="4">
        <v>87.707499999999996</v>
      </c>
      <c r="F79" s="4">
        <v>52.24316666666666</v>
      </c>
      <c r="G79" s="4">
        <v>69.055714285714288</v>
      </c>
      <c r="H79" s="4">
        <v>97.151333333333341</v>
      </c>
      <c r="I79" s="4">
        <v>48.512500000000003</v>
      </c>
      <c r="J79" s="4">
        <v>58.461599999999997</v>
      </c>
      <c r="K79" s="4">
        <v>91.23266666666666</v>
      </c>
      <c r="L79" s="4">
        <v>69.386400000000009</v>
      </c>
      <c r="M79" s="4">
        <v>11.896500000000001</v>
      </c>
      <c r="N79" s="4">
        <v>77.941000000000003</v>
      </c>
      <c r="O79" s="4">
        <v>80.277000000000001</v>
      </c>
      <c r="P79" s="4">
        <v>85.774799999999999</v>
      </c>
      <c r="Q79" s="4">
        <v>95.836500000000001</v>
      </c>
      <c r="S79" s="4">
        <v>69.62</v>
      </c>
      <c r="T79" s="4">
        <v>73.240666666666669</v>
      </c>
      <c r="U79" s="4">
        <v>53.083333333333336</v>
      </c>
    </row>
    <row r="80" spans="1:21" x14ac:dyDescent="0.25">
      <c r="A80" t="s">
        <v>193</v>
      </c>
      <c r="B80" t="s">
        <v>194</v>
      </c>
      <c r="C80" s="2">
        <v>69.267800664205069</v>
      </c>
      <c r="D80" s="3">
        <v>79</v>
      </c>
      <c r="E80" s="4">
        <v>85.825500000000005</v>
      </c>
      <c r="F80" s="4">
        <v>56.37885714285715</v>
      </c>
      <c r="G80" s="4">
        <v>71.016285714285715</v>
      </c>
      <c r="H80" s="4">
        <v>87.377666666666684</v>
      </c>
      <c r="I80" s="4">
        <v>69.235749999999996</v>
      </c>
      <c r="J80" s="4">
        <v>69.405600000000007</v>
      </c>
      <c r="K80" s="4">
        <v>71.725333333333325</v>
      </c>
      <c r="L80" s="4">
        <v>78.392399999999995</v>
      </c>
      <c r="M80" s="4">
        <v>25.4495</v>
      </c>
      <c r="N80" s="4">
        <v>53.515000000000001</v>
      </c>
      <c r="O80" s="4">
        <v>81.599000000000004</v>
      </c>
      <c r="P80" s="4">
        <v>85.670500000000004</v>
      </c>
      <c r="Q80" s="4">
        <v>93.567333333333337</v>
      </c>
      <c r="S80" s="4">
        <v>66.147599999999997</v>
      </c>
      <c r="T80" s="4">
        <v>47.80755555555556</v>
      </c>
      <c r="U80" s="4">
        <v>72.11</v>
      </c>
    </row>
    <row r="81" spans="1:21" x14ac:dyDescent="0.25">
      <c r="A81" t="s">
        <v>141</v>
      </c>
      <c r="B81" t="s">
        <v>142</v>
      </c>
      <c r="C81" s="2">
        <v>69.265110560224088</v>
      </c>
      <c r="D81" s="3">
        <v>80</v>
      </c>
      <c r="E81" s="4">
        <v>89.8155</v>
      </c>
      <c r="F81" s="4">
        <v>54.221600000000002</v>
      </c>
      <c r="G81" s="4">
        <v>67.757285714285715</v>
      </c>
      <c r="H81" s="4">
        <v>80.037999999999997</v>
      </c>
      <c r="I81" s="4">
        <v>48.952500000000001</v>
      </c>
      <c r="J81" s="4">
        <v>71.010999999999996</v>
      </c>
      <c r="K81" s="4">
        <v>74.500500000000002</v>
      </c>
      <c r="L81" s="4">
        <v>71.094750000000005</v>
      </c>
      <c r="M81" s="4">
        <v>33.354399999999998</v>
      </c>
      <c r="N81" s="4">
        <v>59.648000000000003</v>
      </c>
      <c r="O81" s="4">
        <v>82.586666666666659</v>
      </c>
      <c r="P81" s="4">
        <v>83.493833333333328</v>
      </c>
      <c r="Q81" s="4">
        <v>92.563500000000005</v>
      </c>
      <c r="S81" s="4">
        <v>65.002600000000001</v>
      </c>
      <c r="T81" s="4">
        <v>83.757857142857148</v>
      </c>
      <c r="U81" s="4">
        <v>63.556666666666672</v>
      </c>
    </row>
    <row r="82" spans="1:21" x14ac:dyDescent="0.25">
      <c r="A82" t="s">
        <v>213</v>
      </c>
      <c r="B82" t="s">
        <v>214</v>
      </c>
      <c r="C82" s="2">
        <v>69.190036227824464</v>
      </c>
      <c r="D82" s="3">
        <v>81</v>
      </c>
      <c r="E82" s="4">
        <v>93.8095</v>
      </c>
      <c r="F82" s="4">
        <v>52.295000000000002</v>
      </c>
      <c r="G82" s="4">
        <v>79.829571428571441</v>
      </c>
      <c r="H82" s="4">
        <v>80.094999999999999</v>
      </c>
      <c r="I82" s="4">
        <v>66.805250000000001</v>
      </c>
      <c r="J82" s="4">
        <v>78.512</v>
      </c>
      <c r="K82" s="4">
        <v>91.227999999999994</v>
      </c>
      <c r="L82" s="4">
        <v>77.134600000000006</v>
      </c>
      <c r="M82" s="4">
        <v>36.200833333333335</v>
      </c>
      <c r="N82" s="4">
        <v>29.388999999999999</v>
      </c>
      <c r="O82" s="4">
        <v>92.09333333333332</v>
      </c>
      <c r="P82" s="4">
        <v>77.563833333333335</v>
      </c>
      <c r="Q82" s="4">
        <v>86.335666666666668</v>
      </c>
      <c r="R82" s="4">
        <v>62.046000000000006</v>
      </c>
      <c r="S82" s="4">
        <v>60.487250000000003</v>
      </c>
      <c r="T82" s="4">
        <v>64.418777777777777</v>
      </c>
      <c r="U82" s="4">
        <v>47.987000000000002</v>
      </c>
    </row>
    <row r="83" spans="1:21" x14ac:dyDescent="0.25">
      <c r="A83" t="s">
        <v>241</v>
      </c>
      <c r="B83" t="s">
        <v>242</v>
      </c>
      <c r="C83" s="2">
        <v>68.83185367475663</v>
      </c>
      <c r="D83" s="3">
        <v>82</v>
      </c>
      <c r="F83" s="4">
        <v>66.39200000000001</v>
      </c>
      <c r="G83" s="4">
        <v>89.220923076923071</v>
      </c>
      <c r="H83" s="4">
        <v>95.12833333333333</v>
      </c>
      <c r="I83" s="4">
        <v>53.929499999999997</v>
      </c>
      <c r="J83" s="4">
        <v>71.344399999999993</v>
      </c>
      <c r="K83" s="4">
        <v>93.87</v>
      </c>
      <c r="L83" s="4">
        <v>79.518249999999995</v>
      </c>
      <c r="M83" s="4">
        <v>46.427333333333337</v>
      </c>
      <c r="O83" s="4">
        <v>52.007999999999996</v>
      </c>
      <c r="P83" s="4">
        <v>67.564666666666668</v>
      </c>
      <c r="Q83" s="4">
        <v>62.837333333333333</v>
      </c>
      <c r="R83" s="4">
        <v>65.149249999999995</v>
      </c>
      <c r="S83" s="4">
        <v>61.346000000000004</v>
      </c>
      <c r="T83" s="4">
        <v>69.613</v>
      </c>
      <c r="U83" s="4">
        <v>39.307000000000002</v>
      </c>
    </row>
    <row r="84" spans="1:21" x14ac:dyDescent="0.25">
      <c r="A84" t="s">
        <v>181</v>
      </c>
      <c r="B84" t="s">
        <v>182</v>
      </c>
      <c r="C84" s="2">
        <v>68.788552334267024</v>
      </c>
      <c r="D84" s="3">
        <v>83</v>
      </c>
      <c r="E84" s="4">
        <v>90.450500000000005</v>
      </c>
      <c r="F84" s="4">
        <v>59.299857142857149</v>
      </c>
      <c r="G84" s="4">
        <v>69.959571428571437</v>
      </c>
      <c r="H84" s="4">
        <v>84.407666666666671</v>
      </c>
      <c r="I84" s="4">
        <v>47.20975</v>
      </c>
      <c r="J84" s="4">
        <v>66.488399999999999</v>
      </c>
      <c r="K84" s="4">
        <v>92.71</v>
      </c>
      <c r="L84" s="4">
        <v>65.303799999999995</v>
      </c>
      <c r="M84" s="4">
        <v>43.453499999999998</v>
      </c>
      <c r="N84" s="4">
        <v>37.749000000000002</v>
      </c>
      <c r="O84" s="4">
        <v>59.879666666666672</v>
      </c>
      <c r="P84" s="4">
        <v>87.975833333333341</v>
      </c>
      <c r="Q84" s="4">
        <v>95.873666666666665</v>
      </c>
      <c r="R84" s="4">
        <v>65.608400000000003</v>
      </c>
      <c r="S84" s="4">
        <v>68.155999999999992</v>
      </c>
      <c r="T84" s="4">
        <v>77.565444444444466</v>
      </c>
      <c r="U84" s="4">
        <v>57.314333333333337</v>
      </c>
    </row>
    <row r="85" spans="1:21" x14ac:dyDescent="0.25">
      <c r="A85" t="s">
        <v>183</v>
      </c>
      <c r="B85" t="s">
        <v>184</v>
      </c>
      <c r="C85" s="2">
        <v>68.663718666953969</v>
      </c>
      <c r="D85" s="3">
        <v>84</v>
      </c>
      <c r="E85" s="4">
        <v>86.045000000000002</v>
      </c>
      <c r="F85" s="4">
        <v>49.747285714285702</v>
      </c>
      <c r="G85" s="4">
        <v>78.033153846153851</v>
      </c>
      <c r="H85" s="4">
        <v>76.896000000000001</v>
      </c>
      <c r="I85" s="4">
        <v>71.290750000000003</v>
      </c>
      <c r="J85" s="4">
        <v>70.640200000000007</v>
      </c>
      <c r="K85" s="4">
        <v>87.11866666666667</v>
      </c>
      <c r="L85" s="4">
        <v>77.729800000000012</v>
      </c>
      <c r="M85" s="4">
        <v>36.297000000000004</v>
      </c>
      <c r="N85" s="4">
        <v>37.701000000000001</v>
      </c>
      <c r="O85" s="4">
        <v>89.096000000000004</v>
      </c>
      <c r="P85" s="4">
        <v>78.185333333333347</v>
      </c>
      <c r="Q85" s="4">
        <v>89.954666666666682</v>
      </c>
      <c r="R85" s="4">
        <v>39.778999999999996</v>
      </c>
      <c r="S85" s="4">
        <v>57.701250000000002</v>
      </c>
      <c r="T85" s="4">
        <v>66.304777777777772</v>
      </c>
      <c r="U85" s="4">
        <v>74.763333333333335</v>
      </c>
    </row>
    <row r="86" spans="1:21" x14ac:dyDescent="0.25">
      <c r="A86" t="s">
        <v>227</v>
      </c>
      <c r="B86" t="s">
        <v>228</v>
      </c>
      <c r="C86" s="2">
        <v>68.655703081232502</v>
      </c>
      <c r="D86" s="3">
        <v>85</v>
      </c>
      <c r="E86" s="4">
        <v>84.919499999999999</v>
      </c>
      <c r="F86" s="4">
        <v>48.097428571428573</v>
      </c>
      <c r="G86" s="4">
        <v>77.025857142857149</v>
      </c>
      <c r="H86" s="4">
        <v>77.537333333333336</v>
      </c>
      <c r="I86" s="4">
        <v>83.881500000000003</v>
      </c>
      <c r="J86" s="4">
        <v>68.017200000000003</v>
      </c>
      <c r="K86" s="4">
        <v>72.403666666666666</v>
      </c>
      <c r="L86" s="4">
        <v>67.121600000000001</v>
      </c>
      <c r="M86" s="4">
        <v>14.691333333333333</v>
      </c>
      <c r="N86" s="4">
        <v>47.563000000000002</v>
      </c>
      <c r="O86" s="4">
        <v>77.589000000000013</v>
      </c>
      <c r="P86" s="4">
        <v>89.391000000000005</v>
      </c>
      <c r="Q86" s="4">
        <v>97.137666666666675</v>
      </c>
      <c r="R86" s="4">
        <v>71.127399999999994</v>
      </c>
      <c r="S86" s="4">
        <v>69.470799999999997</v>
      </c>
      <c r="T86" s="4">
        <v>59.243666666666662</v>
      </c>
      <c r="U86" s="4">
        <v>61.929000000000002</v>
      </c>
    </row>
    <row r="87" spans="1:21" x14ac:dyDescent="0.25">
      <c r="A87" t="s">
        <v>203</v>
      </c>
      <c r="B87" t="s">
        <v>204</v>
      </c>
      <c r="C87" s="2">
        <v>68.358949323062575</v>
      </c>
      <c r="D87" s="3">
        <v>86</v>
      </c>
      <c r="E87" s="4">
        <v>56.511000000000003</v>
      </c>
      <c r="F87" s="4">
        <v>61.889428571428574</v>
      </c>
      <c r="G87" s="4">
        <v>73.593857142857132</v>
      </c>
      <c r="H87" s="4">
        <v>66.805999999999997</v>
      </c>
      <c r="I87" s="4">
        <v>69.136750000000006</v>
      </c>
      <c r="J87" s="4">
        <v>73.400599999999997</v>
      </c>
      <c r="K87" s="4">
        <v>89.303333333333327</v>
      </c>
      <c r="L87" s="4">
        <v>75.591499999999996</v>
      </c>
      <c r="M87" s="4">
        <v>22.892000000000003</v>
      </c>
      <c r="O87" s="4">
        <v>83.040333333333351</v>
      </c>
      <c r="P87" s="4">
        <v>75.131833333333333</v>
      </c>
      <c r="Q87" s="4">
        <v>76.206999999999994</v>
      </c>
      <c r="R87" s="4">
        <v>77.306600000000003</v>
      </c>
      <c r="S87" s="4">
        <v>77.489999999999995</v>
      </c>
      <c r="T87" s="4">
        <v>69.192625000000007</v>
      </c>
      <c r="U87" s="4">
        <v>76.105000000000004</v>
      </c>
    </row>
    <row r="88" spans="1:21" x14ac:dyDescent="0.25">
      <c r="A88" t="s">
        <v>187</v>
      </c>
      <c r="B88" t="s">
        <v>188</v>
      </c>
      <c r="C88" s="2">
        <v>68.28651775120305</v>
      </c>
      <c r="D88" s="3">
        <v>87</v>
      </c>
      <c r="E88" s="4">
        <v>92.319500000000005</v>
      </c>
      <c r="F88" s="4">
        <v>48.946285714285715</v>
      </c>
      <c r="G88" s="4">
        <v>84.703769230769225</v>
      </c>
      <c r="H88" s="4">
        <v>97.553333333333327</v>
      </c>
      <c r="I88" s="4">
        <v>72.027249999999995</v>
      </c>
      <c r="J88" s="4">
        <v>59.290600000000005</v>
      </c>
      <c r="K88" s="4">
        <v>99.714500000000001</v>
      </c>
      <c r="L88" s="4">
        <v>73.786750000000012</v>
      </c>
      <c r="M88" s="4">
        <v>37.929749999999999</v>
      </c>
      <c r="O88" s="4">
        <v>79.207000000000008</v>
      </c>
      <c r="P88" s="4">
        <v>44.672499999999999</v>
      </c>
      <c r="Q88" s="4">
        <v>71.284999999999997</v>
      </c>
      <c r="R88" s="4">
        <v>43.522999999999996</v>
      </c>
      <c r="S88" s="4">
        <v>66.612499999999997</v>
      </c>
      <c r="T88" s="4">
        <v>73.168285714285716</v>
      </c>
      <c r="U88" s="4">
        <v>77.626499999999993</v>
      </c>
    </row>
    <row r="89" spans="1:21" x14ac:dyDescent="0.25">
      <c r="A89" t="s">
        <v>223</v>
      </c>
      <c r="B89" t="s">
        <v>224</v>
      </c>
      <c r="C89" s="2">
        <v>68.151804108309989</v>
      </c>
      <c r="D89" s="3">
        <v>88</v>
      </c>
      <c r="F89" s="4">
        <v>49.157714285714285</v>
      </c>
      <c r="G89" s="4">
        <v>87.687083333333348</v>
      </c>
      <c r="H89" s="4">
        <v>94.878666666666675</v>
      </c>
      <c r="I89" s="4">
        <v>64.176333333333332</v>
      </c>
      <c r="J89" s="4">
        <v>70.575749999999999</v>
      </c>
      <c r="K89" s="4">
        <v>90.299333333333337</v>
      </c>
      <c r="L89" s="4">
        <v>64.0595</v>
      </c>
      <c r="M89" s="4">
        <v>62.178500000000007</v>
      </c>
      <c r="O89" s="4">
        <v>100</v>
      </c>
      <c r="P89" s="4">
        <v>52.220666666666659</v>
      </c>
      <c r="Q89" s="4">
        <v>13.312333333333333</v>
      </c>
      <c r="R89" s="4">
        <v>65.623500000000007</v>
      </c>
      <c r="S89" s="4">
        <v>69.8874</v>
      </c>
      <c r="T89" s="4">
        <v>61.452333333333335</v>
      </c>
      <c r="U89" s="4">
        <v>72.16</v>
      </c>
    </row>
    <row r="90" spans="1:21" x14ac:dyDescent="0.25">
      <c r="A90" t="s">
        <v>173</v>
      </c>
      <c r="B90" t="s">
        <v>174</v>
      </c>
      <c r="C90" s="2">
        <v>68.053710690943035</v>
      </c>
      <c r="D90" s="3">
        <v>89</v>
      </c>
      <c r="E90" s="4">
        <v>90.795000000000002</v>
      </c>
      <c r="F90" s="4">
        <v>52.786999999999999</v>
      </c>
      <c r="G90" s="4">
        <v>75.661642857142866</v>
      </c>
      <c r="H90" s="4">
        <v>69.14</v>
      </c>
      <c r="I90" s="4">
        <v>42.360249999999994</v>
      </c>
      <c r="J90" s="4">
        <v>57.515200000000007</v>
      </c>
      <c r="K90" s="4">
        <v>92.312999999999988</v>
      </c>
      <c r="L90" s="4">
        <v>63.332599999999999</v>
      </c>
      <c r="M90" s="4">
        <v>51.374166666666667</v>
      </c>
      <c r="N90" s="4">
        <v>61.814</v>
      </c>
      <c r="O90" s="4">
        <v>74.853666666666655</v>
      </c>
      <c r="P90" s="4">
        <v>87.269333333333336</v>
      </c>
      <c r="Q90" s="4">
        <v>91.084000000000003</v>
      </c>
      <c r="R90" s="4">
        <v>57.896999999999998</v>
      </c>
      <c r="S90" s="4">
        <v>50.682000000000002</v>
      </c>
      <c r="T90" s="4">
        <v>73.766222222222211</v>
      </c>
      <c r="U90" s="4">
        <v>64.268000000000001</v>
      </c>
    </row>
    <row r="91" spans="1:21" x14ac:dyDescent="0.25">
      <c r="A91" t="s">
        <v>195</v>
      </c>
      <c r="B91" t="s">
        <v>196</v>
      </c>
      <c r="C91" s="2">
        <v>67.707408554027666</v>
      </c>
      <c r="D91" s="3">
        <v>90</v>
      </c>
      <c r="E91" s="4">
        <v>94.902000000000001</v>
      </c>
      <c r="F91" s="4">
        <v>70.83942857142857</v>
      </c>
      <c r="G91" s="4">
        <v>72.447642857142867</v>
      </c>
      <c r="H91" s="4">
        <v>78.896000000000001</v>
      </c>
      <c r="I91" s="4">
        <v>66.141999999999996</v>
      </c>
      <c r="J91" s="4">
        <v>77.21520000000001</v>
      </c>
      <c r="K91" s="4">
        <v>87.525000000000006</v>
      </c>
      <c r="L91" s="4">
        <v>76.766199999999998</v>
      </c>
      <c r="M91" s="4">
        <v>28.274166666666673</v>
      </c>
      <c r="N91" s="4">
        <v>35.140999999999998</v>
      </c>
      <c r="O91" s="4">
        <v>78.324666666666658</v>
      </c>
      <c r="P91" s="4">
        <v>75.891166666666678</v>
      </c>
      <c r="Q91" s="4">
        <v>88.467500000000001</v>
      </c>
      <c r="S91" s="4">
        <v>51.030799999999999</v>
      </c>
      <c r="T91" s="4">
        <v>48.390111111111111</v>
      </c>
      <c r="U91" s="4">
        <v>58.444333333333333</v>
      </c>
    </row>
    <row r="92" spans="1:21" x14ac:dyDescent="0.25">
      <c r="A92" t="s">
        <v>155</v>
      </c>
      <c r="B92" t="s">
        <v>156</v>
      </c>
      <c r="C92" s="2">
        <v>67.590506884292182</v>
      </c>
      <c r="D92" s="3">
        <v>91</v>
      </c>
      <c r="E92" s="4">
        <v>91.753500000000003</v>
      </c>
      <c r="F92" s="4">
        <v>44.888428571428577</v>
      </c>
      <c r="G92" s="4">
        <v>85.256538461538469</v>
      </c>
      <c r="H92" s="4">
        <v>95.934000000000012</v>
      </c>
      <c r="I92" s="4">
        <v>42.493250000000003</v>
      </c>
      <c r="J92" s="4">
        <v>76.032200000000003</v>
      </c>
      <c r="K92" s="4">
        <v>96.742000000000004</v>
      </c>
      <c r="L92" s="4">
        <v>75.572000000000003</v>
      </c>
      <c r="M92" s="4">
        <v>33.632199999999997</v>
      </c>
      <c r="N92" s="4">
        <v>10.997</v>
      </c>
      <c r="O92" s="4">
        <v>86.019333333333336</v>
      </c>
      <c r="P92" s="4">
        <v>63.070666666666661</v>
      </c>
      <c r="Q92" s="4">
        <v>87.76400000000001</v>
      </c>
      <c r="R92" s="4">
        <v>60.753</v>
      </c>
      <c r="S92" s="4">
        <v>51.95</v>
      </c>
      <c r="T92" s="4">
        <v>69.310500000000005</v>
      </c>
      <c r="U92" s="4">
        <v>76.87</v>
      </c>
    </row>
    <row r="93" spans="1:21" x14ac:dyDescent="0.25">
      <c r="A93" t="s">
        <v>197</v>
      </c>
      <c r="B93" t="s">
        <v>198</v>
      </c>
      <c r="C93" s="2">
        <v>67.178333634992455</v>
      </c>
      <c r="D93" s="3">
        <v>92</v>
      </c>
      <c r="E93" s="4">
        <v>54.6845</v>
      </c>
      <c r="F93" s="4">
        <v>40.185199999999995</v>
      </c>
      <c r="G93" s="4">
        <v>73.532538461538465</v>
      </c>
      <c r="H93" s="4">
        <v>81.187666666666658</v>
      </c>
      <c r="I93" s="4">
        <v>72.430000000000007</v>
      </c>
      <c r="J93" s="4">
        <v>73.094999999999999</v>
      </c>
      <c r="K93" s="4">
        <v>81.331999999999994</v>
      </c>
      <c r="L93" s="4">
        <v>74.265000000000001</v>
      </c>
      <c r="M93" s="4">
        <v>25.173400000000001</v>
      </c>
      <c r="N93" s="4">
        <v>36.137999999999998</v>
      </c>
      <c r="O93" s="4">
        <v>80.096000000000004</v>
      </c>
      <c r="P93" s="4">
        <v>79.503833333333333</v>
      </c>
      <c r="Q93" s="4">
        <v>94.219333333333338</v>
      </c>
      <c r="R93" s="4">
        <v>57.303200000000004</v>
      </c>
      <c r="S93" s="4">
        <v>69.406499999999994</v>
      </c>
      <c r="T93" s="4">
        <v>76.901499999999999</v>
      </c>
      <c r="U93" s="4">
        <v>72.578000000000003</v>
      </c>
    </row>
    <row r="94" spans="1:21" x14ac:dyDescent="0.25">
      <c r="A94" t="s">
        <v>147</v>
      </c>
      <c r="B94" t="s">
        <v>148</v>
      </c>
      <c r="C94" s="2">
        <v>67.000135994397738</v>
      </c>
      <c r="D94" s="3">
        <v>93</v>
      </c>
      <c r="E94" s="4">
        <v>98.358000000000004</v>
      </c>
      <c r="F94" s="4">
        <v>72.483199999999997</v>
      </c>
      <c r="G94" s="4">
        <v>94.425500000000014</v>
      </c>
      <c r="H94" s="4">
        <v>99.719333333333338</v>
      </c>
      <c r="I94" s="4">
        <v>69.878250000000008</v>
      </c>
      <c r="J94" s="4">
        <v>75.686250000000001</v>
      </c>
      <c r="K94" s="4">
        <v>94.570666666666668</v>
      </c>
      <c r="L94" s="4">
        <v>70.303599999999989</v>
      </c>
      <c r="M94" s="4">
        <v>91.334666666666678</v>
      </c>
      <c r="O94" s="4">
        <v>94.367000000000004</v>
      </c>
      <c r="P94" s="4">
        <v>17.765000000000001</v>
      </c>
      <c r="Q94" s="4">
        <v>49.936666666666667</v>
      </c>
      <c r="R94" s="4">
        <v>5.7949999999999999</v>
      </c>
      <c r="S94" s="4">
        <v>31.047750000000001</v>
      </c>
      <c r="T94" s="4">
        <v>86.479428571428571</v>
      </c>
      <c r="U94" s="4">
        <v>30.932000000000002</v>
      </c>
    </row>
    <row r="95" spans="1:21" x14ac:dyDescent="0.25">
      <c r="A95" t="s">
        <v>185</v>
      </c>
      <c r="B95" t="s">
        <v>186</v>
      </c>
      <c r="C95" s="2">
        <v>66.87636311858077</v>
      </c>
      <c r="D95" s="3">
        <v>94</v>
      </c>
      <c r="E95" s="4">
        <v>92.085999999999999</v>
      </c>
      <c r="F95" s="4">
        <v>53.465857142857146</v>
      </c>
      <c r="G95" s="4">
        <v>78.861571428571423</v>
      </c>
      <c r="H95" s="4">
        <v>97.138333333333335</v>
      </c>
      <c r="I95" s="4">
        <v>48.811500000000002</v>
      </c>
      <c r="J95" s="4">
        <v>56.62700000000001</v>
      </c>
      <c r="K95" s="4">
        <v>65.39233333333334</v>
      </c>
      <c r="L95" s="4">
        <v>82.199799999999996</v>
      </c>
      <c r="M95" s="4">
        <v>33.788166666666669</v>
      </c>
      <c r="N95" s="4">
        <v>32.603000000000002</v>
      </c>
      <c r="O95" s="4">
        <v>80.439333333333323</v>
      </c>
      <c r="P95" s="4">
        <v>86.630499999999998</v>
      </c>
      <c r="Q95" s="4">
        <v>95.322999999999993</v>
      </c>
      <c r="R95" s="4">
        <v>63.535600000000002</v>
      </c>
      <c r="S95" s="4">
        <v>54.747399999999992</v>
      </c>
      <c r="T95" s="4">
        <v>66.86977777777777</v>
      </c>
      <c r="U95" s="4">
        <v>48.378999999999998</v>
      </c>
    </row>
    <row r="96" spans="1:21" x14ac:dyDescent="0.25">
      <c r="A96" t="s">
        <v>209</v>
      </c>
      <c r="B96" t="s">
        <v>210</v>
      </c>
      <c r="C96" s="2">
        <v>66.676583753501404</v>
      </c>
      <c r="D96" s="3">
        <v>95</v>
      </c>
      <c r="E96" s="4">
        <v>99.927499999999995</v>
      </c>
      <c r="F96" s="4">
        <v>49.125999999999998</v>
      </c>
      <c r="G96" s="4">
        <v>79.655357142857156</v>
      </c>
      <c r="H96" s="4">
        <v>70.62</v>
      </c>
      <c r="I96" s="4">
        <v>42.599249999999998</v>
      </c>
      <c r="J96" s="4">
        <v>65.426000000000002</v>
      </c>
      <c r="K96" s="4">
        <v>88.016999999999996</v>
      </c>
      <c r="L96" s="4">
        <v>69.653199999999998</v>
      </c>
      <c r="M96" s="4">
        <v>50.682399999999994</v>
      </c>
      <c r="N96" s="4">
        <v>75.576999999999998</v>
      </c>
      <c r="O96" s="4">
        <v>59.945</v>
      </c>
      <c r="P96" s="4">
        <v>78.414833333333334</v>
      </c>
      <c r="Q96" s="4">
        <v>87.707333333333338</v>
      </c>
      <c r="R96" s="4">
        <v>47.358249999999998</v>
      </c>
      <c r="S96" s="4">
        <v>62.129800000000003</v>
      </c>
      <c r="T96" s="4">
        <v>66.718999999999994</v>
      </c>
      <c r="U96" s="4">
        <v>39.944000000000003</v>
      </c>
    </row>
    <row r="97" spans="1:21" x14ac:dyDescent="0.25">
      <c r="A97" t="s">
        <v>217</v>
      </c>
      <c r="B97" t="s">
        <v>218</v>
      </c>
      <c r="C97" s="2">
        <v>65.933346134453771</v>
      </c>
      <c r="D97" s="3">
        <v>96</v>
      </c>
      <c r="E97" s="4">
        <v>63.242000000000004</v>
      </c>
      <c r="F97" s="4">
        <v>58.002285714285719</v>
      </c>
      <c r="G97" s="4">
        <v>59.45692857142857</v>
      </c>
      <c r="H97" s="4">
        <v>90.50833333333334</v>
      </c>
      <c r="I97" s="4">
        <v>62.053750000000001</v>
      </c>
      <c r="J97" s="4">
        <v>67.539600000000007</v>
      </c>
      <c r="K97" s="4">
        <v>61.490333333333332</v>
      </c>
      <c r="L97" s="4">
        <v>74.230400000000003</v>
      </c>
      <c r="M97" s="4">
        <v>24.930500000000006</v>
      </c>
      <c r="N97" s="4">
        <v>83.366</v>
      </c>
      <c r="O97" s="4">
        <v>44.619</v>
      </c>
      <c r="P97" s="4">
        <v>94.262166666666658</v>
      </c>
      <c r="Q97" s="4">
        <v>98.825666666666663</v>
      </c>
      <c r="S97" s="4">
        <v>68.482200000000006</v>
      </c>
      <c r="T97" s="4">
        <v>53.576499999999996</v>
      </c>
      <c r="U97" s="4">
        <v>60.128999999999998</v>
      </c>
    </row>
    <row r="98" spans="1:21" x14ac:dyDescent="0.25">
      <c r="A98" t="s">
        <v>207</v>
      </c>
      <c r="B98" t="s">
        <v>208</v>
      </c>
      <c r="C98" s="2">
        <v>65.846786049244884</v>
      </c>
      <c r="D98" s="3">
        <v>97</v>
      </c>
      <c r="F98" s="4">
        <v>51.90457142857143</v>
      </c>
      <c r="G98" s="4">
        <v>79.956461538461554</v>
      </c>
      <c r="H98" s="4">
        <v>95.640333333333331</v>
      </c>
      <c r="I98" s="4">
        <v>39.708250000000007</v>
      </c>
      <c r="J98" s="4">
        <v>48.281799999999997</v>
      </c>
      <c r="K98" s="4">
        <v>89.434000000000012</v>
      </c>
      <c r="L98" s="4">
        <v>71.84075</v>
      </c>
      <c r="M98" s="4">
        <v>67.028333333333336</v>
      </c>
      <c r="O98" s="4">
        <v>42.048500000000004</v>
      </c>
      <c r="P98" s="4">
        <v>65.929333333333332</v>
      </c>
      <c r="Q98" s="4">
        <v>58.598999999999997</v>
      </c>
      <c r="R98" s="4">
        <v>60.145400000000009</v>
      </c>
      <c r="S98" s="4">
        <v>48.85575</v>
      </c>
      <c r="T98" s="4">
        <v>70.113857142857142</v>
      </c>
      <c r="U98" s="4">
        <v>73.423500000000004</v>
      </c>
    </row>
    <row r="99" spans="1:21" x14ac:dyDescent="0.25">
      <c r="A99" t="s">
        <v>247</v>
      </c>
      <c r="B99" t="s">
        <v>248</v>
      </c>
      <c r="C99" s="2">
        <v>65.763970056740661</v>
      </c>
      <c r="D99" s="3">
        <v>98</v>
      </c>
      <c r="E99" s="4">
        <v>98.485500000000002</v>
      </c>
      <c r="F99" s="4">
        <v>47.257428571428576</v>
      </c>
      <c r="G99" s="4">
        <v>77.15938461538461</v>
      </c>
      <c r="H99" s="4">
        <v>88.603999999999999</v>
      </c>
      <c r="I99" s="4">
        <v>68.305000000000007</v>
      </c>
      <c r="J99" s="4">
        <v>74.054000000000002</v>
      </c>
      <c r="K99" s="4">
        <v>89.940333333333342</v>
      </c>
      <c r="L99" s="4">
        <v>78.336800000000011</v>
      </c>
      <c r="M99" s="4">
        <v>27.9</v>
      </c>
      <c r="O99" s="4">
        <v>67.57050000000001</v>
      </c>
      <c r="P99" s="4">
        <v>65.564166666666679</v>
      </c>
      <c r="Q99" s="4">
        <v>39.218666666666671</v>
      </c>
      <c r="R99" s="4">
        <v>62.330600000000004</v>
      </c>
      <c r="S99" s="4">
        <v>68.995500000000007</v>
      </c>
      <c r="T99" s="4">
        <v>58.851333333333336</v>
      </c>
      <c r="U99" s="4">
        <v>66.91</v>
      </c>
    </row>
    <row r="100" spans="1:21" x14ac:dyDescent="0.25">
      <c r="A100" t="s">
        <v>215</v>
      </c>
      <c r="B100" t="s">
        <v>216</v>
      </c>
      <c r="C100" s="2">
        <v>65.495505042016816</v>
      </c>
      <c r="D100" s="3">
        <v>99</v>
      </c>
      <c r="E100" s="4">
        <v>76.388000000000005</v>
      </c>
      <c r="F100" s="4">
        <v>57.584714285714277</v>
      </c>
      <c r="G100" s="4">
        <v>58.054571428571421</v>
      </c>
      <c r="H100" s="4">
        <v>86.091666666666654</v>
      </c>
      <c r="I100" s="4">
        <v>62.204499999999996</v>
      </c>
      <c r="J100" s="4">
        <v>69.340599999999995</v>
      </c>
      <c r="K100" s="4">
        <v>70.182000000000002</v>
      </c>
      <c r="L100" s="4">
        <v>72.489599999999996</v>
      </c>
      <c r="M100" s="4">
        <v>40.127166666666668</v>
      </c>
      <c r="N100" s="4">
        <v>36.439</v>
      </c>
      <c r="O100" s="4">
        <v>68.608000000000004</v>
      </c>
      <c r="P100" s="4">
        <v>92.662833333333325</v>
      </c>
      <c r="Q100" s="4">
        <v>96.524666666666675</v>
      </c>
      <c r="R100" s="4">
        <v>68.139200000000002</v>
      </c>
      <c r="S100" s="4">
        <v>51.115400000000001</v>
      </c>
      <c r="T100" s="4">
        <v>58.316000000000003</v>
      </c>
      <c r="U100" s="4">
        <v>49.155666666666662</v>
      </c>
    </row>
    <row r="101" spans="1:21" x14ac:dyDescent="0.25">
      <c r="A101" t="s">
        <v>263</v>
      </c>
      <c r="B101" t="s">
        <v>264</v>
      </c>
      <c r="C101" s="2">
        <v>65.374436834733913</v>
      </c>
      <c r="D101" s="3">
        <v>100</v>
      </c>
      <c r="E101" s="4">
        <v>70.271000000000001</v>
      </c>
      <c r="F101" s="4">
        <v>63.626428571428569</v>
      </c>
      <c r="G101" s="4">
        <v>52.660714285714292</v>
      </c>
      <c r="H101" s="4">
        <v>76.519333333333336</v>
      </c>
      <c r="I101" s="4">
        <v>53.083500000000008</v>
      </c>
      <c r="J101" s="4">
        <v>55.612000000000002</v>
      </c>
      <c r="K101" s="4">
        <v>59.91299999999999</v>
      </c>
      <c r="L101" s="4">
        <v>76.250399999999999</v>
      </c>
      <c r="M101" s="4">
        <v>38.625999999999998</v>
      </c>
      <c r="N101" s="4">
        <v>48.02</v>
      </c>
      <c r="O101" s="4">
        <v>53.858333333333341</v>
      </c>
      <c r="P101" s="4">
        <v>95.385333333333335</v>
      </c>
      <c r="Q101" s="4">
        <v>98.348666666666659</v>
      </c>
      <c r="R101" s="4">
        <v>66.890799999999999</v>
      </c>
      <c r="S101" s="4">
        <v>72.304249999999996</v>
      </c>
      <c r="T101" s="4">
        <v>69.08</v>
      </c>
      <c r="U101" s="4">
        <v>60.915666666666674</v>
      </c>
    </row>
    <row r="102" spans="1:21" x14ac:dyDescent="0.25">
      <c r="A102" t="s">
        <v>169</v>
      </c>
      <c r="B102" t="s">
        <v>170</v>
      </c>
      <c r="C102" s="2">
        <v>65.304267787114853</v>
      </c>
      <c r="D102" s="3">
        <v>101</v>
      </c>
      <c r="E102" s="4">
        <v>75.942499999999995</v>
      </c>
      <c r="F102" s="4">
        <v>56.399000000000001</v>
      </c>
      <c r="G102" s="4">
        <v>62.77928571428572</v>
      </c>
      <c r="H102" s="4">
        <v>91.052666666666667</v>
      </c>
      <c r="I102" s="4">
        <v>62.441999999999993</v>
      </c>
      <c r="J102" s="4">
        <v>66.416399999999996</v>
      </c>
      <c r="K102" s="4">
        <v>73.536666666666676</v>
      </c>
      <c r="L102" s="4">
        <v>75.624600000000001</v>
      </c>
      <c r="M102" s="4">
        <v>40.377666666666663</v>
      </c>
      <c r="N102" s="4">
        <v>35.282000000000004</v>
      </c>
      <c r="O102" s="4">
        <v>66.081666666666663</v>
      </c>
      <c r="P102" s="4">
        <v>88.03649999999999</v>
      </c>
      <c r="Q102" s="4">
        <v>93.09333333333332</v>
      </c>
      <c r="R102" s="4">
        <v>59.974799999999995</v>
      </c>
      <c r="S102" s="4">
        <v>44.354799999999997</v>
      </c>
      <c r="T102" s="4">
        <v>72.364333333333335</v>
      </c>
      <c r="U102" s="4">
        <v>46.414333333333332</v>
      </c>
    </row>
    <row r="103" spans="1:21" x14ac:dyDescent="0.25">
      <c r="A103" t="s">
        <v>233</v>
      </c>
      <c r="B103" t="s">
        <v>234</v>
      </c>
      <c r="C103" s="2">
        <v>65.078328719603789</v>
      </c>
      <c r="D103" s="3">
        <v>102</v>
      </c>
      <c r="E103" s="4">
        <v>68.702500000000001</v>
      </c>
      <c r="F103" s="4">
        <v>59.785142857142851</v>
      </c>
      <c r="G103" s="4">
        <v>70.690428571428598</v>
      </c>
      <c r="H103" s="4">
        <v>82.225898550724636</v>
      </c>
      <c r="I103" s="4">
        <v>57.975750000000005</v>
      </c>
      <c r="J103" s="4">
        <v>75.873800000000003</v>
      </c>
      <c r="K103" s="4">
        <v>91.611999999999995</v>
      </c>
      <c r="L103" s="4">
        <v>65.844499999999996</v>
      </c>
      <c r="M103" s="4">
        <v>21.2575</v>
      </c>
      <c r="O103" s="4">
        <v>73.349999999999994</v>
      </c>
      <c r="P103" s="4">
        <v>72.119166666666658</v>
      </c>
      <c r="Q103" s="4">
        <v>91.427000000000007</v>
      </c>
      <c r="R103" s="4">
        <v>47.380499999999998</v>
      </c>
      <c r="S103" s="4">
        <v>50.005600000000001</v>
      </c>
      <c r="T103" s="4">
        <v>59.861857142857147</v>
      </c>
      <c r="U103" s="4">
        <v>79.715666666666664</v>
      </c>
    </row>
    <row r="104" spans="1:21" x14ac:dyDescent="0.25">
      <c r="A104" t="s">
        <v>219</v>
      </c>
      <c r="B104" t="s">
        <v>220</v>
      </c>
      <c r="C104" s="2">
        <v>64.651172792403671</v>
      </c>
      <c r="D104" s="3">
        <v>103</v>
      </c>
      <c r="F104" s="4">
        <v>62.496166666666674</v>
      </c>
      <c r="G104" s="4">
        <v>85.992923076923063</v>
      </c>
      <c r="H104" s="4">
        <v>87.78</v>
      </c>
      <c r="I104" s="4">
        <v>57.449749999999995</v>
      </c>
      <c r="J104" s="4">
        <v>57.12919999999999</v>
      </c>
      <c r="K104" s="4">
        <v>88.944000000000003</v>
      </c>
      <c r="L104" s="4">
        <v>75.323000000000008</v>
      </c>
      <c r="M104" s="4">
        <v>70.035166666666669</v>
      </c>
      <c r="O104" s="4">
        <v>35.503999999999998</v>
      </c>
      <c r="P104" s="4">
        <v>70.193500000000014</v>
      </c>
      <c r="Q104" s="4">
        <v>15.146000000000001</v>
      </c>
      <c r="R104" s="4">
        <v>60.906000000000006</v>
      </c>
      <c r="S104" s="4">
        <v>58.291333333333334</v>
      </c>
      <c r="T104" s="4">
        <v>79.346374999999995</v>
      </c>
      <c r="U104" s="4">
        <v>38.047000000000004</v>
      </c>
    </row>
    <row r="105" spans="1:21" x14ac:dyDescent="0.25">
      <c r="A105" t="s">
        <v>269</v>
      </c>
      <c r="B105" t="s">
        <v>270</v>
      </c>
      <c r="C105" s="2">
        <v>64.579621568627445</v>
      </c>
      <c r="D105" s="3">
        <v>104</v>
      </c>
      <c r="E105" s="4">
        <v>85.117999999999995</v>
      </c>
      <c r="F105" s="4">
        <v>56.589285714285715</v>
      </c>
      <c r="G105" s="4">
        <v>55.014714285714284</v>
      </c>
      <c r="H105" s="4">
        <v>73.406666666666666</v>
      </c>
      <c r="I105" s="4">
        <v>60.279750000000007</v>
      </c>
      <c r="J105" s="4">
        <v>66.023600000000002</v>
      </c>
      <c r="K105" s="4">
        <v>53.294666666666672</v>
      </c>
      <c r="L105" s="4">
        <v>68.584399999999988</v>
      </c>
      <c r="M105" s="4">
        <v>23.471666666666668</v>
      </c>
      <c r="N105" s="4">
        <v>68.192000000000007</v>
      </c>
      <c r="O105" s="4">
        <v>69.594000000000008</v>
      </c>
      <c r="P105" s="4">
        <v>94.937333333333342</v>
      </c>
      <c r="Q105" s="4">
        <v>98.75633333333333</v>
      </c>
      <c r="R105" s="4">
        <v>55.250800000000005</v>
      </c>
      <c r="S105" s="4">
        <v>55.389599999999994</v>
      </c>
      <c r="T105" s="4">
        <v>71.921750000000003</v>
      </c>
      <c r="U105" s="4">
        <v>42.029000000000003</v>
      </c>
    </row>
    <row r="106" spans="1:21" x14ac:dyDescent="0.25">
      <c r="A106" t="s">
        <v>251</v>
      </c>
      <c r="B106" t="s">
        <v>252</v>
      </c>
      <c r="C106" s="2">
        <v>64.444805742296907</v>
      </c>
      <c r="D106" s="3">
        <v>105</v>
      </c>
      <c r="E106" s="4">
        <v>58.780500000000004</v>
      </c>
      <c r="F106" s="4">
        <v>48.145142857142851</v>
      </c>
      <c r="G106" s="4">
        <v>75.227571428571423</v>
      </c>
      <c r="H106" s="4">
        <v>61.472333333333331</v>
      </c>
      <c r="I106" s="4">
        <v>64.10275</v>
      </c>
      <c r="J106" s="4">
        <v>74.491200000000006</v>
      </c>
      <c r="K106" s="4">
        <v>73.153666666666666</v>
      </c>
      <c r="L106" s="4">
        <v>72.507599999999996</v>
      </c>
      <c r="M106" s="4">
        <v>16.971500000000002</v>
      </c>
      <c r="N106" s="4">
        <v>30.099</v>
      </c>
      <c r="O106" s="4">
        <v>86.902333333333331</v>
      </c>
      <c r="P106" s="4">
        <v>89.507833333333338</v>
      </c>
      <c r="Q106" s="4">
        <v>95.88366666666667</v>
      </c>
      <c r="R106" s="4">
        <v>70.316599999999994</v>
      </c>
      <c r="S106" s="4">
        <v>60.486000000000004</v>
      </c>
      <c r="T106" s="4">
        <v>48.472999999999999</v>
      </c>
      <c r="U106" s="4">
        <v>69.040999999999997</v>
      </c>
    </row>
    <row r="107" spans="1:21" x14ac:dyDescent="0.25">
      <c r="A107" t="s">
        <v>225</v>
      </c>
      <c r="B107" t="s">
        <v>226</v>
      </c>
      <c r="C107" s="2">
        <v>64.386707189542491</v>
      </c>
      <c r="D107" s="3">
        <v>106</v>
      </c>
      <c r="E107" s="4">
        <v>87.9345</v>
      </c>
      <c r="F107" s="4">
        <v>58.100142857142863</v>
      </c>
      <c r="G107" s="4">
        <v>62.879357142857138</v>
      </c>
      <c r="H107" s="4">
        <v>71.332666666666668</v>
      </c>
      <c r="I107" s="4">
        <v>54.804000000000002</v>
      </c>
      <c r="J107" s="4">
        <v>63.621600000000001</v>
      </c>
      <c r="K107" s="4">
        <v>58.94433333333334</v>
      </c>
      <c r="L107" s="4">
        <v>62.107600000000005</v>
      </c>
      <c r="M107" s="4">
        <v>24.989666666666665</v>
      </c>
      <c r="N107" s="4">
        <v>77.614000000000004</v>
      </c>
      <c r="O107" s="4">
        <v>79.168666666666667</v>
      </c>
      <c r="P107" s="4">
        <v>93.581333333333347</v>
      </c>
      <c r="Q107" s="4">
        <v>97.949666666666658</v>
      </c>
      <c r="R107" s="4">
        <v>47.187600000000003</v>
      </c>
      <c r="S107" s="4">
        <v>44.498000000000005</v>
      </c>
      <c r="T107" s="4">
        <v>58.5108888888889</v>
      </c>
      <c r="U107" s="4">
        <v>51.35</v>
      </c>
    </row>
    <row r="108" spans="1:21" x14ac:dyDescent="0.25">
      <c r="A108" t="s">
        <v>231</v>
      </c>
      <c r="B108" t="s">
        <v>232</v>
      </c>
      <c r="C108" s="2">
        <v>63.983151223155936</v>
      </c>
      <c r="D108" s="3">
        <v>107</v>
      </c>
      <c r="E108" s="4">
        <v>95.653500000000008</v>
      </c>
      <c r="F108" s="4">
        <v>42.416142857142859</v>
      </c>
      <c r="G108" s="4">
        <v>66.246785714285721</v>
      </c>
      <c r="H108" s="4">
        <v>97.50566666666667</v>
      </c>
      <c r="I108" s="4">
        <v>66.296499999999995</v>
      </c>
      <c r="J108" s="4">
        <v>65.1768</v>
      </c>
      <c r="K108" s="4">
        <v>56.221333333333327</v>
      </c>
      <c r="L108" s="4">
        <v>75.797799999999995</v>
      </c>
      <c r="M108" s="4">
        <v>26.549666666666667</v>
      </c>
      <c r="N108" s="4">
        <v>63.326999999999998</v>
      </c>
      <c r="O108" s="4">
        <v>43.874000000000002</v>
      </c>
      <c r="P108" s="4">
        <v>62.289666666666669</v>
      </c>
      <c r="Q108" s="4">
        <v>66.209000000000003</v>
      </c>
      <c r="S108" s="4">
        <v>73.9726</v>
      </c>
      <c r="T108" s="4">
        <v>63.781555555555556</v>
      </c>
      <c r="U108" s="4">
        <v>66.243333333333339</v>
      </c>
    </row>
    <row r="109" spans="1:21" x14ac:dyDescent="0.25">
      <c r="A109" t="s">
        <v>205</v>
      </c>
      <c r="B109" t="s">
        <v>206</v>
      </c>
      <c r="C109" s="2">
        <v>63.773442296918759</v>
      </c>
      <c r="D109" s="3">
        <v>108</v>
      </c>
      <c r="E109" s="4">
        <v>98.784999999999997</v>
      </c>
      <c r="F109" s="4">
        <v>59.178800000000003</v>
      </c>
      <c r="G109" s="4">
        <v>78.477428571428575</v>
      </c>
      <c r="H109" s="4">
        <v>90.284333333333336</v>
      </c>
      <c r="I109" s="4">
        <v>53.974499999999999</v>
      </c>
      <c r="J109" s="4">
        <v>61.823599999999999</v>
      </c>
      <c r="K109" s="4">
        <v>89.153999999999996</v>
      </c>
      <c r="L109" s="4">
        <v>76.509600000000006</v>
      </c>
      <c r="M109" s="4">
        <v>32.528999999999996</v>
      </c>
      <c r="N109" s="4">
        <v>35.634</v>
      </c>
      <c r="O109" s="4">
        <v>89.586000000000013</v>
      </c>
      <c r="P109" s="4">
        <v>59.099333333333334</v>
      </c>
      <c r="Q109" s="4">
        <v>77.487666666666669</v>
      </c>
      <c r="R109" s="4">
        <v>42.715400000000002</v>
      </c>
      <c r="S109" s="4">
        <v>25.251000000000001</v>
      </c>
      <c r="T109" s="4">
        <v>71.732857142857142</v>
      </c>
      <c r="U109" s="4">
        <v>41.926000000000002</v>
      </c>
    </row>
    <row r="110" spans="1:21" x14ac:dyDescent="0.25">
      <c r="A110" t="s">
        <v>221</v>
      </c>
      <c r="B110" t="s">
        <v>222</v>
      </c>
      <c r="C110" s="2">
        <v>63.50642394957984</v>
      </c>
      <c r="D110" s="3">
        <v>109</v>
      </c>
      <c r="E110" s="4">
        <v>66.94550000000001</v>
      </c>
      <c r="F110" s="4">
        <v>55.28971428571429</v>
      </c>
      <c r="G110" s="4">
        <v>59.508642857142867</v>
      </c>
      <c r="H110" s="4">
        <v>84.198666666666668</v>
      </c>
      <c r="I110" s="4">
        <v>49.649250000000002</v>
      </c>
      <c r="J110" s="4">
        <v>67.333400000000012</v>
      </c>
      <c r="K110" s="4">
        <v>61.189666666666675</v>
      </c>
      <c r="L110" s="4">
        <v>78.273600000000002</v>
      </c>
      <c r="M110" s="4">
        <v>24.7484</v>
      </c>
      <c r="N110" s="4">
        <v>68.504000000000005</v>
      </c>
      <c r="O110" s="4">
        <v>54.717333333333329</v>
      </c>
      <c r="P110" s="4">
        <v>95.441166666666675</v>
      </c>
      <c r="Q110" s="4">
        <v>98.576333333333352</v>
      </c>
      <c r="R110" s="4">
        <v>64.595200000000006</v>
      </c>
      <c r="S110" s="4">
        <v>57.802</v>
      </c>
      <c r="T110" s="4">
        <v>54.914000000000009</v>
      </c>
      <c r="U110" s="4">
        <v>37.922333333333334</v>
      </c>
    </row>
    <row r="111" spans="1:21" x14ac:dyDescent="0.25">
      <c r="A111" t="s">
        <v>239</v>
      </c>
      <c r="B111" t="s">
        <v>240</v>
      </c>
      <c r="C111" s="2">
        <v>63.409429691876738</v>
      </c>
      <c r="D111" s="3">
        <v>110</v>
      </c>
      <c r="E111" s="4">
        <v>50.015500000000003</v>
      </c>
      <c r="F111" s="4">
        <v>60.123142857142852</v>
      </c>
      <c r="G111" s="4">
        <v>49.637428571428572</v>
      </c>
      <c r="H111" s="4">
        <v>79.96833333333332</v>
      </c>
      <c r="I111" s="4">
        <v>82.472750000000005</v>
      </c>
      <c r="J111" s="4">
        <v>68.065200000000004</v>
      </c>
      <c r="K111" s="4">
        <v>79.013333333333335</v>
      </c>
      <c r="L111" s="4">
        <v>60.275599999999997</v>
      </c>
      <c r="M111" s="4">
        <v>57.565666666666658</v>
      </c>
      <c r="N111" s="4">
        <v>0</v>
      </c>
      <c r="O111" s="4">
        <v>77.843999999999994</v>
      </c>
      <c r="P111" s="4">
        <v>82.475833333333341</v>
      </c>
      <c r="Q111" s="4">
        <v>80.334666666666678</v>
      </c>
      <c r="R111" s="4">
        <v>63.980999999999995</v>
      </c>
      <c r="S111" s="4">
        <v>57.647599999999997</v>
      </c>
      <c r="T111" s="4">
        <v>53.075250000000004</v>
      </c>
      <c r="U111" s="4">
        <v>75.465000000000003</v>
      </c>
    </row>
    <row r="112" spans="1:21" x14ac:dyDescent="0.25">
      <c r="A112" t="s">
        <v>245</v>
      </c>
      <c r="B112" t="s">
        <v>246</v>
      </c>
      <c r="C112" s="2">
        <v>63.402061314138052</v>
      </c>
      <c r="D112" s="3">
        <v>111</v>
      </c>
      <c r="E112" s="4">
        <v>86.301500000000004</v>
      </c>
      <c r="F112" s="4">
        <v>53.905285714285711</v>
      </c>
      <c r="G112" s="4">
        <v>50.646357142857141</v>
      </c>
      <c r="H112" s="4">
        <v>59.937155038759691</v>
      </c>
      <c r="I112" s="4">
        <v>48.310500000000005</v>
      </c>
      <c r="J112" s="4">
        <v>62.812800000000003</v>
      </c>
      <c r="K112" s="4">
        <v>81.350666666666669</v>
      </c>
      <c r="L112" s="4">
        <v>60.286199999999994</v>
      </c>
      <c r="M112" s="4">
        <v>32.226333333333336</v>
      </c>
      <c r="N112" s="4">
        <v>65.281999999999996</v>
      </c>
      <c r="O112" s="4">
        <v>52.632000000000005</v>
      </c>
      <c r="P112" s="4">
        <v>86.523800000000008</v>
      </c>
      <c r="Q112" s="4">
        <v>89.44</v>
      </c>
      <c r="R112" s="4">
        <v>61.276600000000009</v>
      </c>
      <c r="S112" s="4">
        <v>82.943400000000011</v>
      </c>
      <c r="T112" s="4">
        <v>53.790444444444447</v>
      </c>
      <c r="U112" s="4">
        <v>50.17</v>
      </c>
    </row>
    <row r="113" spans="1:21" x14ac:dyDescent="0.25">
      <c r="A113" t="s">
        <v>235</v>
      </c>
      <c r="B113" t="s">
        <v>236</v>
      </c>
      <c r="C113" s="2">
        <v>63.142723325693915</v>
      </c>
      <c r="D113" s="3">
        <v>112</v>
      </c>
      <c r="F113" s="4">
        <v>62.851571428571432</v>
      </c>
      <c r="G113" s="4">
        <v>82.974571428571423</v>
      </c>
      <c r="H113" s="4">
        <v>84.590333333333334</v>
      </c>
      <c r="I113" s="4">
        <v>56.476500000000001</v>
      </c>
      <c r="J113" s="4">
        <v>48.62</v>
      </c>
      <c r="K113" s="4">
        <v>92.615666666666655</v>
      </c>
      <c r="L113" s="4">
        <v>56.517250000000004</v>
      </c>
      <c r="M113" s="4">
        <v>56.177500000000002</v>
      </c>
      <c r="O113" s="4">
        <v>54.308999999999997</v>
      </c>
      <c r="P113" s="4">
        <v>36.552833333333332</v>
      </c>
      <c r="Q113" s="4">
        <v>33.827999999999996</v>
      </c>
      <c r="R113" s="4">
        <v>50.945499999999996</v>
      </c>
      <c r="S113" s="4">
        <v>54.970333333333336</v>
      </c>
      <c r="T113" s="4">
        <v>76.891714285714301</v>
      </c>
      <c r="U113" s="4">
        <v>68.62</v>
      </c>
    </row>
    <row r="114" spans="1:21" x14ac:dyDescent="0.25">
      <c r="A114" t="s">
        <v>229</v>
      </c>
      <c r="B114" t="s">
        <v>230</v>
      </c>
      <c r="C114" s="2">
        <v>63.136498238526173</v>
      </c>
      <c r="D114" s="3">
        <v>113</v>
      </c>
      <c r="E114" s="4">
        <v>85.176999999999992</v>
      </c>
      <c r="F114" s="4">
        <v>43.85971428571429</v>
      </c>
      <c r="G114" s="4">
        <v>62.301230769230784</v>
      </c>
      <c r="H114" s="4">
        <v>69.874000000000009</v>
      </c>
      <c r="I114" s="4">
        <v>36.186</v>
      </c>
      <c r="J114" s="4">
        <v>71.545400000000001</v>
      </c>
      <c r="K114" s="4">
        <v>89.583666666666659</v>
      </c>
      <c r="L114" s="4">
        <v>56.944000000000003</v>
      </c>
      <c r="M114" s="4">
        <v>31.516666666666666</v>
      </c>
      <c r="N114" s="4">
        <v>59.744</v>
      </c>
      <c r="O114" s="4">
        <v>58.256666666666668</v>
      </c>
      <c r="P114" s="4">
        <v>86.531000000000006</v>
      </c>
      <c r="Q114" s="4">
        <v>91.125999999999991</v>
      </c>
      <c r="R114" s="4">
        <v>47.513249999999999</v>
      </c>
      <c r="S114" s="4">
        <v>38.446249999999999</v>
      </c>
      <c r="T114" s="4">
        <v>67.584125</v>
      </c>
      <c r="U114" s="4">
        <v>77.131500000000003</v>
      </c>
    </row>
    <row r="115" spans="1:21" x14ac:dyDescent="0.25">
      <c r="A115" t="s">
        <v>201</v>
      </c>
      <c r="B115" t="s">
        <v>202</v>
      </c>
      <c r="C115" s="2">
        <v>63.025544296226656</v>
      </c>
      <c r="D115" s="3">
        <v>114</v>
      </c>
      <c r="E115" s="4">
        <v>31.708000000000002</v>
      </c>
      <c r="F115" s="4">
        <v>53.554857142857145</v>
      </c>
      <c r="G115" s="4">
        <v>68.28153846153846</v>
      </c>
      <c r="H115" s="4">
        <v>90.663063492063486</v>
      </c>
      <c r="I115" s="4">
        <v>59.21</v>
      </c>
      <c r="J115" s="4">
        <v>58.629800000000003</v>
      </c>
      <c r="K115" s="4">
        <v>81.367666666666665</v>
      </c>
      <c r="L115" s="4">
        <v>68.926200000000009</v>
      </c>
      <c r="M115" s="4">
        <v>12.4504</v>
      </c>
      <c r="O115" s="4">
        <v>79.462666666666664</v>
      </c>
      <c r="P115" s="4">
        <v>84.694599999999994</v>
      </c>
      <c r="Q115" s="4">
        <v>53.465000000000003</v>
      </c>
      <c r="S115" s="4">
        <v>62.991599999999991</v>
      </c>
      <c r="T115" s="4">
        <v>73.260750000000002</v>
      </c>
      <c r="U115" s="4">
        <v>64.42</v>
      </c>
    </row>
    <row r="116" spans="1:21" x14ac:dyDescent="0.25">
      <c r="A116" t="s">
        <v>257</v>
      </c>
      <c r="B116" t="s">
        <v>258</v>
      </c>
      <c r="C116" s="2">
        <v>62.574981889678945</v>
      </c>
      <c r="D116" s="3">
        <v>115</v>
      </c>
      <c r="E116" s="4">
        <v>38.401500000000006</v>
      </c>
      <c r="F116" s="4">
        <v>58.997285714285717</v>
      </c>
      <c r="G116" s="4">
        <v>63.970923076923064</v>
      </c>
      <c r="H116" s="4">
        <v>82.899000000000001</v>
      </c>
      <c r="I116" s="4">
        <v>44.631500000000003</v>
      </c>
      <c r="J116" s="4">
        <v>61.174999999999997</v>
      </c>
      <c r="K116" s="4">
        <v>42.435499999999998</v>
      </c>
      <c r="L116" s="4">
        <v>65.59</v>
      </c>
      <c r="M116" s="4">
        <v>18.877400000000002</v>
      </c>
      <c r="N116" s="4">
        <v>53.361000000000004</v>
      </c>
      <c r="O116" s="4">
        <v>85.407499999999999</v>
      </c>
      <c r="P116" s="4">
        <v>77.108833333333337</v>
      </c>
      <c r="Q116" s="4">
        <v>96.76</v>
      </c>
      <c r="R116" s="4">
        <v>83.068000000000012</v>
      </c>
      <c r="S116" s="4">
        <v>65.097749999999991</v>
      </c>
      <c r="T116" s="4">
        <v>70.903499999999994</v>
      </c>
      <c r="U116" s="4">
        <v>55.09</v>
      </c>
    </row>
    <row r="117" spans="1:21" x14ac:dyDescent="0.25">
      <c r="A117" t="s">
        <v>249</v>
      </c>
      <c r="B117" t="s">
        <v>250</v>
      </c>
      <c r="C117" s="2">
        <v>62.06225509803923</v>
      </c>
      <c r="D117" s="3">
        <v>116</v>
      </c>
      <c r="E117" s="4">
        <v>58.718000000000004</v>
      </c>
      <c r="F117" s="4">
        <v>63.012</v>
      </c>
      <c r="G117" s="4">
        <v>49.958000000000006</v>
      </c>
      <c r="H117" s="4">
        <v>75.887</v>
      </c>
      <c r="I117" s="4">
        <v>72.552250000000015</v>
      </c>
      <c r="J117" s="4">
        <v>68.221000000000004</v>
      </c>
      <c r="K117" s="4">
        <v>48.326500000000003</v>
      </c>
      <c r="L117" s="4">
        <v>70.963800000000006</v>
      </c>
      <c r="M117" s="4">
        <v>17.541</v>
      </c>
      <c r="N117" s="4">
        <v>45.771999999999998</v>
      </c>
      <c r="O117" s="4">
        <v>80.001333333333335</v>
      </c>
      <c r="P117" s="4">
        <v>96.034333333333336</v>
      </c>
      <c r="Q117" s="4">
        <v>98.959666666666678</v>
      </c>
      <c r="S117" s="4">
        <v>49.874400000000001</v>
      </c>
      <c r="T117" s="4">
        <v>56.911500000000004</v>
      </c>
      <c r="U117" s="4">
        <v>46.173333333333339</v>
      </c>
    </row>
    <row r="118" spans="1:21" x14ac:dyDescent="0.25">
      <c r="A118" t="s">
        <v>243</v>
      </c>
      <c r="B118" t="s">
        <v>244</v>
      </c>
      <c r="C118" s="2">
        <v>61.916988931983042</v>
      </c>
      <c r="D118" s="3">
        <v>117</v>
      </c>
      <c r="E118" s="4">
        <v>74.522999999999996</v>
      </c>
      <c r="F118" s="4">
        <v>44.254857142857148</v>
      </c>
      <c r="G118" s="4">
        <v>55.851076923076917</v>
      </c>
      <c r="H118" s="4">
        <v>83.24466666666666</v>
      </c>
      <c r="I118" s="4">
        <v>31.111000000000001</v>
      </c>
      <c r="J118" s="4">
        <v>56.130600000000001</v>
      </c>
      <c r="K118" s="4">
        <v>68.74733333333333</v>
      </c>
      <c r="L118" s="4">
        <v>82.23960000000001</v>
      </c>
      <c r="M118" s="4">
        <v>40.631999999999998</v>
      </c>
      <c r="N118" s="4">
        <v>55.71</v>
      </c>
      <c r="O118" s="4">
        <v>49.493333333333339</v>
      </c>
      <c r="P118" s="4">
        <v>92.362166666666667</v>
      </c>
      <c r="Q118" s="4">
        <v>96.779333333333341</v>
      </c>
      <c r="R118" s="4">
        <v>63.037200000000006</v>
      </c>
      <c r="S118" s="4">
        <v>50.356200000000001</v>
      </c>
      <c r="T118" s="4">
        <v>61.136444444444436</v>
      </c>
      <c r="U118" s="4">
        <v>46.98</v>
      </c>
    </row>
    <row r="119" spans="1:21" x14ac:dyDescent="0.25">
      <c r="A119" t="s">
        <v>253</v>
      </c>
      <c r="B119" t="s">
        <v>254</v>
      </c>
      <c r="C119" s="2">
        <v>61.684033250736185</v>
      </c>
      <c r="D119" s="3">
        <v>118</v>
      </c>
      <c r="E119" s="4">
        <v>24.807000000000002</v>
      </c>
      <c r="F119" s="4">
        <v>46.130857142857153</v>
      </c>
      <c r="G119" s="4">
        <v>62.188769230769218</v>
      </c>
      <c r="H119" s="4">
        <v>80.081666666666663</v>
      </c>
      <c r="I119" s="4">
        <v>68.039749999999998</v>
      </c>
      <c r="J119" s="4">
        <v>78.134799999999998</v>
      </c>
      <c r="K119" s="4">
        <v>92.50766666666668</v>
      </c>
      <c r="L119" s="4">
        <v>77.707999999999998</v>
      </c>
      <c r="M119" s="4">
        <v>30.948833333333337</v>
      </c>
      <c r="N119" s="4">
        <v>21.608000000000001</v>
      </c>
      <c r="O119" s="4">
        <v>44.643500000000003</v>
      </c>
      <c r="P119" s="4">
        <v>83.364999999999995</v>
      </c>
      <c r="Q119" s="4">
        <v>84.728000000000009</v>
      </c>
      <c r="R119" s="4">
        <v>60.045000000000002</v>
      </c>
      <c r="S119" s="4">
        <v>77.91</v>
      </c>
      <c r="T119" s="4">
        <v>36.12822222222222</v>
      </c>
      <c r="U119" s="4">
        <v>79.653500000000008</v>
      </c>
    </row>
    <row r="120" spans="1:21" x14ac:dyDescent="0.25">
      <c r="A120" t="s">
        <v>237</v>
      </c>
      <c r="B120" t="s">
        <v>238</v>
      </c>
      <c r="C120" s="2">
        <v>61.633997198879555</v>
      </c>
      <c r="D120" s="3">
        <v>119</v>
      </c>
      <c r="E120" s="4">
        <v>56.192</v>
      </c>
      <c r="F120" s="4">
        <v>38.308714285714295</v>
      </c>
      <c r="G120" s="4">
        <v>49.231571428571421</v>
      </c>
      <c r="H120" s="4">
        <v>82.954999999999998</v>
      </c>
      <c r="I120" s="4">
        <v>86.044500000000014</v>
      </c>
      <c r="J120" s="4">
        <v>59.848199999999999</v>
      </c>
      <c r="K120" s="4">
        <v>49.046333333333337</v>
      </c>
      <c r="L120" s="4">
        <v>63.856200000000001</v>
      </c>
      <c r="M120" s="4">
        <v>31.7225</v>
      </c>
      <c r="N120" s="4">
        <v>0</v>
      </c>
      <c r="O120" s="4">
        <v>72.826000000000008</v>
      </c>
      <c r="P120" s="4">
        <v>74.059600000000017</v>
      </c>
      <c r="Q120" s="4">
        <v>85.636333333333326</v>
      </c>
      <c r="R120" s="4">
        <v>68.513799999999989</v>
      </c>
      <c r="S120" s="4">
        <v>85.222200000000001</v>
      </c>
      <c r="T120" s="4">
        <v>68.373999999999995</v>
      </c>
      <c r="U120" s="4">
        <v>75.940999999999988</v>
      </c>
    </row>
    <row r="121" spans="1:21" x14ac:dyDescent="0.25">
      <c r="A121" t="s">
        <v>273</v>
      </c>
      <c r="B121" t="s">
        <v>274</v>
      </c>
      <c r="C121" s="2">
        <v>61.542448459383742</v>
      </c>
      <c r="D121" s="3">
        <v>120</v>
      </c>
      <c r="E121" s="4">
        <v>75.501500000000007</v>
      </c>
      <c r="F121" s="4">
        <v>44.976285714285716</v>
      </c>
      <c r="G121" s="4">
        <v>70.568571428571431</v>
      </c>
      <c r="H121" s="4">
        <v>69.382000000000005</v>
      </c>
      <c r="I121" s="4">
        <v>56.901999999999994</v>
      </c>
      <c r="J121" s="4">
        <v>71.399799999999999</v>
      </c>
      <c r="K121" s="4">
        <v>71.824666666666658</v>
      </c>
      <c r="L121" s="4">
        <v>74.544800000000009</v>
      </c>
      <c r="M121" s="4">
        <v>17.980333333333334</v>
      </c>
      <c r="N121" s="4">
        <v>21.565999999999999</v>
      </c>
      <c r="O121" s="4">
        <v>84.427333333333323</v>
      </c>
      <c r="P121" s="4">
        <v>90.393333333333331</v>
      </c>
      <c r="Q121" s="4">
        <v>96.469333333333338</v>
      </c>
      <c r="R121" s="4">
        <v>58.022400000000005</v>
      </c>
      <c r="S121" s="4">
        <v>45.440599999999996</v>
      </c>
      <c r="T121" s="4">
        <v>51.262666666666668</v>
      </c>
      <c r="U121" s="4">
        <v>45.56</v>
      </c>
    </row>
    <row r="122" spans="1:21" x14ac:dyDescent="0.25">
      <c r="A122" t="s">
        <v>255</v>
      </c>
      <c r="B122" t="s">
        <v>256</v>
      </c>
      <c r="C122" s="2">
        <v>61.453788288418821</v>
      </c>
      <c r="D122" s="3">
        <v>121</v>
      </c>
      <c r="E122" s="4">
        <v>58.531500000000001</v>
      </c>
      <c r="F122" s="4">
        <v>31.764285714285712</v>
      </c>
      <c r="G122" s="4">
        <v>54.518357142857148</v>
      </c>
      <c r="H122" s="4">
        <v>88.73566666666666</v>
      </c>
      <c r="I122" s="4">
        <v>66.963250000000002</v>
      </c>
      <c r="J122" s="4">
        <v>70.567800000000005</v>
      </c>
      <c r="K122" s="4">
        <v>58.80533333333333</v>
      </c>
      <c r="L122" s="4">
        <v>63.00160000000001</v>
      </c>
      <c r="M122" s="4">
        <v>34.920666666666669</v>
      </c>
      <c r="N122" s="4">
        <v>4.8109999999999999</v>
      </c>
      <c r="O122" s="4">
        <v>80.89233333333334</v>
      </c>
      <c r="P122" s="4">
        <v>72.128833333333333</v>
      </c>
      <c r="Q122" s="4">
        <v>79.852666666666664</v>
      </c>
      <c r="S122" s="4">
        <v>72.740999999999985</v>
      </c>
      <c r="T122" s="4">
        <v>67.222666666666669</v>
      </c>
      <c r="U122" s="4">
        <v>74.842333333333329</v>
      </c>
    </row>
    <row r="123" spans="1:21" x14ac:dyDescent="0.25">
      <c r="A123" t="s">
        <v>403</v>
      </c>
      <c r="B123" t="s">
        <v>404</v>
      </c>
      <c r="C123" s="2">
        <v>60.885445238095237</v>
      </c>
      <c r="D123" s="3">
        <v>122</v>
      </c>
      <c r="E123" s="4">
        <v>60.118499999999997</v>
      </c>
      <c r="F123" s="4">
        <v>47.333285714285715</v>
      </c>
      <c r="G123" s="4">
        <v>65.185833333333321</v>
      </c>
      <c r="H123" s="4">
        <v>64.194000000000003</v>
      </c>
      <c r="I123" s="4">
        <v>37.06366666666667</v>
      </c>
      <c r="J123" s="4">
        <v>51.84675</v>
      </c>
      <c r="K123" s="4">
        <v>34.921999999999997</v>
      </c>
      <c r="L123" s="4">
        <v>76.162333333333336</v>
      </c>
      <c r="M123" s="4">
        <v>22.614249999999998</v>
      </c>
      <c r="N123" s="4">
        <v>71.540999999999997</v>
      </c>
      <c r="O123" s="4">
        <v>85.218000000000004</v>
      </c>
      <c r="P123" s="4">
        <v>66.155500000000004</v>
      </c>
      <c r="Q123" s="4">
        <v>95.933666666666682</v>
      </c>
      <c r="R123" s="4">
        <v>62.492200000000004</v>
      </c>
      <c r="S123" s="4">
        <v>52.58325</v>
      </c>
      <c r="T123" s="4">
        <v>68.992666666666665</v>
      </c>
      <c r="U123" s="4">
        <v>72.695666666666668</v>
      </c>
    </row>
    <row r="124" spans="1:21" x14ac:dyDescent="0.25">
      <c r="A124" t="s">
        <v>265</v>
      </c>
      <c r="B124" t="s">
        <v>266</v>
      </c>
      <c r="C124" s="2">
        <v>60.171066619981332</v>
      </c>
      <c r="D124" s="3">
        <v>123</v>
      </c>
      <c r="E124" s="4">
        <v>48.463000000000001</v>
      </c>
      <c r="F124" s="4">
        <v>48.819428571428581</v>
      </c>
      <c r="G124" s="4">
        <v>54.943142857142853</v>
      </c>
      <c r="H124" s="4">
        <v>69.689333333333337</v>
      </c>
      <c r="I124" s="4">
        <v>68.578749999999999</v>
      </c>
      <c r="J124" s="4">
        <v>45.516800000000003</v>
      </c>
      <c r="K124" s="4">
        <v>48.195666666666661</v>
      </c>
      <c r="L124" s="4">
        <v>78.354599999999991</v>
      </c>
      <c r="M124" s="4">
        <v>29.013333333333335</v>
      </c>
      <c r="N124" s="4">
        <v>40.966000000000001</v>
      </c>
      <c r="O124" s="4">
        <v>65.320999999999998</v>
      </c>
      <c r="P124" s="4">
        <v>89.069166666666661</v>
      </c>
      <c r="Q124" s="4">
        <v>98.12833333333333</v>
      </c>
      <c r="R124" s="4">
        <v>65.575000000000003</v>
      </c>
      <c r="S124" s="4">
        <v>58.512799999999991</v>
      </c>
      <c r="T124" s="4">
        <v>57.507777777777783</v>
      </c>
      <c r="U124" s="4">
        <v>56.253999999999998</v>
      </c>
    </row>
    <row r="125" spans="1:21" x14ac:dyDescent="0.25">
      <c r="A125" t="s">
        <v>211</v>
      </c>
      <c r="B125" t="s">
        <v>212</v>
      </c>
      <c r="C125" s="2">
        <v>59.735394281045757</v>
      </c>
      <c r="D125" s="3">
        <v>124</v>
      </c>
      <c r="E125" s="4">
        <v>93.938000000000002</v>
      </c>
      <c r="F125" s="4">
        <v>58.897285714285708</v>
      </c>
      <c r="G125" s="4">
        <v>62.312714285714279</v>
      </c>
      <c r="H125" s="4">
        <v>84.498666666666665</v>
      </c>
      <c r="I125" s="4">
        <v>62.074499999999993</v>
      </c>
      <c r="J125" s="4">
        <v>55.360199999999999</v>
      </c>
      <c r="K125" s="4">
        <v>81.954499999999996</v>
      </c>
      <c r="L125" s="4">
        <v>52.138000000000005</v>
      </c>
      <c r="M125" s="4">
        <v>16.996600000000001</v>
      </c>
      <c r="O125" s="4">
        <v>82.817666666666682</v>
      </c>
      <c r="P125" s="4">
        <v>21.404166666666669</v>
      </c>
      <c r="Q125" s="4">
        <v>62.801666666666669</v>
      </c>
      <c r="R125" s="4">
        <v>41.317500000000003</v>
      </c>
      <c r="S125" s="4">
        <v>59.272333333333336</v>
      </c>
      <c r="T125" s="4">
        <v>62.673625000000001</v>
      </c>
      <c r="U125" s="4">
        <v>78.540000000000006</v>
      </c>
    </row>
    <row r="126" spans="1:21" x14ac:dyDescent="0.25">
      <c r="A126" t="s">
        <v>295</v>
      </c>
      <c r="B126" t="s">
        <v>296</v>
      </c>
      <c r="C126" s="2">
        <v>59.507829483987955</v>
      </c>
      <c r="D126" s="3">
        <v>125</v>
      </c>
      <c r="F126" s="4">
        <v>39.916571428571437</v>
      </c>
      <c r="G126" s="4">
        <v>44.955928571428572</v>
      </c>
      <c r="H126" s="4">
        <v>78.219333333333338</v>
      </c>
      <c r="I126" s="4">
        <v>75.724000000000004</v>
      </c>
      <c r="J126" s="4">
        <v>48.904199999999996</v>
      </c>
      <c r="K126" s="4">
        <v>46.511333333333333</v>
      </c>
      <c r="L126" s="4">
        <v>71.624800000000008</v>
      </c>
      <c r="M126" s="4">
        <v>17.814</v>
      </c>
      <c r="N126" s="4">
        <v>55.960999999999999</v>
      </c>
      <c r="O126" s="4">
        <v>54.579666666666668</v>
      </c>
      <c r="P126" s="4">
        <v>94.878666666666675</v>
      </c>
      <c r="Q126" s="4">
        <v>97.110333333333344</v>
      </c>
      <c r="S126" s="4">
        <v>77.497800000000012</v>
      </c>
      <c r="T126" s="4">
        <v>49.670749999999998</v>
      </c>
      <c r="U126" s="4">
        <v>61.336666666666666</v>
      </c>
    </row>
    <row r="127" spans="1:21" x14ac:dyDescent="0.25">
      <c r="A127" t="s">
        <v>279</v>
      </c>
      <c r="B127" t="s">
        <v>280</v>
      </c>
      <c r="C127" s="2">
        <v>59.334537955182078</v>
      </c>
      <c r="D127" s="3">
        <v>126</v>
      </c>
      <c r="F127" s="4">
        <v>35.278833333333331</v>
      </c>
      <c r="G127" s="4">
        <v>61.387428571428565</v>
      </c>
      <c r="H127" s="4">
        <v>53.520666666666671</v>
      </c>
      <c r="I127" s="4">
        <v>33.915749999999996</v>
      </c>
      <c r="J127" s="4">
        <v>66.355400000000003</v>
      </c>
      <c r="K127" s="4">
        <v>88.307999999999993</v>
      </c>
      <c r="L127" s="4">
        <v>61.426000000000009</v>
      </c>
      <c r="M127" s="4">
        <v>15.215666666666666</v>
      </c>
      <c r="N127" s="4">
        <v>46.572000000000003</v>
      </c>
      <c r="O127" s="4">
        <v>42.219000000000001</v>
      </c>
      <c r="P127" s="4">
        <v>90.089600000000004</v>
      </c>
      <c r="Q127" s="4">
        <v>91.607500000000002</v>
      </c>
      <c r="R127" s="4">
        <v>47.246250000000003</v>
      </c>
      <c r="S127" s="4">
        <v>55.470800000000011</v>
      </c>
      <c r="T127" s="4">
        <v>53.5075</v>
      </c>
      <c r="U127" s="4">
        <v>72.403500000000008</v>
      </c>
    </row>
    <row r="128" spans="1:21" x14ac:dyDescent="0.25">
      <c r="A128" t="s">
        <v>261</v>
      </c>
      <c r="B128" t="s">
        <v>262</v>
      </c>
      <c r="C128" s="2">
        <v>58.267121521942109</v>
      </c>
      <c r="D128" s="3">
        <v>127</v>
      </c>
      <c r="E128" s="4">
        <v>31.281000000000002</v>
      </c>
      <c r="F128" s="4">
        <v>56.515428571428579</v>
      </c>
      <c r="G128" s="4">
        <v>56.249142857142871</v>
      </c>
      <c r="H128" s="4">
        <v>38.244999999999997</v>
      </c>
      <c r="I128" s="4">
        <v>43.896749999999997</v>
      </c>
      <c r="J128" s="4">
        <v>62.722799999999992</v>
      </c>
      <c r="K128" s="4">
        <v>52.215333333333341</v>
      </c>
      <c r="L128" s="4">
        <v>72.696799999999996</v>
      </c>
      <c r="M128" s="4">
        <v>22.795833333333334</v>
      </c>
      <c r="N128" s="4">
        <v>42.679000000000002</v>
      </c>
      <c r="O128" s="4">
        <v>62.615666666666677</v>
      </c>
      <c r="P128" s="4">
        <v>92.930666666666653</v>
      </c>
      <c r="Q128" s="4">
        <v>98.547666666666672</v>
      </c>
      <c r="R128" s="4">
        <v>62.137199999999993</v>
      </c>
      <c r="S128" s="4">
        <v>75.974000000000004</v>
      </c>
      <c r="T128" s="4">
        <v>59.887777777777778</v>
      </c>
      <c r="U128" s="4">
        <v>59.151000000000003</v>
      </c>
    </row>
    <row r="129" spans="1:21" x14ac:dyDescent="0.25">
      <c r="A129" t="s">
        <v>259</v>
      </c>
      <c r="B129" t="s">
        <v>260</v>
      </c>
      <c r="C129" s="2">
        <v>57.90914243697479</v>
      </c>
      <c r="D129" s="3">
        <v>128</v>
      </c>
      <c r="E129" s="4">
        <v>47.792999999999999</v>
      </c>
      <c r="F129" s="4">
        <v>56.416857142857147</v>
      </c>
      <c r="G129" s="4">
        <v>36.239214285714283</v>
      </c>
      <c r="H129" s="4">
        <v>47.143333333333338</v>
      </c>
      <c r="I129" s="4">
        <v>38.369999999999997</v>
      </c>
      <c r="J129" s="4">
        <v>55.962400000000002</v>
      </c>
      <c r="K129" s="4">
        <v>53.647666666666673</v>
      </c>
      <c r="L129" s="4">
        <v>73.717799999999997</v>
      </c>
      <c r="M129" s="4">
        <v>26.73</v>
      </c>
      <c r="N129" s="4">
        <v>45.017000000000003</v>
      </c>
      <c r="O129" s="4">
        <v>59.610333333333337</v>
      </c>
      <c r="P129" s="4">
        <v>94.67016666666666</v>
      </c>
      <c r="Q129" s="4">
        <v>98.884</v>
      </c>
      <c r="R129" s="4">
        <v>71.213250000000002</v>
      </c>
      <c r="S129" s="4">
        <v>69.424399999999991</v>
      </c>
      <c r="T129" s="4">
        <v>54.600333333333339</v>
      </c>
      <c r="U129" s="4">
        <v>55.015666666666668</v>
      </c>
    </row>
    <row r="130" spans="1:21" x14ac:dyDescent="0.25">
      <c r="A130" t="s">
        <v>277</v>
      </c>
      <c r="B130" t="s">
        <v>278</v>
      </c>
      <c r="C130" s="2">
        <v>57.8582505602241</v>
      </c>
      <c r="D130" s="3">
        <v>129</v>
      </c>
      <c r="E130" s="4">
        <v>67.284999999999997</v>
      </c>
      <c r="F130" s="4">
        <v>45.743428571428574</v>
      </c>
      <c r="G130" s="4">
        <v>44.213714285714289</v>
      </c>
      <c r="H130" s="4">
        <v>46.716000000000008</v>
      </c>
      <c r="I130" s="4">
        <v>36.146500000000003</v>
      </c>
      <c r="J130" s="4">
        <v>59.088200000000008</v>
      </c>
      <c r="K130" s="4">
        <v>26.570999999999998</v>
      </c>
      <c r="L130" s="4">
        <v>72.124499999999998</v>
      </c>
      <c r="M130" s="4">
        <v>11.4495</v>
      </c>
      <c r="N130" s="4">
        <v>76.33</v>
      </c>
      <c r="O130" s="4">
        <v>61.282999999999994</v>
      </c>
      <c r="P130" s="4">
        <v>93.605833333333337</v>
      </c>
      <c r="Q130" s="4">
        <v>99.114999999999995</v>
      </c>
      <c r="R130" s="4">
        <v>71.028999999999996</v>
      </c>
      <c r="S130" s="4">
        <v>78.78325000000001</v>
      </c>
      <c r="T130" s="4">
        <v>58.715666666666671</v>
      </c>
      <c r="U130" s="4">
        <v>35.390666666666668</v>
      </c>
    </row>
    <row r="131" spans="1:21" x14ac:dyDescent="0.25">
      <c r="A131" t="s">
        <v>285</v>
      </c>
      <c r="B131" t="s">
        <v>286</v>
      </c>
      <c r="C131" s="2">
        <v>57.72159169000934</v>
      </c>
      <c r="D131" s="3">
        <v>130</v>
      </c>
      <c r="E131" s="4">
        <v>81.385500000000008</v>
      </c>
      <c r="F131" s="4">
        <v>39.458285714285715</v>
      </c>
      <c r="G131" s="4">
        <v>44.425428571428561</v>
      </c>
      <c r="H131" s="4">
        <v>39.696000000000005</v>
      </c>
      <c r="I131" s="4">
        <v>32.498249999999999</v>
      </c>
      <c r="J131" s="4">
        <v>58.325400000000002</v>
      </c>
      <c r="K131" s="4">
        <v>41.332999999999998</v>
      </c>
      <c r="L131" s="4">
        <v>45.040200000000006</v>
      </c>
      <c r="M131" s="4">
        <v>20.369599999999998</v>
      </c>
      <c r="N131" s="4">
        <v>85.614000000000004</v>
      </c>
      <c r="O131" s="4">
        <v>49.061666666666667</v>
      </c>
      <c r="P131" s="4">
        <v>89.05883333333334</v>
      </c>
      <c r="Q131" s="4">
        <v>96.472499999999997</v>
      </c>
      <c r="R131" s="4">
        <v>72.95920000000001</v>
      </c>
      <c r="S131" s="4">
        <v>76.061750000000004</v>
      </c>
      <c r="T131" s="4">
        <v>45.55744444444445</v>
      </c>
      <c r="U131" s="4">
        <v>63.95</v>
      </c>
    </row>
    <row r="132" spans="1:21" x14ac:dyDescent="0.25">
      <c r="A132" t="s">
        <v>287</v>
      </c>
      <c r="B132" t="s">
        <v>288</v>
      </c>
      <c r="C132" s="2">
        <v>56.640844024276376</v>
      </c>
      <c r="D132" s="3">
        <v>131</v>
      </c>
      <c r="E132" s="4">
        <v>23.423000000000002</v>
      </c>
      <c r="F132" s="4">
        <v>50.46442857142857</v>
      </c>
      <c r="G132" s="4">
        <v>44.664714285714297</v>
      </c>
      <c r="H132" s="4">
        <v>49.234000000000002</v>
      </c>
      <c r="I132" s="4">
        <v>71.08475</v>
      </c>
      <c r="J132" s="4">
        <v>50.101800000000004</v>
      </c>
      <c r="K132" s="4">
        <v>34.569333333333333</v>
      </c>
      <c r="L132" s="4">
        <v>73.263999999999996</v>
      </c>
      <c r="M132" s="4">
        <v>22.371166666666667</v>
      </c>
      <c r="N132" s="4">
        <v>56.207999999999998</v>
      </c>
      <c r="O132" s="4">
        <v>65.274000000000001</v>
      </c>
      <c r="P132" s="4">
        <v>92.28166666666668</v>
      </c>
      <c r="Q132" s="4">
        <v>99.275000000000006</v>
      </c>
      <c r="R132" s="4">
        <v>73.121399999999994</v>
      </c>
      <c r="S132" s="4">
        <v>60.782200000000003</v>
      </c>
      <c r="T132" s="4">
        <v>52.462888888888891</v>
      </c>
      <c r="U132" s="4">
        <v>44.312000000000005</v>
      </c>
    </row>
    <row r="133" spans="1:21" x14ac:dyDescent="0.25">
      <c r="A133" t="s">
        <v>271</v>
      </c>
      <c r="B133" t="s">
        <v>272</v>
      </c>
      <c r="C133" s="2">
        <v>56.558061397662513</v>
      </c>
      <c r="D133" s="3">
        <v>132</v>
      </c>
      <c r="E133" s="4">
        <v>18.408999999999999</v>
      </c>
      <c r="F133" s="4">
        <v>51.728285714285711</v>
      </c>
      <c r="G133" s="4">
        <v>61.725000000000001</v>
      </c>
      <c r="H133" s="4">
        <v>62.332000000000001</v>
      </c>
      <c r="I133" s="4">
        <v>79.991249999999994</v>
      </c>
      <c r="J133" s="4">
        <v>58.375</v>
      </c>
      <c r="K133" s="4">
        <v>13.7515</v>
      </c>
      <c r="L133" s="4">
        <v>70.232200000000006</v>
      </c>
      <c r="M133" s="4">
        <v>18.636666666666667</v>
      </c>
      <c r="N133" s="4">
        <v>36.346000000000004</v>
      </c>
      <c r="O133" s="4">
        <v>56.682333333333332</v>
      </c>
      <c r="P133" s="4">
        <v>80.808833333333325</v>
      </c>
      <c r="Q133" s="4">
        <v>99.419666666666672</v>
      </c>
      <c r="S133" s="4">
        <v>63.156199999999998</v>
      </c>
      <c r="T133" s="4">
        <v>68.036666666666662</v>
      </c>
      <c r="U133" s="4">
        <v>57.44133333333334</v>
      </c>
    </row>
    <row r="134" spans="1:21" x14ac:dyDescent="0.25">
      <c r="A134" t="s">
        <v>297</v>
      </c>
      <c r="B134" t="s">
        <v>298</v>
      </c>
      <c r="C134" s="2">
        <v>56.535058636788051</v>
      </c>
      <c r="D134" s="3">
        <v>133</v>
      </c>
      <c r="E134" s="4">
        <v>50.734000000000002</v>
      </c>
      <c r="F134" s="4">
        <v>57.016571428571424</v>
      </c>
      <c r="G134" s="4">
        <v>39.492714285714285</v>
      </c>
      <c r="H134" s="4">
        <v>64.309000000000012</v>
      </c>
      <c r="I134" s="4">
        <v>55.152999999999999</v>
      </c>
      <c r="J134" s="4">
        <v>53.210999999999999</v>
      </c>
      <c r="K134" s="4">
        <v>55.494000000000007</v>
      </c>
      <c r="L134" s="4">
        <v>67.6374</v>
      </c>
      <c r="M134" s="4">
        <v>16.276600000000002</v>
      </c>
      <c r="N134" s="4">
        <v>43.228000000000002</v>
      </c>
      <c r="O134" s="4">
        <v>38.753666666666668</v>
      </c>
      <c r="P134" s="4">
        <v>95.011333333333326</v>
      </c>
      <c r="Q134" s="4">
        <v>98.846333333333334</v>
      </c>
      <c r="R134" s="4">
        <v>67.543333333333337</v>
      </c>
      <c r="S134" s="4">
        <v>66.101599999999991</v>
      </c>
      <c r="T134" s="4">
        <v>45.944111111111113</v>
      </c>
      <c r="U134" s="4">
        <v>46.343333333333334</v>
      </c>
    </row>
    <row r="135" spans="1:21" x14ac:dyDescent="0.25">
      <c r="A135" t="s">
        <v>275</v>
      </c>
      <c r="B135" t="s">
        <v>276</v>
      </c>
      <c r="C135" s="2">
        <v>56.169547969187683</v>
      </c>
      <c r="D135" s="3">
        <v>134</v>
      </c>
      <c r="E135" s="4">
        <v>79.310500000000005</v>
      </c>
      <c r="F135" s="4">
        <v>36.345571428571432</v>
      </c>
      <c r="G135" s="4">
        <v>51.635785714285703</v>
      </c>
      <c r="H135" s="4">
        <v>40.048999999999999</v>
      </c>
      <c r="I135" s="4">
        <v>28.8445</v>
      </c>
      <c r="J135" s="4">
        <v>48.220600000000005</v>
      </c>
      <c r="K135" s="4">
        <v>61.789333333333332</v>
      </c>
      <c r="L135" s="4">
        <v>66.028000000000006</v>
      </c>
      <c r="M135" s="4">
        <v>24.231333333333339</v>
      </c>
      <c r="N135" s="4">
        <v>56.22</v>
      </c>
      <c r="O135" s="4">
        <v>49.092999999999996</v>
      </c>
      <c r="P135" s="4">
        <v>91.59083333333335</v>
      </c>
      <c r="Q135" s="4">
        <v>98.376666666666665</v>
      </c>
      <c r="R135" s="4">
        <v>58.571000000000005</v>
      </c>
      <c r="S135" s="4">
        <v>66.702400000000011</v>
      </c>
      <c r="T135" s="4">
        <v>51.297125000000001</v>
      </c>
      <c r="U135" s="4">
        <v>46.576666666666675</v>
      </c>
    </row>
    <row r="136" spans="1:21" x14ac:dyDescent="0.25">
      <c r="A136" t="s">
        <v>321</v>
      </c>
      <c r="B136" t="s">
        <v>322</v>
      </c>
      <c r="C136" s="2">
        <v>55.248348529411764</v>
      </c>
      <c r="D136" s="3">
        <v>135</v>
      </c>
      <c r="E136" s="4">
        <v>3.85</v>
      </c>
      <c r="F136" s="4">
        <v>42.179285714285719</v>
      </c>
      <c r="G136" s="4">
        <v>48.84721428571428</v>
      </c>
      <c r="H136" s="4">
        <v>60.058333333333337</v>
      </c>
      <c r="I136" s="4">
        <v>52.862499999999997</v>
      </c>
      <c r="J136" s="4">
        <v>53.119600000000005</v>
      </c>
      <c r="K136" s="4">
        <v>56.929333333333339</v>
      </c>
      <c r="L136" s="4">
        <v>54.665600000000005</v>
      </c>
      <c r="M136" s="4">
        <v>6.7144000000000004</v>
      </c>
      <c r="N136" s="4">
        <v>31.036999999999999</v>
      </c>
      <c r="O136" s="4">
        <v>57.781000000000006</v>
      </c>
      <c r="P136" s="4">
        <v>94.054000000000002</v>
      </c>
      <c r="Q136" s="4">
        <v>97.789666666666676</v>
      </c>
      <c r="R136" s="4">
        <v>73.089333333333343</v>
      </c>
      <c r="S136" s="4">
        <v>91.292200000000008</v>
      </c>
      <c r="T136" s="4">
        <v>53.208125000000003</v>
      </c>
      <c r="U136" s="4">
        <v>61.744333333333337</v>
      </c>
    </row>
    <row r="137" spans="1:21" x14ac:dyDescent="0.25">
      <c r="A137" t="s">
        <v>307</v>
      </c>
      <c r="B137" t="s">
        <v>308</v>
      </c>
      <c r="C137" s="2">
        <v>55.232465926140591</v>
      </c>
      <c r="D137" s="3">
        <v>136</v>
      </c>
      <c r="E137" s="4">
        <v>32.548000000000002</v>
      </c>
      <c r="F137" s="4">
        <v>53.217857142857142</v>
      </c>
      <c r="G137" s="4">
        <v>43.106000000000002</v>
      </c>
      <c r="H137" s="4">
        <v>43.660333333333334</v>
      </c>
      <c r="I137" s="4">
        <v>53.350999999999999</v>
      </c>
      <c r="J137" s="4">
        <v>35.750799999999998</v>
      </c>
      <c r="K137" s="4">
        <v>41.387666666666668</v>
      </c>
      <c r="L137" s="4">
        <v>72.713600000000014</v>
      </c>
      <c r="M137" s="4">
        <v>11.809833333333335</v>
      </c>
      <c r="N137" s="4">
        <v>78.945999999999998</v>
      </c>
      <c r="O137" s="4">
        <v>58.856666666666676</v>
      </c>
      <c r="P137" s="4">
        <v>96.213833333333341</v>
      </c>
      <c r="Q137" s="4">
        <v>99.579000000000008</v>
      </c>
      <c r="S137" s="4">
        <v>57.024000000000001</v>
      </c>
      <c r="T137" s="4">
        <v>50.232222222222227</v>
      </c>
      <c r="U137" s="4">
        <v>46.14</v>
      </c>
    </row>
    <row r="138" spans="1:21" x14ac:dyDescent="0.25">
      <c r="A138" t="s">
        <v>325</v>
      </c>
      <c r="B138" t="s">
        <v>326</v>
      </c>
      <c r="C138" s="2">
        <v>55.217570361247958</v>
      </c>
      <c r="D138" s="3">
        <v>137</v>
      </c>
      <c r="E138" s="4">
        <v>27.149000000000001</v>
      </c>
      <c r="F138" s="4">
        <v>53.019714285714294</v>
      </c>
      <c r="G138" s="4">
        <v>47.567357142857141</v>
      </c>
      <c r="H138" s="4">
        <v>36.040333333333336</v>
      </c>
      <c r="I138" s="4">
        <v>38.450249999999997</v>
      </c>
      <c r="J138" s="4">
        <v>44.662799999999997</v>
      </c>
      <c r="K138" s="4">
        <v>12.542000000000002</v>
      </c>
      <c r="L138" s="4">
        <v>70.252800000000008</v>
      </c>
      <c r="M138" s="4">
        <v>16.664999999999999</v>
      </c>
      <c r="N138" s="4">
        <v>78.079000000000008</v>
      </c>
      <c r="O138" s="4">
        <v>61.056999999999995</v>
      </c>
      <c r="P138" s="4">
        <v>89.86933333333333</v>
      </c>
      <c r="Q138" s="4">
        <v>99.336666666666659</v>
      </c>
      <c r="S138" s="4">
        <v>86.025000000000006</v>
      </c>
      <c r="T138" s="4">
        <v>57.396333333333331</v>
      </c>
      <c r="U138" s="4">
        <v>56.170999999999999</v>
      </c>
    </row>
    <row r="139" spans="1:21" x14ac:dyDescent="0.25">
      <c r="A139" t="s">
        <v>319</v>
      </c>
      <c r="B139" t="s">
        <v>320</v>
      </c>
      <c r="C139" s="2">
        <v>54.564797378020984</v>
      </c>
      <c r="D139" s="3">
        <v>138</v>
      </c>
      <c r="E139" s="4">
        <v>57.008499999999998</v>
      </c>
      <c r="F139" s="4">
        <v>37.914857142857144</v>
      </c>
      <c r="G139" s="4">
        <v>53.26914285714286</v>
      </c>
      <c r="H139" s="4">
        <v>41.115705426356591</v>
      </c>
      <c r="I139" s="4">
        <v>51.758000000000003</v>
      </c>
      <c r="J139" s="4">
        <v>63.421199999999999</v>
      </c>
      <c r="K139" s="4">
        <v>32.965000000000003</v>
      </c>
      <c r="L139" s="4">
        <v>57.759500000000003</v>
      </c>
      <c r="M139" s="4">
        <v>25.767399999999999</v>
      </c>
      <c r="N139" s="4">
        <v>27.583000000000002</v>
      </c>
      <c r="O139" s="4">
        <v>71.241333333333344</v>
      </c>
      <c r="P139" s="4">
        <v>89.1785</v>
      </c>
      <c r="Q139" s="4">
        <v>97.654666666666671</v>
      </c>
      <c r="R139" s="4">
        <v>44.056999999999995</v>
      </c>
      <c r="S139" s="4">
        <v>38.297499999999999</v>
      </c>
      <c r="T139" s="4">
        <v>63.963749999999997</v>
      </c>
      <c r="U139" s="4">
        <v>74.646500000000003</v>
      </c>
    </row>
    <row r="140" spans="1:21" x14ac:dyDescent="0.25">
      <c r="A140" t="s">
        <v>335</v>
      </c>
      <c r="B140" t="s">
        <v>336</v>
      </c>
      <c r="C140" s="2">
        <v>54.224206436210856</v>
      </c>
      <c r="D140" s="3">
        <v>139</v>
      </c>
      <c r="F140" s="4">
        <v>45.246142857142864</v>
      </c>
      <c r="G140" s="4">
        <v>36.643714285714282</v>
      </c>
      <c r="H140" s="4">
        <v>54.601666666666681</v>
      </c>
      <c r="I140" s="4">
        <v>32.807499999999997</v>
      </c>
      <c r="J140" s="4">
        <v>46.313800000000001</v>
      </c>
      <c r="K140" s="4">
        <v>64.265500000000003</v>
      </c>
      <c r="L140" s="4">
        <v>40.560600000000001</v>
      </c>
      <c r="M140" s="4">
        <v>6.480666666666667</v>
      </c>
      <c r="O140" s="4">
        <v>39.4</v>
      </c>
      <c r="P140" s="4">
        <v>90.838166666666666</v>
      </c>
      <c r="Q140" s="4">
        <v>99.026666666666657</v>
      </c>
      <c r="S140" s="4">
        <v>52.181600000000003</v>
      </c>
      <c r="T140" s="4">
        <v>46.578375000000008</v>
      </c>
      <c r="U140" s="4">
        <v>46.32</v>
      </c>
    </row>
    <row r="141" spans="1:21" x14ac:dyDescent="0.25">
      <c r="A141" t="s">
        <v>317</v>
      </c>
      <c r="B141" t="s">
        <v>318</v>
      </c>
      <c r="C141" s="2">
        <v>54.125802474323052</v>
      </c>
      <c r="D141" s="3">
        <v>140</v>
      </c>
      <c r="E141" s="4">
        <v>11.77</v>
      </c>
      <c r="F141" s="4">
        <v>45.264857142857146</v>
      </c>
      <c r="G141" s="4">
        <v>33.205357142857132</v>
      </c>
      <c r="H141" s="4">
        <v>46.551000000000009</v>
      </c>
      <c r="I141" s="4">
        <v>61.495750000000001</v>
      </c>
      <c r="J141" s="4">
        <v>49.580200000000005</v>
      </c>
      <c r="K141" s="4">
        <v>38.051666666666669</v>
      </c>
      <c r="L141" s="4">
        <v>68.509600000000006</v>
      </c>
      <c r="M141" s="4">
        <v>10.064500000000001</v>
      </c>
      <c r="N141" s="4">
        <v>25.577000000000002</v>
      </c>
      <c r="O141" s="4">
        <v>71.652000000000001</v>
      </c>
      <c r="P141" s="4">
        <v>96.073333333333323</v>
      </c>
      <c r="Q141" s="4">
        <v>98.654666666666671</v>
      </c>
      <c r="R141" s="4">
        <v>72.979399999999984</v>
      </c>
      <c r="S141" s="4">
        <v>67.696200000000005</v>
      </c>
      <c r="T141" s="4">
        <v>54.081777777777788</v>
      </c>
      <c r="U141" s="4">
        <v>68.931333333333342</v>
      </c>
    </row>
    <row r="142" spans="1:21" x14ac:dyDescent="0.25">
      <c r="A142" t="s">
        <v>305</v>
      </c>
      <c r="B142" t="s">
        <v>306</v>
      </c>
      <c r="C142" s="2">
        <v>53.997636140893128</v>
      </c>
      <c r="D142" s="3">
        <v>141</v>
      </c>
      <c r="E142" s="4">
        <v>14.0085</v>
      </c>
      <c r="F142" s="4">
        <v>50.507857142857155</v>
      </c>
      <c r="G142" s="4">
        <v>27.229571428571429</v>
      </c>
      <c r="H142" s="4">
        <v>65.651666666666657</v>
      </c>
      <c r="I142" s="4">
        <v>73.463000000000008</v>
      </c>
      <c r="J142" s="4">
        <v>56.290600000000005</v>
      </c>
      <c r="K142" s="4">
        <v>30.6965</v>
      </c>
      <c r="L142" s="4">
        <v>53.799400000000006</v>
      </c>
      <c r="M142" s="4">
        <v>17.353333333333332</v>
      </c>
      <c r="N142" s="4">
        <v>0.13800000000000001</v>
      </c>
      <c r="O142" s="4">
        <v>70.308666666666667</v>
      </c>
      <c r="P142" s="4">
        <v>89.860833333333332</v>
      </c>
      <c r="Q142" s="4">
        <v>93.580666666666673</v>
      </c>
      <c r="S142" s="4">
        <v>74.02</v>
      </c>
      <c r="T142" s="4">
        <v>43.487111111111112</v>
      </c>
      <c r="U142" s="4">
        <v>93.149000000000001</v>
      </c>
    </row>
    <row r="143" spans="1:21" x14ac:dyDescent="0.25">
      <c r="A143" t="s">
        <v>301</v>
      </c>
      <c r="B143" t="s">
        <v>302</v>
      </c>
      <c r="C143" s="2">
        <v>53.486979604945432</v>
      </c>
      <c r="D143" s="3">
        <v>142</v>
      </c>
      <c r="E143" s="4">
        <v>24.531500000000001</v>
      </c>
      <c r="F143" s="4">
        <v>50.492714285714293</v>
      </c>
      <c r="G143" s="4">
        <v>46.213214285714294</v>
      </c>
      <c r="H143" s="4">
        <v>60.390333333333331</v>
      </c>
      <c r="I143" s="4">
        <v>59.774749999999997</v>
      </c>
      <c r="J143" s="4">
        <v>44.933800000000005</v>
      </c>
      <c r="K143" s="4">
        <v>7.0955000000000004</v>
      </c>
      <c r="L143" s="4">
        <v>72.212000000000018</v>
      </c>
      <c r="M143" s="4">
        <v>25.180833333333336</v>
      </c>
      <c r="N143" s="4">
        <v>57.103999999999999</v>
      </c>
      <c r="O143" s="4">
        <v>45.503666666666668</v>
      </c>
      <c r="P143" s="4">
        <v>88.694166666666661</v>
      </c>
      <c r="Q143" s="4">
        <v>99.28</v>
      </c>
      <c r="S143" s="4">
        <v>67.566400000000002</v>
      </c>
      <c r="T143" s="4">
        <v>49.089333333333329</v>
      </c>
      <c r="U143" s="4">
        <v>46.801333333333332</v>
      </c>
    </row>
    <row r="144" spans="1:21" x14ac:dyDescent="0.25">
      <c r="A144" t="s">
        <v>313</v>
      </c>
      <c r="B144" t="s">
        <v>314</v>
      </c>
      <c r="C144" s="2">
        <v>53.455386094207796</v>
      </c>
      <c r="D144" s="3">
        <v>143</v>
      </c>
      <c r="E144" s="4">
        <v>0</v>
      </c>
      <c r="F144" s="4">
        <v>50.947000000000003</v>
      </c>
      <c r="G144" s="4">
        <v>47.23</v>
      </c>
      <c r="H144" s="4">
        <v>60.234999999999999</v>
      </c>
      <c r="I144" s="4">
        <v>63.485500000000002</v>
      </c>
      <c r="J144" s="4">
        <v>54.903999999999996</v>
      </c>
      <c r="K144" s="4">
        <v>0.11</v>
      </c>
      <c r="L144" s="4">
        <v>43.211599999999997</v>
      </c>
      <c r="M144" s="4">
        <v>5.0235000000000003</v>
      </c>
      <c r="N144" s="4">
        <v>68.724000000000004</v>
      </c>
      <c r="O144" s="4">
        <v>59.41</v>
      </c>
      <c r="P144" s="4">
        <v>82.768333333333331</v>
      </c>
      <c r="Q144" s="4">
        <v>99.827666666666673</v>
      </c>
      <c r="S144" s="4">
        <v>82.931799999999996</v>
      </c>
      <c r="T144" s="4">
        <v>53.864555555555555</v>
      </c>
      <c r="U144" s="4">
        <v>71.653500000000008</v>
      </c>
    </row>
    <row r="145" spans="1:21" x14ac:dyDescent="0.25">
      <c r="A145" t="s">
        <v>283</v>
      </c>
      <c r="B145" t="s">
        <v>284</v>
      </c>
      <c r="C145" s="2">
        <v>53.401073489165775</v>
      </c>
      <c r="D145" s="3">
        <v>144</v>
      </c>
      <c r="E145" s="4">
        <v>22.954499999999999</v>
      </c>
      <c r="F145" s="4">
        <v>42.049571428571433</v>
      </c>
      <c r="G145" s="4">
        <v>42.92071428571429</v>
      </c>
      <c r="H145" s="4">
        <v>71.403000000000006</v>
      </c>
      <c r="I145" s="4">
        <v>56.946249999999999</v>
      </c>
      <c r="J145" s="4">
        <v>45.806000000000004</v>
      </c>
      <c r="K145" s="4">
        <v>59.774500000000003</v>
      </c>
      <c r="L145" s="4">
        <v>48.5548</v>
      </c>
      <c r="M145" s="4">
        <v>14.065</v>
      </c>
      <c r="N145" s="4">
        <v>0</v>
      </c>
      <c r="O145" s="4">
        <v>83.38666666666667</v>
      </c>
      <c r="P145" s="4">
        <v>72.010500000000008</v>
      </c>
      <c r="Q145" s="4">
        <v>83.888999999999996</v>
      </c>
      <c r="S145" s="4">
        <v>64.677750000000003</v>
      </c>
      <c r="T145" s="4">
        <v>59.664888888888896</v>
      </c>
      <c r="U145" s="4">
        <v>75.3</v>
      </c>
    </row>
    <row r="146" spans="1:21" x14ac:dyDescent="0.25">
      <c r="A146" t="s">
        <v>299</v>
      </c>
      <c r="B146" t="s">
        <v>300</v>
      </c>
      <c r="C146" s="2">
        <v>53.312071895424836</v>
      </c>
      <c r="D146" s="3">
        <v>145</v>
      </c>
      <c r="E146" s="4">
        <v>18.484999999999999</v>
      </c>
      <c r="F146" s="4">
        <v>57.281000000000006</v>
      </c>
      <c r="G146" s="4">
        <v>45.084499999999998</v>
      </c>
      <c r="H146" s="4">
        <v>52.22</v>
      </c>
      <c r="I146" s="4">
        <v>40.239250000000006</v>
      </c>
      <c r="J146" s="4">
        <v>50.217399999999998</v>
      </c>
      <c r="K146" s="4">
        <v>13.970333333333334</v>
      </c>
      <c r="L146" s="4">
        <v>71.270599999999988</v>
      </c>
      <c r="M146" s="4">
        <v>13.216166666666666</v>
      </c>
      <c r="N146" s="4">
        <v>35.292999999999999</v>
      </c>
      <c r="O146" s="4">
        <v>52.19233333333333</v>
      </c>
      <c r="P146" s="4">
        <v>96.126999999999995</v>
      </c>
      <c r="Q146" s="4">
        <v>98.778000000000006</v>
      </c>
      <c r="R146" s="4">
        <v>57.512749999999997</v>
      </c>
      <c r="S146" s="4">
        <v>85.205500000000001</v>
      </c>
      <c r="T146" s="4">
        <v>53.255888888888883</v>
      </c>
      <c r="U146" s="4">
        <v>65.956500000000005</v>
      </c>
    </row>
    <row r="147" spans="1:21" x14ac:dyDescent="0.25">
      <c r="A147" t="s">
        <v>327</v>
      </c>
      <c r="B147" t="s">
        <v>328</v>
      </c>
      <c r="C147" s="2">
        <v>53.073857142857143</v>
      </c>
      <c r="D147" s="3">
        <v>146</v>
      </c>
      <c r="E147" s="4">
        <v>49.674000000000007</v>
      </c>
      <c r="F147" s="4">
        <v>45.81733333333333</v>
      </c>
      <c r="G147" s="4">
        <v>53.262071428571439</v>
      </c>
      <c r="H147" s="4">
        <v>51.885666666666673</v>
      </c>
      <c r="I147" s="4">
        <v>38.5535</v>
      </c>
      <c r="J147" s="4">
        <v>49.008749999999999</v>
      </c>
      <c r="K147" s="4">
        <v>42.705999999999996</v>
      </c>
      <c r="L147" s="4">
        <v>49.734999999999999</v>
      </c>
      <c r="M147" s="4">
        <v>15.9465</v>
      </c>
      <c r="N147" s="4">
        <v>48.901000000000003</v>
      </c>
      <c r="O147" s="4">
        <v>70.171666666666667</v>
      </c>
      <c r="P147" s="4">
        <v>85.740499999999997</v>
      </c>
      <c r="Q147" s="4">
        <v>99.561000000000007</v>
      </c>
      <c r="R147" s="4">
        <v>35.957000000000001</v>
      </c>
      <c r="S147" s="4">
        <v>43.370333333333328</v>
      </c>
      <c r="T147" s="4">
        <v>60.208750000000002</v>
      </c>
      <c r="U147" s="4">
        <v>61.756500000000003</v>
      </c>
    </row>
    <row r="148" spans="1:21" x14ac:dyDescent="0.25">
      <c r="A148" t="s">
        <v>291</v>
      </c>
      <c r="B148" t="s">
        <v>292</v>
      </c>
      <c r="C148" s="2">
        <v>52.696175700280101</v>
      </c>
      <c r="D148" s="3">
        <v>147</v>
      </c>
      <c r="E148" s="4">
        <v>21.777000000000001</v>
      </c>
      <c r="F148" s="4">
        <v>54.050428571428583</v>
      </c>
      <c r="G148" s="4">
        <v>42.104999999999997</v>
      </c>
      <c r="H148" s="4">
        <v>62.585999999999991</v>
      </c>
      <c r="I148" s="4">
        <v>42.112499999999997</v>
      </c>
      <c r="J148" s="4">
        <v>49.711199999999998</v>
      </c>
      <c r="K148" s="4">
        <v>15.866666666666667</v>
      </c>
      <c r="L148" s="4">
        <v>70.883400000000009</v>
      </c>
      <c r="M148" s="4">
        <v>13.069166666666668</v>
      </c>
      <c r="N148" s="4">
        <v>39.634</v>
      </c>
      <c r="O148" s="4">
        <v>41.016333333333336</v>
      </c>
      <c r="P148" s="4">
        <v>93.252499999999998</v>
      </c>
      <c r="Q148" s="4">
        <v>99.082666666666668</v>
      </c>
      <c r="R148" s="4">
        <v>61.021666666666668</v>
      </c>
      <c r="S148" s="4">
        <v>78.160499999999999</v>
      </c>
      <c r="T148" s="4">
        <v>52.561624999999992</v>
      </c>
      <c r="U148" s="4">
        <v>58.944333333333333</v>
      </c>
    </row>
    <row r="149" spans="1:21" x14ac:dyDescent="0.25">
      <c r="A149" t="s">
        <v>309</v>
      </c>
      <c r="B149" t="s">
        <v>310</v>
      </c>
      <c r="C149" s="2">
        <v>52.671687121285295</v>
      </c>
      <c r="D149" s="3">
        <v>148</v>
      </c>
      <c r="E149" s="4">
        <v>13.0785</v>
      </c>
      <c r="F149" s="4">
        <v>44.003142857142855</v>
      </c>
      <c r="G149" s="4">
        <v>43.918285714285716</v>
      </c>
      <c r="H149" s="4">
        <v>64.658000000000001</v>
      </c>
      <c r="I149" s="4">
        <v>63.428000000000004</v>
      </c>
      <c r="J149" s="4">
        <v>51.024199999999993</v>
      </c>
      <c r="K149" s="4">
        <v>47.264333333333333</v>
      </c>
      <c r="L149" s="4">
        <v>63.999199999999995</v>
      </c>
      <c r="M149" s="4">
        <v>18.141999999999999</v>
      </c>
      <c r="N149" s="4">
        <v>0.93200000000000005</v>
      </c>
      <c r="O149" s="4">
        <v>61.268999999999998</v>
      </c>
      <c r="P149" s="4">
        <v>93.299333333333337</v>
      </c>
      <c r="Q149" s="4">
        <v>98.427000000000007</v>
      </c>
      <c r="S149" s="4">
        <v>69.770800000000008</v>
      </c>
      <c r="T149" s="4">
        <v>44.706444444444443</v>
      </c>
      <c r="U149" s="4">
        <v>53.083333333333336</v>
      </c>
    </row>
    <row r="150" spans="1:21" x14ac:dyDescent="0.25">
      <c r="A150" t="s">
        <v>329</v>
      </c>
      <c r="B150" t="s">
        <v>330</v>
      </c>
      <c r="C150" s="2">
        <v>52.589277170868343</v>
      </c>
      <c r="D150" s="3">
        <v>149</v>
      </c>
      <c r="E150" s="4">
        <v>43.914500000000004</v>
      </c>
      <c r="F150" s="4">
        <v>47.215285714285713</v>
      </c>
      <c r="G150" s="4">
        <v>37.215142857142858</v>
      </c>
      <c r="H150" s="4">
        <v>38.196333333333335</v>
      </c>
      <c r="I150" s="4">
        <v>50.534749999999995</v>
      </c>
      <c r="J150" s="4">
        <v>53.960999999999999</v>
      </c>
      <c r="K150" s="4">
        <v>51.48266666666666</v>
      </c>
      <c r="L150" s="4">
        <v>57.921000000000006</v>
      </c>
      <c r="M150" s="4">
        <v>8.3832000000000004</v>
      </c>
      <c r="N150" s="4">
        <v>50.493000000000002</v>
      </c>
      <c r="O150" s="4">
        <v>47.032999999999994</v>
      </c>
      <c r="P150" s="4">
        <v>92.82883333333335</v>
      </c>
      <c r="Q150" s="4">
        <v>96.754000000000019</v>
      </c>
      <c r="R150" s="4">
        <v>56.707799999999999</v>
      </c>
      <c r="S150" s="4">
        <v>64.225200000000001</v>
      </c>
      <c r="T150" s="4">
        <v>45.371000000000002</v>
      </c>
      <c r="U150" s="4">
        <v>51.781000000000006</v>
      </c>
    </row>
    <row r="151" spans="1:21" x14ac:dyDescent="0.25">
      <c r="A151" t="s">
        <v>303</v>
      </c>
      <c r="B151" t="s">
        <v>304</v>
      </c>
      <c r="C151" s="2">
        <v>52.469177917833797</v>
      </c>
      <c r="D151" s="3">
        <v>150</v>
      </c>
      <c r="E151" s="4">
        <v>34.717500000000001</v>
      </c>
      <c r="F151" s="4">
        <v>51.64742857142857</v>
      </c>
      <c r="G151" s="4">
        <v>31.508857142857142</v>
      </c>
      <c r="H151" s="4">
        <v>23.772666666666669</v>
      </c>
      <c r="I151" s="4">
        <v>36.819749999999999</v>
      </c>
      <c r="J151" s="4">
        <v>50.077599999999997</v>
      </c>
      <c r="K151" s="4">
        <v>14.489000000000001</v>
      </c>
      <c r="L151" s="4">
        <v>67.710800000000006</v>
      </c>
      <c r="M151" s="4">
        <v>6.5121666666666682</v>
      </c>
      <c r="N151" s="4">
        <v>69.489999999999995</v>
      </c>
      <c r="O151" s="4">
        <v>55.071333333333335</v>
      </c>
      <c r="P151" s="4">
        <v>94.608000000000018</v>
      </c>
      <c r="Q151" s="4">
        <v>99.15666666666668</v>
      </c>
      <c r="R151" s="4">
        <v>74.693599999999989</v>
      </c>
      <c r="S151" s="4">
        <v>73.602599999999995</v>
      </c>
      <c r="T151" s="4">
        <v>47.371555555555553</v>
      </c>
      <c r="U151" s="4">
        <v>60.726500000000001</v>
      </c>
    </row>
    <row r="152" spans="1:21" x14ac:dyDescent="0.25">
      <c r="A152" t="s">
        <v>345</v>
      </c>
      <c r="B152" t="s">
        <v>346</v>
      </c>
      <c r="C152" s="2">
        <v>52.325407376283856</v>
      </c>
      <c r="D152" s="3">
        <v>151</v>
      </c>
      <c r="F152" s="4">
        <v>27.478571428571428</v>
      </c>
      <c r="G152" s="4">
        <v>44.424142857142854</v>
      </c>
      <c r="H152" s="4">
        <v>55.522333333333336</v>
      </c>
      <c r="I152" s="4">
        <v>6.7149999999999999</v>
      </c>
      <c r="J152" s="4">
        <v>38.433800000000005</v>
      </c>
      <c r="K152" s="4">
        <v>69.251999999999995</v>
      </c>
      <c r="L152" s="4">
        <v>37.46875</v>
      </c>
      <c r="M152" s="4">
        <v>8.9401666666666681</v>
      </c>
      <c r="N152" s="4">
        <v>39.361000000000004</v>
      </c>
      <c r="O152" s="4">
        <v>46.702666666666666</v>
      </c>
      <c r="P152" s="4">
        <v>91.557333333333347</v>
      </c>
      <c r="Q152" s="4">
        <v>97.718666666666664</v>
      </c>
      <c r="R152" s="4">
        <v>71.486799999999988</v>
      </c>
      <c r="S152" s="4">
        <v>51.389499999999998</v>
      </c>
      <c r="T152" s="4">
        <v>36.404444444444437</v>
      </c>
      <c r="U152" s="4">
        <v>72.513499999999993</v>
      </c>
    </row>
    <row r="153" spans="1:21" x14ac:dyDescent="0.25">
      <c r="A153" t="s">
        <v>289</v>
      </c>
      <c r="B153" t="s">
        <v>290</v>
      </c>
      <c r="C153" s="2">
        <v>52.201496598409477</v>
      </c>
      <c r="D153" s="3">
        <v>152</v>
      </c>
      <c r="E153" s="4">
        <v>4.194</v>
      </c>
      <c r="F153" s="4">
        <v>59.395714285714284</v>
      </c>
      <c r="G153" s="4">
        <v>47.66121428571428</v>
      </c>
      <c r="H153" s="4">
        <v>49.954333333333331</v>
      </c>
      <c r="I153" s="4">
        <v>66.158249999999995</v>
      </c>
      <c r="J153" s="4">
        <v>52.043000000000006</v>
      </c>
      <c r="K153" s="4">
        <v>2.2349999999999999</v>
      </c>
      <c r="L153" s="4">
        <v>62.445</v>
      </c>
      <c r="M153" s="4">
        <v>10.880333333333333</v>
      </c>
      <c r="N153" s="4">
        <v>38.262</v>
      </c>
      <c r="O153" s="4">
        <v>64.947999999999993</v>
      </c>
      <c r="P153" s="4">
        <v>93.990666666666655</v>
      </c>
      <c r="Q153" s="4">
        <v>99.458666666666673</v>
      </c>
      <c r="S153" s="4">
        <v>62.096600000000002</v>
      </c>
      <c r="T153" s="4">
        <v>50.260888888888893</v>
      </c>
      <c r="U153" s="4">
        <v>59.026666666666664</v>
      </c>
    </row>
    <row r="154" spans="1:21" x14ac:dyDescent="0.25">
      <c r="A154" t="s">
        <v>293</v>
      </c>
      <c r="B154" t="s">
        <v>294</v>
      </c>
      <c r="C154" s="2">
        <v>51.908163655462175</v>
      </c>
      <c r="D154" s="3">
        <v>153</v>
      </c>
      <c r="E154" s="4">
        <v>23.877500000000001</v>
      </c>
      <c r="F154" s="4">
        <v>45.723000000000006</v>
      </c>
      <c r="G154" s="4">
        <v>24.838357142857141</v>
      </c>
      <c r="H154" s="4">
        <v>58.43966666666666</v>
      </c>
      <c r="I154" s="4">
        <v>47.91375</v>
      </c>
      <c r="J154" s="4">
        <v>48.162999999999997</v>
      </c>
      <c r="K154" s="4">
        <v>7.8660000000000005</v>
      </c>
      <c r="L154" s="4">
        <v>64.935200000000009</v>
      </c>
      <c r="M154" s="4">
        <v>7.0088333333333344</v>
      </c>
      <c r="N154" s="4">
        <v>73.58</v>
      </c>
      <c r="O154" s="4">
        <v>42.27</v>
      </c>
      <c r="P154" s="4">
        <v>95.192999999999998</v>
      </c>
      <c r="Q154" s="4">
        <v>99.440666666666672</v>
      </c>
      <c r="R154" s="4">
        <v>68.637799999999999</v>
      </c>
      <c r="S154" s="4">
        <v>63.452800000000003</v>
      </c>
      <c r="T154" s="4">
        <v>58.993874999999996</v>
      </c>
      <c r="U154" s="4">
        <v>52.105333333333334</v>
      </c>
    </row>
    <row r="155" spans="1:21" x14ac:dyDescent="0.25">
      <c r="A155" t="s">
        <v>323</v>
      </c>
      <c r="B155" t="s">
        <v>324</v>
      </c>
      <c r="C155" s="2">
        <v>51.694778685097226</v>
      </c>
      <c r="D155" s="3">
        <v>154</v>
      </c>
      <c r="E155" s="4">
        <v>36.961999999999996</v>
      </c>
      <c r="F155" s="4">
        <v>41.152000000000001</v>
      </c>
      <c r="G155" s="4">
        <v>42.896785714285713</v>
      </c>
      <c r="H155" s="4">
        <v>74.141579710144924</v>
      </c>
      <c r="I155" s="4">
        <v>39.365749999999998</v>
      </c>
      <c r="J155" s="4">
        <v>53.764400000000002</v>
      </c>
      <c r="K155" s="4">
        <v>27.497666666666664</v>
      </c>
      <c r="L155" s="4">
        <v>57.857799999999997</v>
      </c>
      <c r="M155" s="4">
        <v>12.646000000000001</v>
      </c>
      <c r="N155" s="4">
        <v>60.454000000000001</v>
      </c>
      <c r="O155" s="4">
        <v>39.822000000000003</v>
      </c>
      <c r="P155" s="4">
        <v>92.479000000000013</v>
      </c>
      <c r="Q155" s="4">
        <v>99.24133333333333</v>
      </c>
      <c r="R155" s="4">
        <v>51.829499999999996</v>
      </c>
      <c r="S155" s="4">
        <v>41.4602</v>
      </c>
      <c r="T155" s="4">
        <v>46.321222222222218</v>
      </c>
      <c r="U155" s="4">
        <v>60.92</v>
      </c>
    </row>
    <row r="156" spans="1:21" x14ac:dyDescent="0.25">
      <c r="A156" t="s">
        <v>315</v>
      </c>
      <c r="B156" t="s">
        <v>316</v>
      </c>
      <c r="C156" s="2">
        <v>51.661373604826551</v>
      </c>
      <c r="D156" s="3">
        <v>155</v>
      </c>
      <c r="E156" s="4">
        <v>31.241499999999998</v>
      </c>
      <c r="F156" s="4">
        <v>29.573600000000006</v>
      </c>
      <c r="G156" s="4">
        <v>47.570384615384619</v>
      </c>
      <c r="H156" s="4">
        <v>46.068333333333335</v>
      </c>
      <c r="I156" s="4">
        <v>43.876000000000005</v>
      </c>
      <c r="J156" s="4">
        <v>40.973599999999998</v>
      </c>
      <c r="K156" s="4">
        <v>30.764000000000003</v>
      </c>
      <c r="L156" s="4">
        <v>73.0685</v>
      </c>
      <c r="M156" s="4">
        <v>6.1920000000000011</v>
      </c>
      <c r="N156" s="4">
        <v>28.193999999999999</v>
      </c>
      <c r="O156" s="4">
        <v>72.5535</v>
      </c>
      <c r="P156" s="4">
        <v>86.524333333333331</v>
      </c>
      <c r="Q156" s="4">
        <v>95.669499999999999</v>
      </c>
      <c r="R156" s="4">
        <v>57.704999999999998</v>
      </c>
      <c r="S156" s="4">
        <v>63.021000000000001</v>
      </c>
      <c r="T156" s="4">
        <v>65.416600000000003</v>
      </c>
      <c r="U156" s="4">
        <v>59.831499999999998</v>
      </c>
    </row>
    <row r="157" spans="1:21" x14ac:dyDescent="0.25">
      <c r="A157" t="s">
        <v>281</v>
      </c>
      <c r="B157" t="s">
        <v>282</v>
      </c>
      <c r="C157" s="2">
        <v>51.385353040986509</v>
      </c>
      <c r="D157" s="3">
        <v>156</v>
      </c>
      <c r="E157" s="4">
        <v>26.35</v>
      </c>
      <c r="F157" s="4">
        <v>48.405571428571427</v>
      </c>
      <c r="G157" s="4">
        <v>34.821000000000005</v>
      </c>
      <c r="H157" s="4">
        <v>11.466333333333333</v>
      </c>
      <c r="I157" s="4">
        <v>33.2455</v>
      </c>
      <c r="J157" s="4">
        <v>59.264200000000002</v>
      </c>
      <c r="K157" s="4">
        <v>18.6965</v>
      </c>
      <c r="L157" s="4">
        <v>67.897400000000005</v>
      </c>
      <c r="M157" s="4">
        <v>13.437333333333333</v>
      </c>
      <c r="N157" s="4">
        <v>73.372</v>
      </c>
      <c r="O157" s="4">
        <v>60.362666666666662</v>
      </c>
      <c r="P157" s="4">
        <v>91.657166666666669</v>
      </c>
      <c r="Q157" s="4">
        <v>99.51433333333334</v>
      </c>
      <c r="S157" s="4">
        <v>70.218000000000004</v>
      </c>
      <c r="T157" s="4">
        <v>49.324555555555555</v>
      </c>
      <c r="U157" s="4">
        <v>51.103333333333332</v>
      </c>
    </row>
    <row r="158" spans="1:21" x14ac:dyDescent="0.25">
      <c r="A158" t="s">
        <v>341</v>
      </c>
      <c r="B158" t="s">
        <v>342</v>
      </c>
      <c r="C158" s="2">
        <v>50.149312938278761</v>
      </c>
      <c r="D158" s="3">
        <v>157</v>
      </c>
      <c r="E158" s="4">
        <v>7.0659999999999998</v>
      </c>
      <c r="F158" s="4">
        <v>44.101428571428578</v>
      </c>
      <c r="G158" s="4">
        <v>38.843000000000004</v>
      </c>
      <c r="H158" s="4">
        <v>8.565666666666667</v>
      </c>
      <c r="I158" s="4">
        <v>37.712249999999997</v>
      </c>
      <c r="J158" s="4">
        <v>44.228400000000001</v>
      </c>
      <c r="K158" s="4">
        <v>15.046333333333335</v>
      </c>
      <c r="L158" s="4">
        <v>64.096599999999995</v>
      </c>
      <c r="M158" s="4">
        <v>4.0136666666666665</v>
      </c>
      <c r="N158" s="4">
        <v>80.948999999999998</v>
      </c>
      <c r="O158" s="4">
        <v>51.988333333333337</v>
      </c>
      <c r="P158" s="4">
        <v>92.768200000000007</v>
      </c>
      <c r="Q158" s="4">
        <v>99.626333333333335</v>
      </c>
      <c r="S158" s="4">
        <v>74.513999999999996</v>
      </c>
      <c r="T158" s="4">
        <v>55.947499999999998</v>
      </c>
      <c r="U158" s="4">
        <v>68.656499999999994</v>
      </c>
    </row>
    <row r="159" spans="1:21" x14ac:dyDescent="0.25">
      <c r="A159" t="s">
        <v>337</v>
      </c>
      <c r="B159" t="s">
        <v>338</v>
      </c>
      <c r="C159" s="2">
        <v>49.710740896358551</v>
      </c>
      <c r="D159" s="3">
        <v>158</v>
      </c>
      <c r="E159" s="4">
        <v>0</v>
      </c>
      <c r="F159" s="4">
        <v>47.653500000000008</v>
      </c>
      <c r="G159" s="4">
        <v>39.599428571428575</v>
      </c>
      <c r="H159" s="4">
        <v>58.231999999999999</v>
      </c>
      <c r="I159" s="4">
        <v>37.768500000000003</v>
      </c>
      <c r="J159" s="4">
        <v>43.415399999999998</v>
      </c>
      <c r="K159" s="4">
        <v>36.363</v>
      </c>
      <c r="L159" s="4">
        <v>55.887799999999991</v>
      </c>
      <c r="M159" s="4">
        <v>9.3094999999999999</v>
      </c>
      <c r="N159" s="4">
        <v>58.935000000000002</v>
      </c>
      <c r="O159" s="4">
        <v>48.285666666666664</v>
      </c>
      <c r="P159" s="4">
        <v>92.646199999999993</v>
      </c>
      <c r="Q159" s="4">
        <v>99.469500000000011</v>
      </c>
      <c r="R159" s="4">
        <v>57.412000000000006</v>
      </c>
      <c r="S159" s="4">
        <v>71.566600000000008</v>
      </c>
      <c r="T159" s="4">
        <v>29.895</v>
      </c>
      <c r="U159" s="4">
        <v>58.643500000000003</v>
      </c>
    </row>
    <row r="160" spans="1:21" x14ac:dyDescent="0.25">
      <c r="A160" t="s">
        <v>339</v>
      </c>
      <c r="B160" t="s">
        <v>340</v>
      </c>
      <c r="C160" s="2">
        <v>49.561003011204491</v>
      </c>
      <c r="D160" s="3">
        <v>159</v>
      </c>
      <c r="E160" s="4">
        <v>33.036999999999999</v>
      </c>
      <c r="F160" s="4">
        <v>20.764400000000002</v>
      </c>
      <c r="G160" s="4">
        <v>50.298642857142859</v>
      </c>
      <c r="H160" s="4">
        <v>37.461000000000006</v>
      </c>
      <c r="I160" s="4">
        <v>37.848750000000003</v>
      </c>
      <c r="J160" s="4">
        <v>32.705400000000004</v>
      </c>
      <c r="K160" s="4">
        <v>57.089666666666666</v>
      </c>
      <c r="L160" s="4">
        <v>47.153400000000005</v>
      </c>
      <c r="M160" s="4">
        <v>16.021833333333333</v>
      </c>
      <c r="N160" s="4">
        <v>63.853999999999999</v>
      </c>
      <c r="O160" s="4">
        <v>41.871000000000002</v>
      </c>
      <c r="P160" s="4">
        <v>87.81049999999999</v>
      </c>
      <c r="Q160" s="4">
        <v>99.455666666666673</v>
      </c>
      <c r="R160" s="4">
        <v>66.52225</v>
      </c>
      <c r="S160" s="4">
        <v>50.549750000000003</v>
      </c>
      <c r="T160" s="4">
        <v>56.136125</v>
      </c>
      <c r="U160" s="4">
        <v>43.957666666666661</v>
      </c>
    </row>
    <row r="161" spans="1:21" x14ac:dyDescent="0.25">
      <c r="A161" t="s">
        <v>311</v>
      </c>
      <c r="B161" t="s">
        <v>312</v>
      </c>
      <c r="C161" s="2">
        <v>49.279738095238088</v>
      </c>
      <c r="D161" s="3">
        <v>160</v>
      </c>
      <c r="E161" s="4">
        <v>17.238500000000002</v>
      </c>
      <c r="F161" s="4">
        <v>49.036714285714297</v>
      </c>
      <c r="G161" s="4">
        <v>27.978000000000002</v>
      </c>
      <c r="H161" s="4">
        <v>37.419666666666664</v>
      </c>
      <c r="I161" s="4">
        <v>41.079250000000002</v>
      </c>
      <c r="J161" s="4">
        <v>56.878399999999999</v>
      </c>
      <c r="K161" s="4">
        <v>35.070333333333338</v>
      </c>
      <c r="L161" s="4">
        <v>60.459500000000006</v>
      </c>
      <c r="M161" s="4">
        <v>31.809833333333334</v>
      </c>
      <c r="N161" s="4">
        <v>19.548999999999999</v>
      </c>
      <c r="O161" s="4">
        <v>33.025666666666673</v>
      </c>
      <c r="P161" s="4">
        <v>94.01066666666668</v>
      </c>
      <c r="Q161" s="4">
        <v>98.11866666666667</v>
      </c>
      <c r="R161" s="4">
        <v>66.21875</v>
      </c>
      <c r="S161" s="4">
        <v>74.903599999999997</v>
      </c>
      <c r="T161" s="4">
        <v>44.958999999999996</v>
      </c>
      <c r="U161" s="4">
        <v>50</v>
      </c>
    </row>
    <row r="162" spans="1:21" x14ac:dyDescent="0.25">
      <c r="A162" t="s">
        <v>331</v>
      </c>
      <c r="B162" t="s">
        <v>332</v>
      </c>
      <c r="C162" s="2">
        <v>49.143943090569564</v>
      </c>
      <c r="D162" s="3">
        <v>161</v>
      </c>
      <c r="E162" s="4">
        <v>0</v>
      </c>
      <c r="F162" s="4">
        <v>40.431428571428569</v>
      </c>
      <c r="G162" s="4">
        <v>41.734142857142857</v>
      </c>
      <c r="H162" s="4">
        <v>59.780666666666662</v>
      </c>
      <c r="I162" s="4">
        <v>68.542749999999998</v>
      </c>
      <c r="J162" s="4">
        <v>44.869</v>
      </c>
      <c r="K162" s="4">
        <v>8.2370000000000001</v>
      </c>
      <c r="L162" s="4">
        <v>63.631799999999998</v>
      </c>
      <c r="M162" s="4">
        <v>8.0753333333333348</v>
      </c>
      <c r="N162" s="4">
        <v>31.954999999999998</v>
      </c>
      <c r="O162" s="4">
        <v>62.988</v>
      </c>
      <c r="P162" s="4">
        <v>94.080666666666673</v>
      </c>
      <c r="Q162" s="4">
        <v>99.331666666666663</v>
      </c>
      <c r="R162" s="4">
        <v>65.135599999999997</v>
      </c>
      <c r="S162" s="4">
        <v>47.589200000000005</v>
      </c>
      <c r="T162" s="4">
        <v>50.751444444444445</v>
      </c>
      <c r="U162" s="4">
        <v>48.313333333333333</v>
      </c>
    </row>
    <row r="163" spans="1:21" x14ac:dyDescent="0.25">
      <c r="A163" t="s">
        <v>333</v>
      </c>
      <c r="B163" t="s">
        <v>334</v>
      </c>
      <c r="C163" s="2">
        <v>47.121153851540619</v>
      </c>
      <c r="D163" s="3">
        <v>162</v>
      </c>
      <c r="E163" s="4">
        <v>22.989000000000001</v>
      </c>
      <c r="F163" s="4">
        <v>44.389142857142865</v>
      </c>
      <c r="G163" s="4">
        <v>39.830714285714286</v>
      </c>
      <c r="H163" s="4">
        <v>16.859666666666666</v>
      </c>
      <c r="I163" s="4">
        <v>43.932249999999996</v>
      </c>
      <c r="J163" s="4">
        <v>52.527600000000007</v>
      </c>
      <c r="K163" s="4">
        <v>6.8144999999999998</v>
      </c>
      <c r="L163" s="4">
        <v>63.105199999999989</v>
      </c>
      <c r="M163" s="4">
        <v>5.1745000000000001</v>
      </c>
      <c r="N163" s="4">
        <v>67.227999999999994</v>
      </c>
      <c r="O163" s="4">
        <v>29.629333333333335</v>
      </c>
      <c r="P163" s="4">
        <v>95.914799999999985</v>
      </c>
      <c r="Q163" s="4">
        <v>99.522333333333336</v>
      </c>
      <c r="R163" s="4">
        <v>77.204000000000008</v>
      </c>
      <c r="S163" s="4">
        <v>49.294200000000004</v>
      </c>
      <c r="T163" s="4">
        <v>45.181375000000003</v>
      </c>
      <c r="U163" s="4">
        <v>41.463000000000001</v>
      </c>
    </row>
    <row r="164" spans="1:21" x14ac:dyDescent="0.25">
      <c r="A164" t="s">
        <v>343</v>
      </c>
      <c r="B164" t="s">
        <v>344</v>
      </c>
      <c r="C164" s="2">
        <v>46.207270439888426</v>
      </c>
      <c r="D164" s="3">
        <v>163</v>
      </c>
      <c r="E164" s="4">
        <v>15.234</v>
      </c>
      <c r="F164" s="4">
        <v>30.597000000000001</v>
      </c>
      <c r="G164" s="4">
        <v>24.188285714285715</v>
      </c>
      <c r="I164" s="4">
        <v>30.084000000000003</v>
      </c>
      <c r="J164" s="4">
        <v>47.737199999999994</v>
      </c>
      <c r="K164" s="4">
        <v>13.290500000000002</v>
      </c>
      <c r="L164" s="4">
        <v>55.022999999999996</v>
      </c>
      <c r="M164" s="4">
        <v>1.805666666666667</v>
      </c>
      <c r="O164" s="4">
        <v>69.471333333333334</v>
      </c>
      <c r="P164" s="4">
        <v>89.0762</v>
      </c>
      <c r="Q164" s="4">
        <v>99.914666666666676</v>
      </c>
      <c r="R164" s="4">
        <v>63.561999999999998</v>
      </c>
      <c r="S164" s="4">
        <v>54.354600000000005</v>
      </c>
      <c r="T164" s="4">
        <v>44.831428571428567</v>
      </c>
      <c r="U164" s="4">
        <v>50</v>
      </c>
    </row>
    <row r="165" spans="1:21" x14ac:dyDescent="0.25">
      <c r="A165" t="s">
        <v>347</v>
      </c>
      <c r="B165" t="s">
        <v>348</v>
      </c>
      <c r="C165" s="2">
        <v>43.750714525580349</v>
      </c>
      <c r="D165" s="3">
        <v>164</v>
      </c>
      <c r="E165" s="4">
        <v>23.161000000000001</v>
      </c>
      <c r="F165" s="4">
        <v>33.017142857142858</v>
      </c>
      <c r="G165" s="4">
        <v>21.075357142857143</v>
      </c>
      <c r="H165" s="4">
        <v>13.963333333333333</v>
      </c>
      <c r="I165" s="4">
        <v>27.791250000000002</v>
      </c>
      <c r="J165" s="4">
        <v>39.9696</v>
      </c>
      <c r="K165" s="4">
        <v>1.5535000000000001</v>
      </c>
      <c r="L165" s="4">
        <v>53.905799999999999</v>
      </c>
      <c r="M165" s="4">
        <v>8.4774999999999991</v>
      </c>
      <c r="N165" s="4">
        <v>53.423000000000002</v>
      </c>
      <c r="O165" s="4">
        <v>39.354666666666667</v>
      </c>
      <c r="P165" s="4">
        <v>90.973833333333332</v>
      </c>
      <c r="Q165" s="4">
        <v>99.709000000000003</v>
      </c>
      <c r="S165" s="4">
        <v>74.040000000000006</v>
      </c>
      <c r="T165" s="4">
        <v>33.175555555555562</v>
      </c>
      <c r="U165" s="4">
        <v>65.756500000000003</v>
      </c>
    </row>
    <row r="166" spans="1:21" x14ac:dyDescent="0.25">
      <c r="A166" t="s">
        <v>351</v>
      </c>
      <c r="B166" t="s">
        <v>352</v>
      </c>
      <c r="C166" s="2">
        <v>43.656920221191918</v>
      </c>
      <c r="D166" s="3">
        <v>165</v>
      </c>
      <c r="E166" s="4">
        <v>0</v>
      </c>
      <c r="F166" s="4">
        <v>25.897500000000001</v>
      </c>
      <c r="G166" s="4">
        <v>26.831571428571433</v>
      </c>
      <c r="H166" s="4">
        <v>1.6443333333333332</v>
      </c>
      <c r="I166" s="4">
        <v>52.406750000000002</v>
      </c>
      <c r="J166" s="4">
        <v>40.572800000000001</v>
      </c>
      <c r="K166" s="4">
        <v>22.145666666666667</v>
      </c>
      <c r="L166" s="4">
        <v>51.439</v>
      </c>
      <c r="M166" s="4">
        <v>2.1302000000000003</v>
      </c>
      <c r="N166" s="4">
        <v>42.352000000000004</v>
      </c>
      <c r="O166" s="4">
        <v>17.704999999999998</v>
      </c>
      <c r="P166" s="4">
        <v>74.591800000000006</v>
      </c>
      <c r="Q166" s="4">
        <v>99.608000000000004</v>
      </c>
      <c r="S166" s="4">
        <v>74.130200000000002</v>
      </c>
      <c r="T166" s="4">
        <v>46.297714285714292</v>
      </c>
      <c r="U166" s="4">
        <v>100</v>
      </c>
    </row>
    <row r="167" spans="1:21" x14ac:dyDescent="0.25">
      <c r="A167" t="s">
        <v>349</v>
      </c>
      <c r="B167" t="s">
        <v>350</v>
      </c>
      <c r="C167" s="2">
        <v>38.536616999903416</v>
      </c>
      <c r="D167" s="3">
        <v>166</v>
      </c>
      <c r="E167" s="4">
        <v>0</v>
      </c>
      <c r="F167" s="4">
        <v>36.720857142857142</v>
      </c>
      <c r="G167" s="4">
        <v>15.411357142857142</v>
      </c>
      <c r="H167" s="4">
        <v>9.0150000000000006</v>
      </c>
      <c r="I167" s="4">
        <v>31.175750000000001</v>
      </c>
      <c r="J167" s="4">
        <v>45.511400000000002</v>
      </c>
      <c r="K167" s="4">
        <v>11.486000000000001</v>
      </c>
      <c r="L167" s="4">
        <v>48.544000000000004</v>
      </c>
      <c r="M167" s="4">
        <v>3.5751666666666666</v>
      </c>
      <c r="N167" s="4">
        <v>19.282</v>
      </c>
      <c r="O167" s="4">
        <v>27.754999999999999</v>
      </c>
      <c r="P167" s="4">
        <v>72.725499999999997</v>
      </c>
      <c r="Q167" s="4">
        <v>99.670333333333346</v>
      </c>
      <c r="S167" s="4">
        <v>90.212600000000009</v>
      </c>
      <c r="T167" s="4">
        <v>41.915749999999996</v>
      </c>
      <c r="U167" s="4">
        <v>37.706666666666671</v>
      </c>
    </row>
    <row r="168" spans="1:21" x14ac:dyDescent="0.25">
      <c r="A168" t="s">
        <v>353</v>
      </c>
      <c r="B168" t="s">
        <v>354</v>
      </c>
    </row>
    <row r="169" spans="1:21" x14ac:dyDescent="0.25">
      <c r="A169" t="s">
        <v>355</v>
      </c>
      <c r="B169" t="s">
        <v>356</v>
      </c>
    </row>
    <row r="170" spans="1:21" x14ac:dyDescent="0.25">
      <c r="A170" t="s">
        <v>267</v>
      </c>
      <c r="B170" t="s">
        <v>268</v>
      </c>
    </row>
    <row r="171" spans="1:21" x14ac:dyDescent="0.25">
      <c r="A171" t="s">
        <v>357</v>
      </c>
      <c r="B171" t="s">
        <v>358</v>
      </c>
    </row>
    <row r="172" spans="1:21" x14ac:dyDescent="0.25">
      <c r="A172" t="s">
        <v>359</v>
      </c>
      <c r="B172" t="s">
        <v>360</v>
      </c>
    </row>
    <row r="173" spans="1:21" x14ac:dyDescent="0.25">
      <c r="A173" t="s">
        <v>361</v>
      </c>
      <c r="B173" t="s">
        <v>362</v>
      </c>
    </row>
    <row r="174" spans="1:21" x14ac:dyDescent="0.25">
      <c r="A174" t="s">
        <v>363</v>
      </c>
      <c r="B174" t="s">
        <v>364</v>
      </c>
    </row>
    <row r="175" spans="1:21" x14ac:dyDescent="0.25">
      <c r="A175" t="s">
        <v>365</v>
      </c>
      <c r="B175" t="s">
        <v>366</v>
      </c>
    </row>
    <row r="176" spans="1:21" x14ac:dyDescent="0.25">
      <c r="A176" t="s">
        <v>367</v>
      </c>
      <c r="B176" t="s">
        <v>368</v>
      </c>
    </row>
    <row r="177" spans="1:2" x14ac:dyDescent="0.25">
      <c r="A177" t="s">
        <v>369</v>
      </c>
      <c r="B177" t="s">
        <v>370</v>
      </c>
    </row>
    <row r="178" spans="1:2" x14ac:dyDescent="0.25">
      <c r="A178" t="s">
        <v>371</v>
      </c>
      <c r="B178" t="s">
        <v>372</v>
      </c>
    </row>
    <row r="179" spans="1:2" x14ac:dyDescent="0.25">
      <c r="A179" t="s">
        <v>373</v>
      </c>
      <c r="B179" t="s">
        <v>374</v>
      </c>
    </row>
    <row r="180" spans="1:2" x14ac:dyDescent="0.25">
      <c r="A180" t="s">
        <v>375</v>
      </c>
      <c r="B180" t="s">
        <v>376</v>
      </c>
    </row>
    <row r="181" spans="1:2" x14ac:dyDescent="0.25">
      <c r="A181" t="s">
        <v>377</v>
      </c>
      <c r="B181" t="s">
        <v>378</v>
      </c>
    </row>
    <row r="182" spans="1:2" x14ac:dyDescent="0.25">
      <c r="A182" t="s">
        <v>379</v>
      </c>
      <c r="B182" t="s">
        <v>380</v>
      </c>
    </row>
    <row r="183" spans="1:2" x14ac:dyDescent="0.25">
      <c r="A183" t="s">
        <v>381</v>
      </c>
      <c r="B183" t="s">
        <v>382</v>
      </c>
    </row>
    <row r="184" spans="1:2" x14ac:dyDescent="0.25">
      <c r="A184" t="s">
        <v>383</v>
      </c>
      <c r="B184" t="s">
        <v>384</v>
      </c>
    </row>
    <row r="185" spans="1:2" x14ac:dyDescent="0.25">
      <c r="A185" t="s">
        <v>385</v>
      </c>
      <c r="B185" t="s">
        <v>386</v>
      </c>
    </row>
    <row r="186" spans="1:2" x14ac:dyDescent="0.25">
      <c r="A186" t="s">
        <v>387</v>
      </c>
      <c r="B186" t="s">
        <v>388</v>
      </c>
    </row>
    <row r="187" spans="1:2" x14ac:dyDescent="0.25">
      <c r="A187" t="s">
        <v>389</v>
      </c>
      <c r="B187" t="s">
        <v>390</v>
      </c>
    </row>
    <row r="188" spans="1:2" x14ac:dyDescent="0.25">
      <c r="A188" t="s">
        <v>391</v>
      </c>
      <c r="B188" t="s">
        <v>392</v>
      </c>
    </row>
    <row r="189" spans="1:2" x14ac:dyDescent="0.25">
      <c r="A189" t="s">
        <v>393</v>
      </c>
      <c r="B189" t="s">
        <v>394</v>
      </c>
    </row>
    <row r="190" spans="1:2" x14ac:dyDescent="0.25">
      <c r="A190" t="s">
        <v>395</v>
      </c>
      <c r="B190" t="s">
        <v>396</v>
      </c>
    </row>
    <row r="191" spans="1:2" x14ac:dyDescent="0.25">
      <c r="A191" t="s">
        <v>397</v>
      </c>
      <c r="B191" t="s">
        <v>398</v>
      </c>
    </row>
    <row r="192" spans="1:2" x14ac:dyDescent="0.25">
      <c r="A192" t="s">
        <v>399</v>
      </c>
      <c r="B192" t="s">
        <v>400</v>
      </c>
    </row>
    <row r="193" spans="1:21" x14ac:dyDescent="0.25">
      <c r="A193" t="s">
        <v>401</v>
      </c>
      <c r="B193" t="s">
        <v>402</v>
      </c>
    </row>
    <row r="194" spans="1:21" x14ac:dyDescent="0.25">
      <c r="A194" t="s">
        <v>405</v>
      </c>
      <c r="B194" t="s">
        <v>406</v>
      </c>
    </row>
    <row r="195" spans="1:21" x14ac:dyDescent="0.25">
      <c r="A195" t="s">
        <v>407</v>
      </c>
      <c r="B195" t="s">
        <v>408</v>
      </c>
      <c r="C195" s="2">
        <v>70.92693473389356</v>
      </c>
      <c r="E195" s="4">
        <v>94.436499999999995</v>
      </c>
      <c r="F195" s="4">
        <v>55.771857142857144</v>
      </c>
      <c r="G195" s="4">
        <v>72.731999999999999</v>
      </c>
      <c r="H195" s="4">
        <v>88.769000000000005</v>
      </c>
      <c r="I195" s="4">
        <v>62.345500000000001</v>
      </c>
      <c r="J195" s="4">
        <v>69.540600000000012</v>
      </c>
      <c r="K195" s="4">
        <v>87.587333333333333</v>
      </c>
      <c r="L195" s="4">
        <v>72.385400000000004</v>
      </c>
      <c r="M195" s="4">
        <v>44.844999999999999</v>
      </c>
      <c r="N195" s="4">
        <v>63.724000000000004</v>
      </c>
      <c r="O195" s="4">
        <v>76.362000000000009</v>
      </c>
      <c r="P195" s="4">
        <v>80.93216666666666</v>
      </c>
      <c r="Q195" s="4">
        <v>84.536999999999992</v>
      </c>
      <c r="S195" s="4">
        <v>66.002800000000008</v>
      </c>
      <c r="T195" s="4">
        <v>60.437333333333335</v>
      </c>
      <c r="U195" s="4">
        <v>65.995666666666665</v>
      </c>
    </row>
    <row r="196" spans="1:21" x14ac:dyDescent="0.25">
      <c r="A196" t="s">
        <v>409</v>
      </c>
      <c r="B196" t="s">
        <v>410</v>
      </c>
      <c r="C196" s="2">
        <v>67.246274509803939</v>
      </c>
      <c r="E196" s="4">
        <v>84.635000000000005</v>
      </c>
      <c r="F196" s="4">
        <v>57.263571428571431</v>
      </c>
      <c r="G196" s="4">
        <v>67.807428571428574</v>
      </c>
      <c r="H196" s="4">
        <v>85.588666666666668</v>
      </c>
      <c r="I196" s="4">
        <v>54.210999999999999</v>
      </c>
      <c r="J196" s="4">
        <v>63.106399999999994</v>
      </c>
      <c r="K196" s="4">
        <v>68.937333333333342</v>
      </c>
      <c r="L196" s="4">
        <v>81.265000000000001</v>
      </c>
      <c r="M196" s="4">
        <v>53.774833333333341</v>
      </c>
      <c r="N196" s="4">
        <v>57.363</v>
      </c>
      <c r="O196" s="4">
        <v>62.821000000000005</v>
      </c>
      <c r="P196" s="4">
        <v>90.269499999999994</v>
      </c>
      <c r="Q196" s="4">
        <v>93.64533333333334</v>
      </c>
      <c r="R196" s="4">
        <v>57.750600000000006</v>
      </c>
      <c r="S196" s="4">
        <v>54.803999999999995</v>
      </c>
      <c r="T196" s="4">
        <v>61.575333333333333</v>
      </c>
      <c r="U196" s="4">
        <v>48.368666666666662</v>
      </c>
    </row>
    <row r="197" spans="1:21" x14ac:dyDescent="0.25">
      <c r="A197" t="s">
        <v>411</v>
      </c>
      <c r="B197" t="s">
        <v>412</v>
      </c>
      <c r="C197" s="2">
        <v>70.383882306255828</v>
      </c>
      <c r="E197" s="4">
        <v>82.162999999999997</v>
      </c>
      <c r="F197" s="4">
        <v>60.525285714285722</v>
      </c>
      <c r="G197" s="4">
        <v>76.470785714285725</v>
      </c>
      <c r="H197" s="4">
        <v>85.411333333333346</v>
      </c>
      <c r="I197" s="4">
        <v>71.063250000000011</v>
      </c>
      <c r="J197" s="4">
        <v>80.634800000000013</v>
      </c>
      <c r="K197" s="4">
        <v>88.853333333333339</v>
      </c>
      <c r="L197" s="4">
        <v>72.295000000000002</v>
      </c>
      <c r="M197" s="4">
        <v>44.089833333333331</v>
      </c>
      <c r="N197" s="4">
        <v>31.082000000000001</v>
      </c>
      <c r="O197" s="4">
        <v>78.825666666666663</v>
      </c>
      <c r="P197" s="4">
        <v>81.704000000000008</v>
      </c>
      <c r="Q197" s="4">
        <v>91.99766666666666</v>
      </c>
      <c r="R197" s="4">
        <v>68.843400000000003</v>
      </c>
      <c r="S197" s="4">
        <v>58.214200000000005</v>
      </c>
      <c r="T197" s="4">
        <v>55.224777777777781</v>
      </c>
      <c r="U197" s="4">
        <v>69.12766666666667</v>
      </c>
    </row>
    <row r="198" spans="1:21" x14ac:dyDescent="0.25">
      <c r="A198" t="s">
        <v>413</v>
      </c>
      <c r="B198" t="s">
        <v>414</v>
      </c>
      <c r="C198" s="2">
        <v>66.301225676937435</v>
      </c>
      <c r="F198" s="4">
        <v>54.201142857142862</v>
      </c>
      <c r="G198" s="4">
        <v>72.363571428571433</v>
      </c>
      <c r="H198" s="4">
        <v>83.286333333333332</v>
      </c>
      <c r="I198" s="4">
        <v>42.205249999999999</v>
      </c>
      <c r="J198" s="4">
        <v>57.504200000000004</v>
      </c>
      <c r="K198" s="4">
        <v>88.330333333333328</v>
      </c>
      <c r="L198" s="4">
        <v>64.475999999999999</v>
      </c>
      <c r="M198" s="4">
        <v>43.814666666666675</v>
      </c>
      <c r="N198" s="4">
        <v>56.825000000000003</v>
      </c>
      <c r="O198" s="4">
        <v>63.483000000000004</v>
      </c>
      <c r="P198" s="4">
        <v>83.998333333333335</v>
      </c>
      <c r="Q198" s="4">
        <v>85.293333333333337</v>
      </c>
      <c r="R198" s="4">
        <v>63.03</v>
      </c>
      <c r="S198" s="4">
        <v>57.123000000000005</v>
      </c>
      <c r="T198" s="4">
        <v>68.153222222222212</v>
      </c>
      <c r="U198" s="4">
        <v>72.959999999999994</v>
      </c>
    </row>
    <row r="199" spans="1:21" x14ac:dyDescent="0.25">
      <c r="A199" t="s">
        <v>415</v>
      </c>
      <c r="B199" t="s">
        <v>416</v>
      </c>
      <c r="C199" s="2">
        <v>49.615849019607843</v>
      </c>
      <c r="E199" s="4">
        <v>38.897500000000001</v>
      </c>
      <c r="F199" s="4">
        <v>35.627600000000001</v>
      </c>
      <c r="G199" s="4">
        <v>48.744166666666672</v>
      </c>
      <c r="H199" s="4">
        <v>52.755666666666663</v>
      </c>
      <c r="I199" s="4">
        <v>40.082999999999998</v>
      </c>
      <c r="J199" s="4">
        <v>11.924000000000001</v>
      </c>
      <c r="K199" s="4">
        <v>35.639499999999998</v>
      </c>
      <c r="L199" s="4">
        <v>70.677499999999995</v>
      </c>
      <c r="M199" s="4">
        <v>9.660499999999999</v>
      </c>
      <c r="N199" s="4">
        <v>32.884999999999998</v>
      </c>
      <c r="O199" s="4">
        <v>75.766000000000005</v>
      </c>
      <c r="P199" s="4">
        <v>66.337999999999994</v>
      </c>
      <c r="Q199" s="4">
        <v>97.911500000000004</v>
      </c>
      <c r="R199" s="4">
        <v>33.426333333333332</v>
      </c>
      <c r="S199" s="4">
        <v>48.880333333333333</v>
      </c>
      <c r="T199" s="4">
        <v>77.019500000000008</v>
      </c>
      <c r="U199" s="4">
        <v>67.233333333333334</v>
      </c>
    </row>
    <row r="200" spans="1:21" x14ac:dyDescent="0.25">
      <c r="A200" t="s">
        <v>421</v>
      </c>
      <c r="B200" t="s">
        <v>422</v>
      </c>
      <c r="C200" s="2">
        <v>53.13125462184874</v>
      </c>
      <c r="E200" s="4">
        <v>22.334500000000002</v>
      </c>
      <c r="F200" s="4">
        <v>49.070142857142862</v>
      </c>
      <c r="G200" s="4">
        <v>39.872285714285717</v>
      </c>
      <c r="H200" s="4">
        <v>47.841000000000001</v>
      </c>
      <c r="I200" s="4">
        <v>51.707500000000003</v>
      </c>
      <c r="J200" s="4">
        <v>50.537200000000006</v>
      </c>
      <c r="K200" s="4">
        <v>39.470666666666666</v>
      </c>
      <c r="L200" s="4">
        <v>64.203000000000003</v>
      </c>
      <c r="M200" s="4">
        <v>20.723666666666666</v>
      </c>
      <c r="N200" s="4">
        <v>44.428000000000004</v>
      </c>
      <c r="O200" s="4">
        <v>52.179333333333339</v>
      </c>
      <c r="P200" s="4">
        <v>91.577500000000001</v>
      </c>
      <c r="Q200" s="4">
        <v>97.763333333333335</v>
      </c>
      <c r="R200" s="4">
        <v>65.724000000000004</v>
      </c>
      <c r="S200" s="4">
        <v>66.918199999999999</v>
      </c>
      <c r="T200" s="4">
        <v>48.309666666666665</v>
      </c>
      <c r="U200" s="4">
        <v>50.571333333333335</v>
      </c>
    </row>
    <row r="201" spans="1:21" x14ac:dyDescent="0.25">
      <c r="A201" t="s">
        <v>417</v>
      </c>
      <c r="B201" t="s">
        <v>418</v>
      </c>
      <c r="C201" s="2">
        <v>77.304990709617172</v>
      </c>
      <c r="E201" s="4">
        <v>97.915000000000006</v>
      </c>
      <c r="F201" s="4">
        <v>66.766571428571424</v>
      </c>
      <c r="G201" s="4">
        <v>90.219142857142856</v>
      </c>
      <c r="H201" s="4">
        <v>92.807299999999998</v>
      </c>
      <c r="I201" s="4">
        <v>73.362750000000005</v>
      </c>
      <c r="J201" s="4">
        <v>83.995200000000011</v>
      </c>
      <c r="K201" s="4">
        <v>92.668333333333337</v>
      </c>
      <c r="L201" s="4">
        <v>81.762799999999999</v>
      </c>
      <c r="M201" s="4">
        <v>88.754333333333321</v>
      </c>
      <c r="N201" s="4">
        <v>61.137999999999998</v>
      </c>
      <c r="O201" s="4">
        <v>84.955666666666673</v>
      </c>
      <c r="P201" s="4">
        <v>62.182499999999997</v>
      </c>
      <c r="Q201" s="4">
        <v>67.740333333333339</v>
      </c>
      <c r="R201" s="4">
        <v>60.214200000000005</v>
      </c>
      <c r="S201" s="4">
        <v>65.232600000000005</v>
      </c>
      <c r="T201" s="4">
        <v>76.632444444444445</v>
      </c>
      <c r="U201" s="4">
        <v>67.837666666666664</v>
      </c>
    </row>
    <row r="202" spans="1:21" x14ac:dyDescent="0.25">
      <c r="A202" t="s">
        <v>423</v>
      </c>
      <c r="B202" t="s">
        <v>424</v>
      </c>
      <c r="C202" s="2">
        <v>52.468608496732031</v>
      </c>
      <c r="E202" s="4">
        <v>19.25</v>
      </c>
      <c r="F202" s="4">
        <v>47.436571428571433</v>
      </c>
      <c r="G202" s="4">
        <v>42.344928571428568</v>
      </c>
      <c r="H202" s="4">
        <v>48.730666666666671</v>
      </c>
      <c r="I202" s="4">
        <v>48.0625</v>
      </c>
      <c r="J202" s="4">
        <v>47.703000000000003</v>
      </c>
      <c r="K202" s="4">
        <v>37.340666666666671</v>
      </c>
      <c r="L202" s="4">
        <v>59.489599999999996</v>
      </c>
      <c r="M202" s="4">
        <v>12.255166666666668</v>
      </c>
      <c r="N202" s="4">
        <v>59.499000000000002</v>
      </c>
      <c r="O202" s="4">
        <v>53.366666666666674</v>
      </c>
      <c r="P202" s="4">
        <v>91.824333333333342</v>
      </c>
      <c r="Q202" s="4">
        <v>99.093666666666664</v>
      </c>
      <c r="R202" s="4">
        <v>66.151200000000003</v>
      </c>
      <c r="S202" s="4">
        <v>63.755600000000001</v>
      </c>
      <c r="T202" s="4">
        <v>46.534777777777776</v>
      </c>
      <c r="U202" s="4">
        <v>49.128000000000007</v>
      </c>
    </row>
    <row r="203" spans="1:21" x14ac:dyDescent="0.25">
      <c r="A203" t="s">
        <v>425</v>
      </c>
      <c r="B203" t="s">
        <v>426</v>
      </c>
      <c r="C203" s="2">
        <v>61.648237348272644</v>
      </c>
      <c r="E203" s="4">
        <v>68.358000000000004</v>
      </c>
      <c r="F203" s="4">
        <v>46.892999999999994</v>
      </c>
      <c r="G203" s="4">
        <v>56.889857142857146</v>
      </c>
      <c r="H203" s="4">
        <v>75.87700000000001</v>
      </c>
      <c r="I203" s="4">
        <v>42.954000000000001</v>
      </c>
      <c r="J203" s="4">
        <v>58.58420000000001</v>
      </c>
      <c r="K203" s="4">
        <v>66.468999999999994</v>
      </c>
      <c r="L203" s="4">
        <v>75.430800000000005</v>
      </c>
      <c r="M203" s="4">
        <v>35.311500000000002</v>
      </c>
      <c r="N203" s="4">
        <v>51.628</v>
      </c>
      <c r="O203" s="4">
        <v>53.940999999999995</v>
      </c>
      <c r="P203" s="4">
        <v>91.756500000000003</v>
      </c>
      <c r="Q203" s="4">
        <v>96.62166666666667</v>
      </c>
      <c r="R203" s="4">
        <v>62.289599999999993</v>
      </c>
      <c r="S203" s="4">
        <v>55.839800000000004</v>
      </c>
      <c r="T203" s="4">
        <v>60.37144444444445</v>
      </c>
      <c r="U203" s="4">
        <v>48.804666666666662</v>
      </c>
    </row>
    <row r="204" spans="1:21" x14ac:dyDescent="0.25">
      <c r="A204" t="s">
        <v>427</v>
      </c>
      <c r="B204" t="s">
        <v>428</v>
      </c>
      <c r="C204" s="2">
        <v>73.240620588235302</v>
      </c>
      <c r="E204" s="4">
        <v>93.74</v>
      </c>
      <c r="F204" s="4">
        <v>68.221714285714285</v>
      </c>
      <c r="G204" s="4">
        <v>78.691285714285712</v>
      </c>
      <c r="H204" s="4">
        <v>93.219666666666669</v>
      </c>
      <c r="I204" s="4">
        <v>70.775750000000002</v>
      </c>
      <c r="J204" s="4">
        <v>71.527799999999999</v>
      </c>
      <c r="K204" s="4">
        <v>78.067333333333337</v>
      </c>
      <c r="L204" s="4">
        <v>80.646799999999999</v>
      </c>
      <c r="M204" s="4">
        <v>64.726333333333343</v>
      </c>
      <c r="N204" s="4">
        <v>51.585999999999999</v>
      </c>
      <c r="O204" s="4">
        <v>76.846666666666664</v>
      </c>
      <c r="P204" s="4">
        <v>85.11</v>
      </c>
      <c r="Q204" s="4">
        <v>88.611333333333349</v>
      </c>
      <c r="R204" s="4">
        <v>56.554600000000008</v>
      </c>
      <c r="S204" s="4">
        <v>59.276599999999995</v>
      </c>
      <c r="T204" s="4">
        <v>65.065333333333342</v>
      </c>
      <c r="U204" s="4">
        <v>62.423333333333325</v>
      </c>
    </row>
    <row r="205" spans="1:21" x14ac:dyDescent="0.25">
      <c r="A205" t="s">
        <v>429</v>
      </c>
      <c r="B205" t="s">
        <v>430</v>
      </c>
      <c r="C205" s="2">
        <v>77.733633753501394</v>
      </c>
      <c r="E205" s="4">
        <v>99.004999999999995</v>
      </c>
      <c r="F205" s="4">
        <v>68.010857142857162</v>
      </c>
      <c r="G205" s="4">
        <v>91.284500000000023</v>
      </c>
      <c r="H205" s="4">
        <v>98.38366666666667</v>
      </c>
      <c r="I205" s="4">
        <v>73.709249999999997</v>
      </c>
      <c r="J205" s="4">
        <v>72.630400000000009</v>
      </c>
      <c r="K205" s="4">
        <v>93.237666666666655</v>
      </c>
      <c r="L205" s="4">
        <v>83.054200000000009</v>
      </c>
      <c r="M205" s="4">
        <v>91.664000000000001</v>
      </c>
      <c r="N205" s="4">
        <v>67.510000000000005</v>
      </c>
      <c r="O205" s="4">
        <v>85.537333333333322</v>
      </c>
      <c r="P205" s="4">
        <v>58.468499999999999</v>
      </c>
      <c r="Q205" s="4">
        <v>62.374000000000002</v>
      </c>
      <c r="R205" s="4">
        <v>59.553400000000011</v>
      </c>
      <c r="S205" s="4">
        <v>67.772999999999996</v>
      </c>
      <c r="T205" s="4">
        <v>79.983333333333334</v>
      </c>
      <c r="U205" s="4">
        <v>69.292666666666676</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194"/>
  <sheetViews>
    <sheetView workbookViewId="0">
      <selection activeCell="F30" sqref="F30"/>
    </sheetView>
  </sheetViews>
  <sheetFormatPr defaultRowHeight="12.75" x14ac:dyDescent="0.2"/>
  <sheetData>
    <row r="1" spans="1:21" ht="75" x14ac:dyDescent="0.25">
      <c r="A1" s="9" t="s">
        <v>0</v>
      </c>
      <c r="B1" s="9" t="s">
        <v>437</v>
      </c>
      <c r="C1" s="10" t="s">
        <v>440</v>
      </c>
      <c r="D1" s="10" t="s">
        <v>441</v>
      </c>
      <c r="E1" s="5" t="s">
        <v>4</v>
      </c>
      <c r="F1" s="5"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row>
    <row r="2" spans="1:21" ht="15" x14ac:dyDescent="0.25">
      <c r="A2" t="s">
        <v>335</v>
      </c>
      <c r="B2" t="s">
        <v>336</v>
      </c>
      <c r="C2" s="11">
        <v>49.649155966526976</v>
      </c>
      <c r="D2" s="11">
        <v>153</v>
      </c>
      <c r="E2" s="4"/>
      <c r="F2" s="4">
        <v>42.925476071923491</v>
      </c>
      <c r="G2" s="4">
        <v>38.706964156670651</v>
      </c>
      <c r="H2" s="4">
        <v>23.669757299270067</v>
      </c>
      <c r="I2" s="4">
        <v>21.353940925961759</v>
      </c>
      <c r="J2" s="4">
        <v>39.404615950474565</v>
      </c>
      <c r="K2" s="4">
        <v>56.805165801938216</v>
      </c>
      <c r="L2" s="4">
        <v>43.204896260606958</v>
      </c>
      <c r="M2" s="4">
        <v>4.1183382012495624</v>
      </c>
      <c r="N2" s="4"/>
      <c r="O2" s="4">
        <v>34.202056323416031</v>
      </c>
      <c r="P2" s="4">
        <v>98.216939198853566</v>
      </c>
      <c r="Q2" s="4">
        <v>96.962975750326322</v>
      </c>
      <c r="R2" s="4"/>
      <c r="S2" s="4">
        <v>52.076108882639026</v>
      </c>
      <c r="T2" s="4">
        <v>46.672983515726081</v>
      </c>
      <c r="U2" s="4">
        <v>41.86710078707744</v>
      </c>
    </row>
    <row r="3" spans="1:21" ht="15" x14ac:dyDescent="0.25">
      <c r="A3" t="s">
        <v>329</v>
      </c>
      <c r="B3" t="s">
        <v>330</v>
      </c>
      <c r="C3" s="11">
        <v>51.320357985271322</v>
      </c>
      <c r="D3" s="11">
        <v>149</v>
      </c>
      <c r="E3" s="4">
        <v>45.157118403808617</v>
      </c>
      <c r="F3" s="4">
        <v>47.775067116939375</v>
      </c>
      <c r="G3" s="4">
        <v>33.741059222707953</v>
      </c>
      <c r="H3" s="4">
        <v>37.841050021181317</v>
      </c>
      <c r="I3" s="4">
        <v>53.566084643916319</v>
      </c>
      <c r="J3" s="4">
        <v>45.961705072956967</v>
      </c>
      <c r="K3" s="4">
        <v>48.748886205365274</v>
      </c>
      <c r="L3" s="4">
        <v>59.876358753408681</v>
      </c>
      <c r="M3" s="4">
        <v>5.6522224624342163</v>
      </c>
      <c r="N3" s="4">
        <v>57.183098591549289</v>
      </c>
      <c r="O3" s="4">
        <v>45.956779379582713</v>
      </c>
      <c r="P3" s="4">
        <v>93.660869876199328</v>
      </c>
      <c r="Q3" s="4">
        <v>90.89123150835124</v>
      </c>
      <c r="R3" s="4">
        <v>47.837935404149057</v>
      </c>
      <c r="S3" s="4">
        <v>64.968300995373156</v>
      </c>
      <c r="T3" s="4">
        <v>41.720635238096555</v>
      </c>
      <c r="U3" s="4">
        <v>51.907682853592355</v>
      </c>
    </row>
    <row r="4" spans="1:21" ht="15" x14ac:dyDescent="0.25">
      <c r="A4" t="s">
        <v>127</v>
      </c>
      <c r="B4" t="s">
        <v>128</v>
      </c>
      <c r="C4" s="11">
        <v>70.272647228181896</v>
      </c>
      <c r="D4" s="11">
        <v>60</v>
      </c>
      <c r="E4" s="4">
        <v>96.852884538233184</v>
      </c>
      <c r="F4" s="4">
        <v>46.063410390467133</v>
      </c>
      <c r="G4" s="4">
        <v>82.205602879085433</v>
      </c>
      <c r="H4" s="4">
        <v>93.398454088431308</v>
      </c>
      <c r="I4" s="4">
        <v>53.302846809062672</v>
      </c>
      <c r="J4" s="4">
        <v>77.246543371517504</v>
      </c>
      <c r="K4" s="4">
        <v>88.636587776813954</v>
      </c>
      <c r="L4" s="4">
        <v>62.238764688190614</v>
      </c>
      <c r="M4" s="4">
        <v>27.966398284958633</v>
      </c>
      <c r="N4" s="4">
        <v>59.780127229824878</v>
      </c>
      <c r="O4" s="4">
        <v>78.567868759885926</v>
      </c>
      <c r="P4" s="4">
        <v>83.180261283475076</v>
      </c>
      <c r="Q4" s="4">
        <v>92.076256413288178</v>
      </c>
      <c r="R4" s="4">
        <v>40.994170124319389</v>
      </c>
      <c r="S4" s="4">
        <v>79.959441083067858</v>
      </c>
      <c r="T4" s="4">
        <v>67.3356631523761</v>
      </c>
      <c r="U4" s="4">
        <v>64.829722006094769</v>
      </c>
    </row>
    <row r="5" spans="1:21" ht="15" x14ac:dyDescent="0.25">
      <c r="A5" t="s">
        <v>353</v>
      </c>
      <c r="B5" t="s">
        <v>354</v>
      </c>
      <c r="C5" s="11"/>
      <c r="D5" s="11"/>
      <c r="E5" s="4"/>
      <c r="F5" s="4"/>
      <c r="G5" s="4"/>
      <c r="H5" s="4"/>
      <c r="I5" s="4"/>
      <c r="J5" s="4"/>
      <c r="K5" s="4"/>
      <c r="L5" s="4"/>
      <c r="M5" s="4"/>
      <c r="N5" s="4"/>
      <c r="O5" s="4"/>
      <c r="P5" s="4"/>
      <c r="Q5" s="4"/>
      <c r="R5" s="4"/>
      <c r="S5" s="4"/>
      <c r="T5" s="4"/>
      <c r="U5" s="4"/>
    </row>
    <row r="6" spans="1:21" ht="15" x14ac:dyDescent="0.25">
      <c r="A6" t="s">
        <v>177</v>
      </c>
      <c r="B6" t="s">
        <v>178</v>
      </c>
      <c r="C6" s="11">
        <v>69.708919063793203</v>
      </c>
      <c r="D6" s="11">
        <v>65</v>
      </c>
      <c r="E6" s="4"/>
      <c r="F6" s="4">
        <v>59.805923161172622</v>
      </c>
      <c r="G6" s="4">
        <v>86.146051800385422</v>
      </c>
      <c r="H6" s="4">
        <v>85.701411423808509</v>
      </c>
      <c r="I6" s="4">
        <v>56.327462912531288</v>
      </c>
      <c r="J6" s="4">
        <v>55.753513911890124</v>
      </c>
      <c r="K6" s="4">
        <v>90.690168861449806</v>
      </c>
      <c r="L6" s="4">
        <v>70.615078630305305</v>
      </c>
      <c r="M6" s="4">
        <v>60.842655759473729</v>
      </c>
      <c r="N6" s="4">
        <v>85.887323943661968</v>
      </c>
      <c r="O6" s="4">
        <v>75.993895080346249</v>
      </c>
      <c r="P6" s="4">
        <v>40.92316877954682</v>
      </c>
      <c r="Q6" s="4">
        <v>33.407076943974943</v>
      </c>
      <c r="R6" s="4">
        <v>62.495861551182514</v>
      </c>
      <c r="S6" s="4">
        <v>45.380728762099871</v>
      </c>
      <c r="T6" s="4">
        <v>81.515681658110964</v>
      </c>
      <c r="U6" s="4">
        <v>100</v>
      </c>
    </row>
    <row r="7" spans="1:21" ht="15" x14ac:dyDescent="0.25">
      <c r="A7" t="s">
        <v>121</v>
      </c>
      <c r="B7" t="s">
        <v>122</v>
      </c>
      <c r="C7" s="11">
        <v>72.350407445341943</v>
      </c>
      <c r="D7" s="11">
        <v>45</v>
      </c>
      <c r="E7" s="4">
        <v>97.034956805477549</v>
      </c>
      <c r="F7" s="4">
        <v>60.833556412535927</v>
      </c>
      <c r="G7" s="4">
        <v>80.186147265407826</v>
      </c>
      <c r="H7" s="4">
        <v>94.267067703408088</v>
      </c>
      <c r="I7" s="4">
        <v>77.405419314432919</v>
      </c>
      <c r="J7" s="4">
        <v>80.228890655979825</v>
      </c>
      <c r="K7" s="4">
        <v>91.417805777650187</v>
      </c>
      <c r="L7" s="4">
        <v>72.206207669429801</v>
      </c>
      <c r="M7" s="4">
        <v>40.543532446554067</v>
      </c>
      <c r="N7" s="4">
        <v>39.661771478787273</v>
      </c>
      <c r="O7" s="4">
        <v>83.506167813585535</v>
      </c>
      <c r="P7" s="4">
        <v>79.12004847135141</v>
      </c>
      <c r="Q7" s="4">
        <v>92.145653216438461</v>
      </c>
      <c r="R7" s="4">
        <v>39.937463858979086</v>
      </c>
      <c r="S7" s="4">
        <v>52.982601033724436</v>
      </c>
      <c r="T7" s="4">
        <v>62.955891713737387</v>
      </c>
      <c r="U7" s="4">
        <v>85.523744933333319</v>
      </c>
    </row>
    <row r="8" spans="1:21" ht="15" x14ac:dyDescent="0.25">
      <c r="A8" t="s">
        <v>131</v>
      </c>
      <c r="B8" t="s">
        <v>132</v>
      </c>
      <c r="C8" s="11">
        <v>68.773183687007403</v>
      </c>
      <c r="D8" s="11">
        <v>75</v>
      </c>
      <c r="E8" s="4">
        <v>91.212295060044397</v>
      </c>
      <c r="F8" s="4">
        <v>56.529995583441391</v>
      </c>
      <c r="G8" s="4">
        <v>78.515260447592013</v>
      </c>
      <c r="H8" s="4">
        <v>89.754251243840528</v>
      </c>
      <c r="I8" s="4">
        <v>56.917891328380293</v>
      </c>
      <c r="J8" s="4">
        <v>66.926708188647126</v>
      </c>
      <c r="K8" s="4">
        <v>95.354422929737851</v>
      </c>
      <c r="L8" s="4">
        <v>63.159584700389779</v>
      </c>
      <c r="M8" s="4">
        <v>33.889891847942827</v>
      </c>
      <c r="N8" s="4">
        <v>50.059037812998596</v>
      </c>
      <c r="O8" s="4">
        <v>67.252801054002887</v>
      </c>
      <c r="P8" s="4">
        <v>90.119130501664173</v>
      </c>
      <c r="Q8" s="4">
        <v>95.009885084372414</v>
      </c>
      <c r="R8" s="4"/>
      <c r="S8" s="4">
        <v>61.224324032876936</v>
      </c>
      <c r="T8" s="4">
        <v>75.441002167195833</v>
      </c>
      <c r="U8" s="4">
        <v>57.052510136815613</v>
      </c>
    </row>
    <row r="9" spans="1:21" ht="15" x14ac:dyDescent="0.25">
      <c r="A9" t="s">
        <v>355</v>
      </c>
      <c r="B9" t="s">
        <v>356</v>
      </c>
      <c r="C9" s="11"/>
      <c r="D9" s="11"/>
      <c r="E9" s="4"/>
      <c r="F9" s="4"/>
      <c r="G9" s="4"/>
      <c r="H9" s="4"/>
      <c r="I9" s="4"/>
      <c r="J9" s="4"/>
      <c r="K9" s="4"/>
      <c r="L9" s="4"/>
      <c r="M9" s="4"/>
      <c r="N9" s="4"/>
      <c r="O9" s="4"/>
      <c r="P9" s="4"/>
      <c r="Q9" s="4"/>
      <c r="R9" s="4"/>
      <c r="S9" s="4"/>
      <c r="T9" s="4"/>
      <c r="U9" s="4"/>
    </row>
    <row r="10" spans="1:21" ht="15" x14ac:dyDescent="0.25">
      <c r="A10" t="s">
        <v>99</v>
      </c>
      <c r="B10" t="s">
        <v>100</v>
      </c>
      <c r="C10" s="11">
        <v>73.886629181425235</v>
      </c>
      <c r="D10" s="11">
        <v>38</v>
      </c>
      <c r="E10" s="4">
        <v>99.030222792800032</v>
      </c>
      <c r="F10" s="4">
        <v>52.41446593831148</v>
      </c>
      <c r="G10" s="4">
        <v>96.45326532207639</v>
      </c>
      <c r="H10" s="4">
        <v>92.809155844155839</v>
      </c>
      <c r="I10" s="4">
        <v>78.898730629539685</v>
      </c>
      <c r="J10" s="4">
        <v>96.984575310799158</v>
      </c>
      <c r="K10" s="4">
        <v>91.004758808744498</v>
      </c>
      <c r="L10" s="4">
        <v>81.086486743904601</v>
      </c>
      <c r="M10" s="4">
        <v>84.202483896420219</v>
      </c>
      <c r="N10" s="4">
        <v>76.961401146902162</v>
      </c>
      <c r="O10" s="4">
        <v>80.593213152448087</v>
      </c>
      <c r="P10" s="4">
        <v>40.850623455015018</v>
      </c>
      <c r="Q10" s="4">
        <v>33.898481145098941</v>
      </c>
      <c r="R10" s="4">
        <v>56.286393859727923</v>
      </c>
      <c r="S10" s="4">
        <v>47.761451329873161</v>
      </c>
      <c r="T10" s="4">
        <v>85.692653375078464</v>
      </c>
      <c r="U10" s="4">
        <v>61.144333333333329</v>
      </c>
    </row>
    <row r="11" spans="1:21" ht="15" x14ac:dyDescent="0.25">
      <c r="A11" t="s">
        <v>29</v>
      </c>
      <c r="B11" t="s">
        <v>30</v>
      </c>
      <c r="C11" s="11">
        <v>81.073703407569269</v>
      </c>
      <c r="D11" s="11">
        <v>5</v>
      </c>
      <c r="E11" s="4">
        <v>99.192115328037659</v>
      </c>
      <c r="F11" s="4">
        <v>71.575904756115435</v>
      </c>
      <c r="G11" s="4">
        <v>94.928006097316114</v>
      </c>
      <c r="H11" s="4">
        <v>96.560756097560983</v>
      </c>
      <c r="I11" s="4">
        <v>79.053354413906632</v>
      </c>
      <c r="J11" s="4">
        <v>94.901042441629187</v>
      </c>
      <c r="K11" s="4">
        <v>93.825374174532428</v>
      </c>
      <c r="L11" s="4">
        <v>82.034564615831968</v>
      </c>
      <c r="M11" s="4">
        <v>80.241314656772033</v>
      </c>
      <c r="N11" s="4">
        <v>87.402523067635556</v>
      </c>
      <c r="O11" s="4">
        <v>85.821782041793369</v>
      </c>
      <c r="P11" s="4">
        <v>45.51873596540208</v>
      </c>
      <c r="Q11" s="4">
        <v>84.294220336353561</v>
      </c>
      <c r="R11" s="4"/>
      <c r="S11" s="4">
        <v>71.44343097409083</v>
      </c>
      <c r="T11" s="4">
        <v>92.027849646038987</v>
      </c>
      <c r="U11" s="4">
        <v>68.024555555555551</v>
      </c>
    </row>
    <row r="12" spans="1:21" ht="15" x14ac:dyDescent="0.25">
      <c r="A12" t="s">
        <v>125</v>
      </c>
      <c r="B12" t="s">
        <v>126</v>
      </c>
      <c r="C12" s="11">
        <v>70.458904039955101</v>
      </c>
      <c r="D12" s="11">
        <v>59</v>
      </c>
      <c r="E12" s="4">
        <v>100</v>
      </c>
      <c r="F12" s="4">
        <v>58.216074847969985</v>
      </c>
      <c r="G12" s="4">
        <v>75.28969588634051</v>
      </c>
      <c r="H12" s="4">
        <v>90.759335936490473</v>
      </c>
      <c r="I12" s="4">
        <v>53.914705817743211</v>
      </c>
      <c r="J12" s="4">
        <v>62.803992823606919</v>
      </c>
      <c r="K12" s="4">
        <v>91.013353076549208</v>
      </c>
      <c r="L12" s="4">
        <v>68.104110686886088</v>
      </c>
      <c r="M12" s="4">
        <v>37.298846674003059</v>
      </c>
      <c r="N12" s="4">
        <v>68.306269444210429</v>
      </c>
      <c r="O12" s="4">
        <v>83.082740528030428</v>
      </c>
      <c r="P12" s="4">
        <v>89.114386112580888</v>
      </c>
      <c r="Q12" s="4">
        <v>90.639571343044693</v>
      </c>
      <c r="R12" s="4">
        <v>22.453040000000001</v>
      </c>
      <c r="S12" s="4">
        <v>66.882379844045232</v>
      </c>
      <c r="T12" s="4">
        <v>70.158141296279155</v>
      </c>
      <c r="U12" s="4">
        <v>69.764724361456416</v>
      </c>
    </row>
    <row r="13" spans="1:21" ht="15" x14ac:dyDescent="0.25">
      <c r="A13" t="s">
        <v>313</v>
      </c>
      <c r="B13" t="s">
        <v>314</v>
      </c>
      <c r="C13" s="11">
        <v>51.546630752523278</v>
      </c>
      <c r="D13" s="11">
        <v>145</v>
      </c>
      <c r="E13" s="4">
        <v>0</v>
      </c>
      <c r="F13" s="4">
        <v>44.092911161881609</v>
      </c>
      <c r="G13" s="4">
        <v>47.653646130665138</v>
      </c>
      <c r="H13" s="4">
        <v>61.023800419824276</v>
      </c>
      <c r="I13" s="4">
        <v>63.02929979928458</v>
      </c>
      <c r="J13" s="4">
        <v>54.287102859758555</v>
      </c>
      <c r="K13" s="4">
        <v>0</v>
      </c>
      <c r="L13" s="4">
        <v>44.019942805751917</v>
      </c>
      <c r="M13" s="4">
        <v>3.5374098980028292</v>
      </c>
      <c r="N13" s="4">
        <v>67.069397509937559</v>
      </c>
      <c r="O13" s="4">
        <v>58.531601576810779</v>
      </c>
      <c r="P13" s="4">
        <v>96.57088393918707</v>
      </c>
      <c r="Q13" s="4">
        <v>99.346061505243114</v>
      </c>
      <c r="R13" s="4"/>
      <c r="S13" s="4">
        <v>73.93562125199324</v>
      </c>
      <c r="T13" s="4">
        <v>48.859557220534995</v>
      </c>
      <c r="U13" s="4">
        <v>59.824902840437154</v>
      </c>
    </row>
    <row r="14" spans="1:21" ht="15" x14ac:dyDescent="0.25">
      <c r="A14" t="s">
        <v>57</v>
      </c>
      <c r="B14" t="s">
        <v>58</v>
      </c>
      <c r="C14" s="11">
        <v>78.891661821533631</v>
      </c>
      <c r="D14" s="11">
        <v>16</v>
      </c>
      <c r="E14" s="4">
        <v>99.543448607879327</v>
      </c>
      <c r="F14" s="4">
        <v>70.241249621570446</v>
      </c>
      <c r="G14" s="4">
        <v>94.139150064170565</v>
      </c>
      <c r="H14" s="4">
        <v>94.741295375356344</v>
      </c>
      <c r="I14" s="4">
        <v>83.900249245128862</v>
      </c>
      <c r="J14" s="4">
        <v>79.251366665408966</v>
      </c>
      <c r="K14" s="4">
        <v>91.943521158746805</v>
      </c>
      <c r="L14" s="4">
        <v>81.408582034251111</v>
      </c>
      <c r="M14" s="4">
        <v>75.878854194954144</v>
      </c>
      <c r="N14" s="4">
        <v>93.421123061381593</v>
      </c>
      <c r="O14" s="4">
        <v>82.327813238169654</v>
      </c>
      <c r="P14" s="4">
        <v>46.653947182879158</v>
      </c>
      <c r="Q14" s="4">
        <v>82.944681521820613</v>
      </c>
      <c r="R14" s="4">
        <v>30.647625126050418</v>
      </c>
      <c r="S14" s="4">
        <v>84.957422971058534</v>
      </c>
      <c r="T14" s="4">
        <v>86.86599497131941</v>
      </c>
      <c r="U14" s="4">
        <v>62.291925925925931</v>
      </c>
    </row>
    <row r="15" spans="1:21" ht="15" x14ac:dyDescent="0.25">
      <c r="A15" t="s">
        <v>299</v>
      </c>
      <c r="B15" t="s">
        <v>300</v>
      </c>
      <c r="C15" s="11">
        <v>50.853800755887661</v>
      </c>
      <c r="D15" s="11">
        <v>151</v>
      </c>
      <c r="E15" s="4">
        <v>18.305785123966935</v>
      </c>
      <c r="F15" s="4">
        <v>55.466548132929269</v>
      </c>
      <c r="G15" s="4">
        <v>47.146165702920534</v>
      </c>
      <c r="H15" s="4">
        <v>46.948925885549961</v>
      </c>
      <c r="I15" s="4">
        <v>40.362969350791325</v>
      </c>
      <c r="J15" s="4">
        <v>46.639181571275394</v>
      </c>
      <c r="K15" s="4">
        <v>13.355680646908011</v>
      </c>
      <c r="L15" s="4">
        <v>70.729994747771642</v>
      </c>
      <c r="M15" s="4">
        <v>8.7873745932117284</v>
      </c>
      <c r="N15" s="4">
        <v>36.211644763677889</v>
      </c>
      <c r="O15" s="4">
        <v>52.593085284201322</v>
      </c>
      <c r="P15" s="4">
        <v>94.871480384502021</v>
      </c>
      <c r="Q15" s="4">
        <v>97.349934414483229</v>
      </c>
      <c r="R15" s="4">
        <v>49.73365033707865</v>
      </c>
      <c r="S15" s="4">
        <v>84.714294809262881</v>
      </c>
      <c r="T15" s="4">
        <v>49.014198606859125</v>
      </c>
      <c r="U15" s="4">
        <v>52.283698494700239</v>
      </c>
    </row>
    <row r="16" spans="1:21" ht="15" x14ac:dyDescent="0.25">
      <c r="A16" t="s">
        <v>325</v>
      </c>
      <c r="B16" t="s">
        <v>326</v>
      </c>
      <c r="C16" s="11">
        <v>52.403842035707214</v>
      </c>
      <c r="D16" s="11">
        <v>141</v>
      </c>
      <c r="E16" s="4">
        <v>24.256198347107436</v>
      </c>
      <c r="F16" s="4">
        <v>51.887903509119802</v>
      </c>
      <c r="G16" s="4">
        <v>47.99066729240284</v>
      </c>
      <c r="H16" s="4">
        <v>27.028671783066301</v>
      </c>
      <c r="I16" s="4">
        <v>34.618089290968918</v>
      </c>
      <c r="J16" s="4">
        <v>44.148345546834172</v>
      </c>
      <c r="K16" s="4">
        <v>9.0718599985216617</v>
      </c>
      <c r="L16" s="4">
        <v>69.212799772665761</v>
      </c>
      <c r="M16" s="4">
        <v>12.434880683645325</v>
      </c>
      <c r="N16" s="4">
        <v>78.077502317831545</v>
      </c>
      <c r="O16" s="4">
        <v>57.849988406729473</v>
      </c>
      <c r="P16" s="4">
        <v>93.671733514554305</v>
      </c>
      <c r="Q16" s="4">
        <v>90.7871334290313</v>
      </c>
      <c r="R16" s="4"/>
      <c r="S16" s="4">
        <v>82.072353857000294</v>
      </c>
      <c r="T16" s="4">
        <v>57.034313013964066</v>
      </c>
      <c r="U16" s="4">
        <v>56.212289969996334</v>
      </c>
    </row>
    <row r="17" spans="1:21" ht="15" x14ac:dyDescent="0.25">
      <c r="A17" t="s">
        <v>221</v>
      </c>
      <c r="B17" t="s">
        <v>222</v>
      </c>
      <c r="C17" s="11">
        <v>60.875489388047583</v>
      </c>
      <c r="D17" s="11">
        <v>116</v>
      </c>
      <c r="E17" s="4">
        <v>58.207948861964752</v>
      </c>
      <c r="F17" s="4">
        <v>51.149225000265609</v>
      </c>
      <c r="G17" s="4">
        <v>59.603508647849303</v>
      </c>
      <c r="H17" s="4">
        <v>79.746707250921702</v>
      </c>
      <c r="I17" s="4">
        <v>48.230208155953392</v>
      </c>
      <c r="J17" s="4">
        <v>65.484499836725291</v>
      </c>
      <c r="K17" s="4">
        <v>55.967487802434107</v>
      </c>
      <c r="L17" s="4">
        <v>77.097867120831751</v>
      </c>
      <c r="M17" s="4">
        <v>15.438267646000678</v>
      </c>
      <c r="N17" s="4">
        <v>76.383001032009929</v>
      </c>
      <c r="O17" s="4">
        <v>51.896768476771108</v>
      </c>
      <c r="P17" s="4">
        <v>96.519787041302408</v>
      </c>
      <c r="Q17" s="4">
        <v>97.119242592457582</v>
      </c>
      <c r="R17" s="4">
        <v>51.879466026742222</v>
      </c>
      <c r="S17" s="4">
        <v>60.850060424286809</v>
      </c>
      <c r="T17" s="4">
        <v>50.478645347544301</v>
      </c>
      <c r="U17" s="4">
        <v>38.830628332748041</v>
      </c>
    </row>
    <row r="18" spans="1:21" ht="15" x14ac:dyDescent="0.25">
      <c r="A18" t="s">
        <v>107</v>
      </c>
      <c r="B18" t="s">
        <v>108</v>
      </c>
      <c r="C18" s="11">
        <v>74.519052531359208</v>
      </c>
      <c r="D18" s="11">
        <v>36</v>
      </c>
      <c r="E18" s="4">
        <v>96.977225922062644</v>
      </c>
      <c r="F18" s="4">
        <v>58.204934034686048</v>
      </c>
      <c r="G18" s="4">
        <v>80.178830813828981</v>
      </c>
      <c r="H18" s="4">
        <v>71.032383025555532</v>
      </c>
      <c r="I18" s="4">
        <v>69.20231269159332</v>
      </c>
      <c r="J18" s="4">
        <v>78.014037597027055</v>
      </c>
      <c r="K18" s="4">
        <v>90.797641445182066</v>
      </c>
      <c r="L18" s="4">
        <v>80.43991035720066</v>
      </c>
      <c r="M18" s="4">
        <v>41.221375614122373</v>
      </c>
      <c r="N18" s="4">
        <v>61.801765670239085</v>
      </c>
      <c r="O18" s="4">
        <v>81.336192355666455</v>
      </c>
      <c r="P18" s="4">
        <v>66.578463761814248</v>
      </c>
      <c r="Q18" s="4">
        <v>87.696586746985744</v>
      </c>
      <c r="R18" s="4">
        <v>65.342863954510634</v>
      </c>
      <c r="S18" s="4">
        <v>93.308751755582861</v>
      </c>
      <c r="T18" s="4">
        <v>68.788355527293305</v>
      </c>
      <c r="U18" s="4">
        <v>75.902261759755433</v>
      </c>
    </row>
    <row r="19" spans="1:21" ht="15" x14ac:dyDescent="0.25">
      <c r="A19" t="s">
        <v>241</v>
      </c>
      <c r="B19" t="s">
        <v>242</v>
      </c>
      <c r="C19" s="11">
        <v>68.719413982932565</v>
      </c>
      <c r="D19" s="11">
        <v>76</v>
      </c>
      <c r="E19" s="4"/>
      <c r="F19" s="4">
        <v>67.421970944712371</v>
      </c>
      <c r="G19" s="4">
        <v>90.370438505177418</v>
      </c>
      <c r="H19" s="4">
        <v>93.462433588408317</v>
      </c>
      <c r="I19" s="4">
        <v>50.015112761539399</v>
      </c>
      <c r="J19" s="4">
        <v>54.536000000000001</v>
      </c>
      <c r="K19" s="4">
        <v>93.656545962246071</v>
      </c>
      <c r="L19" s="4">
        <v>82.26311993849292</v>
      </c>
      <c r="M19" s="4">
        <v>43.229571409178227</v>
      </c>
      <c r="N19" s="4"/>
      <c r="O19" s="4">
        <v>52.007663759122799</v>
      </c>
      <c r="P19" s="4">
        <v>72.084818163564364</v>
      </c>
      <c r="Q19" s="4">
        <v>65.686181438049687</v>
      </c>
      <c r="R19" s="4">
        <v>57.789906850365618</v>
      </c>
      <c r="S19" s="4">
        <v>54.786148437758023</v>
      </c>
      <c r="T19" s="4">
        <v>67.094296043832159</v>
      </c>
      <c r="U19" s="4">
        <v>60.270257533333336</v>
      </c>
    </row>
    <row r="20" spans="1:21" ht="15" x14ac:dyDescent="0.25">
      <c r="A20" t="s">
        <v>267</v>
      </c>
      <c r="B20" t="s">
        <v>268</v>
      </c>
      <c r="C20" s="11"/>
      <c r="D20" s="11"/>
      <c r="E20" s="4"/>
      <c r="F20" s="4"/>
      <c r="G20" s="4"/>
      <c r="H20" s="4"/>
      <c r="I20" s="4"/>
      <c r="J20" s="4"/>
      <c r="K20" s="4"/>
      <c r="L20" s="4"/>
      <c r="M20" s="4"/>
      <c r="N20" s="4"/>
      <c r="O20" s="4"/>
      <c r="P20" s="4"/>
      <c r="Q20" s="4"/>
      <c r="R20" s="4"/>
      <c r="S20" s="4"/>
      <c r="T20" s="4"/>
      <c r="U20" s="4"/>
    </row>
    <row r="21" spans="1:21" ht="15" x14ac:dyDescent="0.25">
      <c r="A21" t="s">
        <v>113</v>
      </c>
      <c r="B21" t="s">
        <v>114</v>
      </c>
      <c r="C21" s="11">
        <v>69.388734321523899</v>
      </c>
      <c r="D21" s="11">
        <v>69</v>
      </c>
      <c r="E21" s="4">
        <v>99.71878092487097</v>
      </c>
      <c r="F21" s="4">
        <v>65.008322536140739</v>
      </c>
      <c r="G21" s="4">
        <v>80.258877375826955</v>
      </c>
      <c r="H21" s="4">
        <v>99.383996350364967</v>
      </c>
      <c r="I21" s="4">
        <v>39.856989999926633</v>
      </c>
      <c r="J21" s="4">
        <v>72.580476011688347</v>
      </c>
      <c r="K21" s="4">
        <v>80.282103602766412</v>
      </c>
      <c r="L21" s="4">
        <v>62.190144834545848</v>
      </c>
      <c r="M21" s="4">
        <v>24.940190624530448</v>
      </c>
      <c r="N21" s="4">
        <v>82.202076576125449</v>
      </c>
      <c r="O21" s="4">
        <v>71.807949049410894</v>
      </c>
      <c r="P21" s="4">
        <v>89.036435756967109</v>
      </c>
      <c r="Q21" s="4">
        <v>72.284683179758417</v>
      </c>
      <c r="R21" s="4">
        <v>8.6694677871148418</v>
      </c>
      <c r="S21" s="4">
        <v>61.912493748112034</v>
      </c>
      <c r="T21" s="4">
        <v>72.565357949705316</v>
      </c>
      <c r="U21" s="4">
        <v>96.910137158050958</v>
      </c>
    </row>
    <row r="22" spans="1:21" ht="15" x14ac:dyDescent="0.25">
      <c r="A22" t="s">
        <v>87</v>
      </c>
      <c r="B22" t="s">
        <v>88</v>
      </c>
      <c r="C22" s="11">
        <v>77.44476174024102</v>
      </c>
      <c r="D22" s="11">
        <v>23</v>
      </c>
      <c r="E22" s="4">
        <v>99.894781887720995</v>
      </c>
      <c r="F22" s="4">
        <v>57.231939451563164</v>
      </c>
      <c r="G22" s="4">
        <v>81.7284856774655</v>
      </c>
      <c r="H22" s="4">
        <v>96.790724686910821</v>
      </c>
      <c r="I22" s="4">
        <v>78.037641293856709</v>
      </c>
      <c r="J22" s="4">
        <v>92.170476964367523</v>
      </c>
      <c r="K22" s="4">
        <v>90.100032300264445</v>
      </c>
      <c r="L22" s="4">
        <v>77.423528953647661</v>
      </c>
      <c r="M22" s="4">
        <v>39.340307922357184</v>
      </c>
      <c r="N22" s="4">
        <v>85.80596648471456</v>
      </c>
      <c r="O22" s="4">
        <v>80.946936924706776</v>
      </c>
      <c r="P22" s="4">
        <v>82.584477397974766</v>
      </c>
      <c r="Q22" s="4">
        <v>92.253883362205315</v>
      </c>
      <c r="R22" s="4"/>
      <c r="S22" s="4">
        <v>78.135670201194799</v>
      </c>
      <c r="T22" s="4">
        <v>69.14786737950341</v>
      </c>
      <c r="U22" s="4">
        <v>74.243098136460944</v>
      </c>
    </row>
    <row r="23" spans="1:21" ht="15" x14ac:dyDescent="0.25">
      <c r="A23" t="s">
        <v>233</v>
      </c>
      <c r="B23" t="s">
        <v>234</v>
      </c>
      <c r="C23" s="11">
        <v>62.548817852665088</v>
      </c>
      <c r="D23" s="11">
        <v>109</v>
      </c>
      <c r="E23" s="4">
        <v>68.537778491000026</v>
      </c>
      <c r="F23" s="4">
        <v>59.892770135490515</v>
      </c>
      <c r="G23" s="4">
        <v>71.536531084243165</v>
      </c>
      <c r="H23" s="4">
        <v>75.617384067152358</v>
      </c>
      <c r="I23" s="4">
        <v>58.044995125689525</v>
      </c>
      <c r="J23" s="4">
        <v>72.755974114483507</v>
      </c>
      <c r="K23" s="4">
        <v>88.28377280221693</v>
      </c>
      <c r="L23" s="4">
        <v>63.694843209420824</v>
      </c>
      <c r="M23" s="4">
        <v>23.445883747324356</v>
      </c>
      <c r="N23" s="4"/>
      <c r="O23" s="4">
        <v>72.643408582667703</v>
      </c>
      <c r="P23" s="4">
        <v>76.544121982774229</v>
      </c>
      <c r="Q23" s="4">
        <v>87.271689934646588</v>
      </c>
      <c r="R23" s="4">
        <v>31.206121314218574</v>
      </c>
      <c r="S23" s="4">
        <v>43.882394351173033</v>
      </c>
      <c r="T23" s="4">
        <v>56.782996864386313</v>
      </c>
      <c r="U23" s="4">
        <v>76.08059598412224</v>
      </c>
    </row>
    <row r="24" spans="1:21" ht="15" x14ac:dyDescent="0.25">
      <c r="A24" t="s">
        <v>193</v>
      </c>
      <c r="B24" t="s">
        <v>194</v>
      </c>
      <c r="C24" s="11">
        <v>68.393173530074051</v>
      </c>
      <c r="D24" s="11">
        <v>80</v>
      </c>
      <c r="E24" s="4">
        <v>85.31590842226322</v>
      </c>
      <c r="F24" s="4">
        <v>53.25124957798392</v>
      </c>
      <c r="G24" s="4">
        <v>66.437821878123671</v>
      </c>
      <c r="H24" s="4">
        <v>87.296103569071519</v>
      </c>
      <c r="I24" s="4">
        <v>66.216690829330531</v>
      </c>
      <c r="J24" s="4">
        <v>67.664861452206949</v>
      </c>
      <c r="K24" s="4">
        <v>73.405691307707244</v>
      </c>
      <c r="L24" s="4">
        <v>79.43569864999435</v>
      </c>
      <c r="M24" s="4">
        <v>23.007939173616695</v>
      </c>
      <c r="N24" s="4">
        <v>48.592159110055846</v>
      </c>
      <c r="O24" s="4">
        <v>82.207158921631205</v>
      </c>
      <c r="P24" s="4">
        <v>87.623756627975766</v>
      </c>
      <c r="Q24" s="4">
        <v>94.376496942434059</v>
      </c>
      <c r="R24" s="4"/>
      <c r="S24" s="4">
        <v>73.114057387258484</v>
      </c>
      <c r="T24" s="4">
        <v>48.387906395430669</v>
      </c>
      <c r="U24" s="4">
        <v>72.581427246033627</v>
      </c>
    </row>
    <row r="25" spans="1:21" ht="15" x14ac:dyDescent="0.25">
      <c r="A25" t="s">
        <v>119</v>
      </c>
      <c r="B25" t="s">
        <v>120</v>
      </c>
      <c r="C25" s="11">
        <v>70.615761313654616</v>
      </c>
      <c r="D25" s="11">
        <v>57</v>
      </c>
      <c r="E25" s="4">
        <v>86.160715718526845</v>
      </c>
      <c r="F25" s="4">
        <v>62.100159631043155</v>
      </c>
      <c r="G25" s="4">
        <v>76.888252998568873</v>
      </c>
      <c r="H25" s="4">
        <v>84.618627251301902</v>
      </c>
      <c r="I25" s="4">
        <v>67.458053129840991</v>
      </c>
      <c r="J25" s="4">
        <v>79.392989263851234</v>
      </c>
      <c r="K25" s="4">
        <v>94.014223033891653</v>
      </c>
      <c r="L25" s="4">
        <v>72.560676868770088</v>
      </c>
      <c r="M25" s="4">
        <v>48.806295059293937</v>
      </c>
      <c r="N25" s="4">
        <v>25.563829045900157</v>
      </c>
      <c r="O25" s="4">
        <v>78.273032190220562</v>
      </c>
      <c r="P25" s="4">
        <v>78.655001935036722</v>
      </c>
      <c r="Q25" s="4">
        <v>91.688944694311928</v>
      </c>
      <c r="R25" s="4">
        <v>63.218583068456439</v>
      </c>
      <c r="S25" s="4">
        <v>60.923947092604877</v>
      </c>
      <c r="T25" s="4">
        <v>55.412853830614878</v>
      </c>
      <c r="U25" s="4">
        <v>74.731757519894288</v>
      </c>
    </row>
    <row r="26" spans="1:21" ht="15" x14ac:dyDescent="0.25">
      <c r="A26" t="s">
        <v>187</v>
      </c>
      <c r="B26" t="s">
        <v>188</v>
      </c>
      <c r="C26" s="11"/>
      <c r="D26" s="11"/>
      <c r="E26" s="4"/>
      <c r="F26" s="4"/>
      <c r="G26" s="4"/>
      <c r="H26" s="4"/>
      <c r="I26" s="4"/>
      <c r="J26" s="4"/>
      <c r="K26" s="4"/>
      <c r="L26" s="4"/>
      <c r="M26" s="4"/>
      <c r="N26" s="4"/>
      <c r="O26" s="4"/>
      <c r="P26" s="4"/>
      <c r="Q26" s="4"/>
      <c r="R26" s="4"/>
      <c r="S26" s="4"/>
      <c r="T26" s="4"/>
      <c r="U26" s="4"/>
    </row>
    <row r="27" spans="1:21" ht="15" x14ac:dyDescent="0.25">
      <c r="A27" t="s">
        <v>223</v>
      </c>
      <c r="B27" t="s">
        <v>224</v>
      </c>
      <c r="C27" s="11"/>
      <c r="D27" s="11"/>
      <c r="E27" s="4"/>
      <c r="F27" s="4"/>
      <c r="G27" s="4"/>
      <c r="H27" s="4"/>
      <c r="I27" s="4"/>
      <c r="J27" s="4"/>
      <c r="K27" s="4"/>
      <c r="L27" s="4"/>
      <c r="M27" s="4"/>
      <c r="N27" s="4"/>
      <c r="O27" s="4"/>
      <c r="P27" s="4"/>
      <c r="Q27" s="4"/>
      <c r="R27" s="4"/>
      <c r="S27" s="4"/>
      <c r="T27" s="4"/>
      <c r="U27" s="4"/>
    </row>
    <row r="28" spans="1:21" ht="15" x14ac:dyDescent="0.25">
      <c r="A28" t="s">
        <v>141</v>
      </c>
      <c r="B28" t="s">
        <v>142</v>
      </c>
      <c r="C28" s="11">
        <v>67.575325368368638</v>
      </c>
      <c r="D28" s="11">
        <v>84</v>
      </c>
      <c r="E28" s="4">
        <v>88.310679611650485</v>
      </c>
      <c r="F28" s="4">
        <v>50.625345982041111</v>
      </c>
      <c r="G28" s="4">
        <v>68.783024104259283</v>
      </c>
      <c r="H28" s="4">
        <v>69.646958725971274</v>
      </c>
      <c r="I28" s="4">
        <v>45.801054947503381</v>
      </c>
      <c r="J28" s="4">
        <v>63.599086038962113</v>
      </c>
      <c r="K28" s="4">
        <v>75.765306122448976</v>
      </c>
      <c r="L28" s="4">
        <v>71.292784427035144</v>
      </c>
      <c r="M28" s="4">
        <v>28.187955788577646</v>
      </c>
      <c r="N28" s="4">
        <v>68.205075868418518</v>
      </c>
      <c r="O28" s="4">
        <v>82.590496390559053</v>
      </c>
      <c r="P28" s="4">
        <v>87.658707880062124</v>
      </c>
      <c r="Q28" s="4">
        <v>96.978962170462907</v>
      </c>
      <c r="R28" s="4"/>
      <c r="S28" s="4">
        <v>58.659156014462248</v>
      </c>
      <c r="T28" s="4">
        <v>81.197191402477031</v>
      </c>
      <c r="U28" s="4">
        <v>65.11272526026336</v>
      </c>
    </row>
    <row r="29" spans="1:21" ht="15" x14ac:dyDescent="0.25">
      <c r="A29" t="s">
        <v>255</v>
      </c>
      <c r="B29" t="s">
        <v>256</v>
      </c>
      <c r="C29" s="11">
        <v>59.76542697969586</v>
      </c>
      <c r="D29" s="11">
        <v>120</v>
      </c>
      <c r="E29" s="4">
        <v>56.669408114686135</v>
      </c>
      <c r="F29" s="4">
        <v>36.59837825561025</v>
      </c>
      <c r="G29" s="4">
        <v>54.744765063212618</v>
      </c>
      <c r="H29" s="4">
        <v>88.312598513171608</v>
      </c>
      <c r="I29" s="4">
        <v>66.172792942203372</v>
      </c>
      <c r="J29" s="4">
        <v>60.583544224562786</v>
      </c>
      <c r="K29" s="4">
        <v>59.052414151351165</v>
      </c>
      <c r="L29" s="4">
        <v>63.468661090983701</v>
      </c>
      <c r="M29" s="4">
        <v>28.959684227705747</v>
      </c>
      <c r="N29" s="4">
        <v>0</v>
      </c>
      <c r="O29" s="4">
        <v>82.521656733753744</v>
      </c>
      <c r="P29" s="4">
        <v>67.36383507181155</v>
      </c>
      <c r="Q29" s="4">
        <v>71.507731105089135</v>
      </c>
      <c r="R29" s="4"/>
      <c r="S29" s="4">
        <v>71.701496679962844</v>
      </c>
      <c r="T29" s="4">
        <v>65.727251659031907</v>
      </c>
      <c r="U29" s="4">
        <v>88.117456948110032</v>
      </c>
    </row>
    <row r="30" spans="1:21" ht="15" x14ac:dyDescent="0.25">
      <c r="A30" t="s">
        <v>349</v>
      </c>
      <c r="B30" t="s">
        <v>350</v>
      </c>
      <c r="C30" s="11">
        <v>39.07514635713634</v>
      </c>
      <c r="D30" s="11">
        <v>162</v>
      </c>
      <c r="E30" s="4">
        <v>0</v>
      </c>
      <c r="F30" s="4">
        <v>40.910161579712515</v>
      </c>
      <c r="G30" s="4">
        <v>17.593064661414751</v>
      </c>
      <c r="H30" s="4">
        <v>10.302972582972586</v>
      </c>
      <c r="I30" s="4">
        <v>30.600320817605926</v>
      </c>
      <c r="J30" s="4">
        <v>47.992603752729948</v>
      </c>
      <c r="K30" s="4">
        <v>2.6870804126768975</v>
      </c>
      <c r="L30" s="4">
        <v>37.459337756175358</v>
      </c>
      <c r="M30" s="4">
        <v>1.8702216294934715</v>
      </c>
      <c r="N30" s="4">
        <v>19.281281216043823</v>
      </c>
      <c r="O30" s="4">
        <v>27.755061242306997</v>
      </c>
      <c r="P30" s="4">
        <v>96.143286838560698</v>
      </c>
      <c r="Q30" s="4">
        <v>99.383745132147595</v>
      </c>
      <c r="R30" s="4"/>
      <c r="S30" s="4">
        <v>89.938845418502439</v>
      </c>
      <c r="T30" s="4">
        <v>49.511114651100009</v>
      </c>
      <c r="U30" s="4">
        <v>38.337806506291777</v>
      </c>
    </row>
    <row r="31" spans="1:21" ht="15" x14ac:dyDescent="0.25">
      <c r="A31" t="s">
        <v>71</v>
      </c>
      <c r="B31" t="s">
        <v>72</v>
      </c>
      <c r="C31" s="11">
        <v>77.887427764344238</v>
      </c>
      <c r="D31" s="11">
        <v>20</v>
      </c>
      <c r="E31" s="4">
        <v>99.212776485062449</v>
      </c>
      <c r="F31" s="4">
        <v>60.204531958059135</v>
      </c>
      <c r="G31" s="4">
        <v>94.778542113079951</v>
      </c>
      <c r="H31" s="4">
        <v>99.918268398268381</v>
      </c>
      <c r="I31" s="4">
        <v>80.40124573240999</v>
      </c>
      <c r="J31" s="4">
        <v>84.215922574891238</v>
      </c>
      <c r="K31" s="4">
        <v>95.284095916962997</v>
      </c>
      <c r="L31" s="4">
        <v>84.02786015334236</v>
      </c>
      <c r="M31" s="4">
        <v>74.425806127915962</v>
      </c>
      <c r="N31" s="4">
        <v>78.846293100169007</v>
      </c>
      <c r="O31" s="4">
        <v>80.387343487155562</v>
      </c>
      <c r="P31" s="4">
        <v>50.1481398804493</v>
      </c>
      <c r="Q31" s="4">
        <v>68.492524384377191</v>
      </c>
      <c r="R31" s="4">
        <v>59.494982450076343</v>
      </c>
      <c r="S31" s="4">
        <v>60.735636908929976</v>
      </c>
      <c r="T31" s="4">
        <v>88.130376396776128</v>
      </c>
      <c r="U31" s="4">
        <v>65.381925925925927</v>
      </c>
    </row>
    <row r="32" spans="1:21" ht="15" x14ac:dyDescent="0.25">
      <c r="A32" t="s">
        <v>49</v>
      </c>
      <c r="B32" t="s">
        <v>50</v>
      </c>
      <c r="C32" s="11">
        <v>78.840287124145021</v>
      </c>
      <c r="D32" s="11">
        <v>17</v>
      </c>
      <c r="E32" s="4">
        <v>99.881007783037788</v>
      </c>
      <c r="F32" s="4">
        <v>62.616468191051887</v>
      </c>
      <c r="G32" s="4">
        <v>97.787278991099456</v>
      </c>
      <c r="H32" s="4">
        <v>91.870554930841507</v>
      </c>
      <c r="I32" s="4">
        <v>82.163718912592131</v>
      </c>
      <c r="J32" s="4">
        <v>95.48773236950997</v>
      </c>
      <c r="K32" s="4">
        <v>96.708812777439036</v>
      </c>
      <c r="L32" s="4">
        <v>79.790971396951079</v>
      </c>
      <c r="M32" s="4">
        <v>93.306582963854154</v>
      </c>
      <c r="N32" s="4">
        <v>80.006392572967101</v>
      </c>
      <c r="O32" s="4">
        <v>98.346551011978519</v>
      </c>
      <c r="P32" s="4">
        <v>27.910703023613632</v>
      </c>
      <c r="Q32" s="4">
        <v>88.946028533988454</v>
      </c>
      <c r="R32" s="4"/>
      <c r="S32" s="4">
        <v>57.74133128184976</v>
      </c>
      <c r="T32" s="4">
        <v>82.996948239215186</v>
      </c>
      <c r="U32" s="4">
        <v>53.316370370370372</v>
      </c>
    </row>
    <row r="33" spans="1:21" ht="15" x14ac:dyDescent="0.25">
      <c r="A33" t="s">
        <v>79</v>
      </c>
      <c r="B33" t="s">
        <v>80</v>
      </c>
      <c r="C33" s="11">
        <v>75.611488810501001</v>
      </c>
      <c r="D33" s="11">
        <v>31</v>
      </c>
      <c r="E33" s="4">
        <v>98.907980956965957</v>
      </c>
      <c r="F33" s="4">
        <v>63.323896302101538</v>
      </c>
      <c r="G33" s="4">
        <v>86.571584128548395</v>
      </c>
      <c r="H33" s="4">
        <v>92.762917856301499</v>
      </c>
      <c r="I33" s="4">
        <v>70.453127490297774</v>
      </c>
      <c r="J33" s="4">
        <v>96.576584352574741</v>
      </c>
      <c r="K33" s="4">
        <v>91.035372595501443</v>
      </c>
      <c r="L33" s="4">
        <v>80.653758827253938</v>
      </c>
      <c r="M33" s="4">
        <v>49.248349959790353</v>
      </c>
      <c r="N33" s="4">
        <v>27.315953751684912</v>
      </c>
      <c r="O33" s="4">
        <v>80.659347250987352</v>
      </c>
      <c r="P33" s="4">
        <v>72.450202628545256</v>
      </c>
      <c r="Q33" s="4">
        <v>94.672598110466168</v>
      </c>
      <c r="R33" s="4">
        <v>66.184716747846949</v>
      </c>
      <c r="S33" s="4">
        <v>59.256566212814008</v>
      </c>
      <c r="T33" s="4">
        <v>75.909019273503247</v>
      </c>
      <c r="U33" s="4">
        <v>79.413333333333327</v>
      </c>
    </row>
    <row r="34" spans="1:21" ht="15" x14ac:dyDescent="0.25">
      <c r="A34" t="s">
        <v>145</v>
      </c>
      <c r="B34" t="s">
        <v>146</v>
      </c>
      <c r="C34" s="11">
        <v>73.211408836015877</v>
      </c>
      <c r="D34" s="11">
        <v>39</v>
      </c>
      <c r="E34" s="4">
        <v>97.397817539918165</v>
      </c>
      <c r="F34" s="4">
        <v>71.932729235446118</v>
      </c>
      <c r="G34" s="4">
        <v>81.072757895582711</v>
      </c>
      <c r="H34" s="4">
        <v>99.673622262773733</v>
      </c>
      <c r="I34" s="4">
        <v>76.262285059365894</v>
      </c>
      <c r="J34" s="4">
        <v>71.753732793319301</v>
      </c>
      <c r="K34" s="4">
        <v>76.852799928235768</v>
      </c>
      <c r="L34" s="4">
        <v>87.424736264776556</v>
      </c>
      <c r="M34" s="4">
        <v>61.861737037523149</v>
      </c>
      <c r="N34" s="4">
        <v>59.5164396393467</v>
      </c>
      <c r="O34" s="4">
        <v>75.12611845001625</v>
      </c>
      <c r="P34" s="4">
        <v>81.97116780940614</v>
      </c>
      <c r="Q34" s="4">
        <v>92.024017898491792</v>
      </c>
      <c r="R34" s="4">
        <v>36.162851439001663</v>
      </c>
      <c r="S34" s="4">
        <v>62.726039566012425</v>
      </c>
      <c r="T34" s="4">
        <v>63.353459966021781</v>
      </c>
      <c r="U34" s="4">
        <v>49.481637427031821</v>
      </c>
    </row>
    <row r="35" spans="1:21" ht="15" x14ac:dyDescent="0.25">
      <c r="A35" t="s">
        <v>259</v>
      </c>
      <c r="B35" t="s">
        <v>260</v>
      </c>
      <c r="C35" s="11">
        <v>55.701777174030447</v>
      </c>
      <c r="D35" s="11">
        <v>129</v>
      </c>
      <c r="E35" s="4">
        <v>43.503476958463715</v>
      </c>
      <c r="F35" s="4">
        <v>48.550294722811913</v>
      </c>
      <c r="G35" s="4">
        <v>34.818403819189761</v>
      </c>
      <c r="H35" s="4">
        <v>39.787649877806011</v>
      </c>
      <c r="I35" s="4">
        <v>35.072763348262363</v>
      </c>
      <c r="J35" s="4">
        <v>51.887620684081938</v>
      </c>
      <c r="K35" s="4">
        <v>52.494295357329143</v>
      </c>
      <c r="L35" s="4">
        <v>74.993488208300008</v>
      </c>
      <c r="M35" s="4">
        <v>28.289653380305008</v>
      </c>
      <c r="N35" s="4">
        <v>46.662395772799641</v>
      </c>
      <c r="O35" s="4">
        <v>58.93255735109053</v>
      </c>
      <c r="P35" s="4">
        <v>96.247838326953257</v>
      </c>
      <c r="Q35" s="4">
        <v>99.43286567840731</v>
      </c>
      <c r="R35" s="4">
        <v>54.557885625216372</v>
      </c>
      <c r="S35" s="4">
        <v>76.033604112629988</v>
      </c>
      <c r="T35" s="4">
        <v>52.209438570369912</v>
      </c>
      <c r="U35" s="4">
        <v>53.455980164500694</v>
      </c>
    </row>
    <row r="36" spans="1:21" ht="15" x14ac:dyDescent="0.25">
      <c r="A36" t="s">
        <v>297</v>
      </c>
      <c r="B36" t="s">
        <v>298</v>
      </c>
      <c r="C36" s="11">
        <v>56.021188825248203</v>
      </c>
      <c r="D36" s="11">
        <v>127</v>
      </c>
      <c r="E36" s="4">
        <v>47.594198828532448</v>
      </c>
      <c r="F36" s="4">
        <v>56.646008559575094</v>
      </c>
      <c r="G36" s="4">
        <v>40.643905697005316</v>
      </c>
      <c r="H36" s="4">
        <v>63.795583488564525</v>
      </c>
      <c r="I36" s="4">
        <v>51.891194821717789</v>
      </c>
      <c r="J36" s="4">
        <v>52.531543604437573</v>
      </c>
      <c r="K36" s="4">
        <v>54.817241673139648</v>
      </c>
      <c r="L36" s="4">
        <v>68.018801831378667</v>
      </c>
      <c r="M36" s="4">
        <v>14.303236371748905</v>
      </c>
      <c r="N36" s="4">
        <v>43.189585712594045</v>
      </c>
      <c r="O36" s="4">
        <v>39.722697915671766</v>
      </c>
      <c r="P36" s="4">
        <v>94.861895908643206</v>
      </c>
      <c r="Q36" s="4">
        <v>97.901885747456134</v>
      </c>
      <c r="R36" s="4">
        <v>50.223369466685554</v>
      </c>
      <c r="S36" s="4">
        <v>68.553720414509485</v>
      </c>
      <c r="T36" s="4">
        <v>45.973989687559396</v>
      </c>
      <c r="U36" s="4">
        <v>61.691350299999996</v>
      </c>
    </row>
    <row r="37" spans="1:21" ht="15" x14ac:dyDescent="0.25">
      <c r="A37" t="s">
        <v>337</v>
      </c>
      <c r="B37" t="s">
        <v>338</v>
      </c>
      <c r="C37" s="11">
        <v>44.945578145170401</v>
      </c>
      <c r="D37" s="11">
        <v>160</v>
      </c>
      <c r="E37" s="4">
        <v>0.66115702479338412</v>
      </c>
      <c r="F37" s="4">
        <v>36.455816839689916</v>
      </c>
      <c r="G37" s="4">
        <v>37.749438013046642</v>
      </c>
      <c r="H37" s="4">
        <v>56.098913298913999</v>
      </c>
      <c r="I37" s="4">
        <v>37.171668508976701</v>
      </c>
      <c r="J37" s="4">
        <v>42.656584771766653</v>
      </c>
      <c r="K37" s="4">
        <v>35.228215099457415</v>
      </c>
      <c r="L37" s="4">
        <v>58.442228053245422</v>
      </c>
      <c r="M37" s="4">
        <v>2.3239781978687146</v>
      </c>
      <c r="N37" s="4">
        <v>58.934085469850352</v>
      </c>
      <c r="O37" s="4">
        <v>48.22201012191146</v>
      </c>
      <c r="P37" s="4">
        <v>94.699495562454004</v>
      </c>
      <c r="Q37" s="4">
        <v>99.224616830973602</v>
      </c>
      <c r="R37" s="4">
        <v>15.322128851540612</v>
      </c>
      <c r="S37" s="4">
        <v>65.353392086106211</v>
      </c>
      <c r="T37" s="4">
        <v>31.069904368092143</v>
      </c>
      <c r="U37" s="4">
        <v>44.461195369209747</v>
      </c>
    </row>
    <row r="38" spans="1:21" ht="15" x14ac:dyDescent="0.25">
      <c r="A38" t="s">
        <v>321</v>
      </c>
      <c r="B38" t="s">
        <v>322</v>
      </c>
      <c r="C38" s="11">
        <v>54.217520785813662</v>
      </c>
      <c r="D38" s="11">
        <v>132</v>
      </c>
      <c r="E38" s="4">
        <v>11.26721763085399</v>
      </c>
      <c r="F38" s="4">
        <v>42.835887807107277</v>
      </c>
      <c r="G38" s="4">
        <v>48.452518472733736</v>
      </c>
      <c r="H38" s="4">
        <v>57.713880440252865</v>
      </c>
      <c r="I38" s="4">
        <v>51.84152336464799</v>
      </c>
      <c r="J38" s="4">
        <v>38.32343745917585</v>
      </c>
      <c r="K38" s="4">
        <v>49.15936992060756</v>
      </c>
      <c r="L38" s="4">
        <v>56.342603500608448</v>
      </c>
      <c r="M38" s="4">
        <v>6.6820274581871812</v>
      </c>
      <c r="N38" s="4">
        <v>29.366017731142719</v>
      </c>
      <c r="O38" s="4">
        <v>57.925697033933325</v>
      </c>
      <c r="P38" s="4">
        <v>93.093615014185843</v>
      </c>
      <c r="Q38" s="4">
        <v>95.199296525221101</v>
      </c>
      <c r="R38" s="4">
        <v>59.289204053598965</v>
      </c>
      <c r="S38" s="4">
        <v>91.102385586355837</v>
      </c>
      <c r="T38" s="4">
        <v>53.001822160219554</v>
      </c>
      <c r="U38" s="4">
        <v>80.101349200000001</v>
      </c>
    </row>
    <row r="39" spans="1:21" ht="15" x14ac:dyDescent="0.25">
      <c r="A39" t="s">
        <v>171</v>
      </c>
      <c r="B39" t="s">
        <v>172</v>
      </c>
      <c r="C39" s="11">
        <v>69.570821927960509</v>
      </c>
      <c r="D39" s="11">
        <v>67</v>
      </c>
      <c r="E39" s="4">
        <v>85.82105699537297</v>
      </c>
      <c r="F39" s="4">
        <v>56.047281559656717</v>
      </c>
      <c r="G39" s="4">
        <v>79.294822583999505</v>
      </c>
      <c r="H39" s="4">
        <v>83.276991900104335</v>
      </c>
      <c r="I39" s="4">
        <v>70.456734266551237</v>
      </c>
      <c r="J39" s="4">
        <v>76.862851642035622</v>
      </c>
      <c r="K39" s="4">
        <v>91.019643478205907</v>
      </c>
      <c r="L39" s="4">
        <v>71.858113037571641</v>
      </c>
      <c r="M39" s="4">
        <v>31.774131531745514</v>
      </c>
      <c r="N39" s="4">
        <v>21.662847760697485</v>
      </c>
      <c r="O39" s="4">
        <v>81.556747119765092</v>
      </c>
      <c r="P39" s="4">
        <v>84.76195090491872</v>
      </c>
      <c r="Q39" s="4">
        <v>90.66370663368707</v>
      </c>
      <c r="R39" s="4">
        <v>74.914039254258142</v>
      </c>
      <c r="S39" s="4">
        <v>56.421642325185644</v>
      </c>
      <c r="T39" s="4">
        <v>58.311677518361613</v>
      </c>
      <c r="U39" s="4">
        <v>67.999734263211337</v>
      </c>
    </row>
    <row r="40" spans="1:21" ht="15" x14ac:dyDescent="0.25">
      <c r="A40" t="s">
        <v>327</v>
      </c>
      <c r="B40" t="s">
        <v>328</v>
      </c>
      <c r="C40" s="11">
        <v>52.980901245295875</v>
      </c>
      <c r="D40" s="11">
        <v>137</v>
      </c>
      <c r="E40" s="4">
        <v>49.16209312899516</v>
      </c>
      <c r="F40" s="4">
        <v>41.559316257940232</v>
      </c>
      <c r="G40" s="4">
        <v>50.433450586216807</v>
      </c>
      <c r="H40" s="4">
        <v>47.155786314915474</v>
      </c>
      <c r="I40" s="4">
        <v>32.098501063625449</v>
      </c>
      <c r="J40" s="4">
        <v>66.643161512595299</v>
      </c>
      <c r="K40" s="4">
        <v>41.557997735347811</v>
      </c>
      <c r="L40" s="4">
        <v>48.279978105899524</v>
      </c>
      <c r="M40" s="4">
        <v>10.388210286526116</v>
      </c>
      <c r="N40" s="4">
        <v>50.77316861757091</v>
      </c>
      <c r="O40" s="4">
        <v>76.170867965560973</v>
      </c>
      <c r="P40" s="4">
        <v>83.88688097367455</v>
      </c>
      <c r="Q40" s="4">
        <v>97.388939703791792</v>
      </c>
      <c r="R40" s="4">
        <v>28.312351298502495</v>
      </c>
      <c r="S40" s="4">
        <v>41.20347003741108</v>
      </c>
      <c r="T40" s="4">
        <v>67.585488414789467</v>
      </c>
      <c r="U40" s="4">
        <v>68.075659166666668</v>
      </c>
    </row>
    <row r="41" spans="1:21" ht="15" x14ac:dyDescent="0.25">
      <c r="A41" t="s">
        <v>197</v>
      </c>
      <c r="B41" t="s">
        <v>198</v>
      </c>
      <c r="C41" s="11">
        <v>65.050904824819895</v>
      </c>
      <c r="D41" s="11">
        <v>96</v>
      </c>
      <c r="E41" s="4">
        <v>54.267913022546736</v>
      </c>
      <c r="F41" s="4">
        <v>46.482480378137453</v>
      </c>
      <c r="G41" s="4">
        <v>73.297902291450825</v>
      </c>
      <c r="H41" s="4">
        <v>78.458502788766623</v>
      </c>
      <c r="I41" s="4">
        <v>65.384856195023545</v>
      </c>
      <c r="J41" s="4">
        <v>69.141642066282401</v>
      </c>
      <c r="K41" s="4">
        <v>81.165558571835959</v>
      </c>
      <c r="L41" s="4">
        <v>73.538134011160935</v>
      </c>
      <c r="M41" s="4">
        <v>25.661485493821345</v>
      </c>
      <c r="N41" s="4">
        <v>36.576022228724518</v>
      </c>
      <c r="O41" s="4">
        <v>81.003796335085383</v>
      </c>
      <c r="P41" s="4">
        <v>91.795760048341279</v>
      </c>
      <c r="Q41" s="4">
        <v>89.87492051718398</v>
      </c>
      <c r="R41" s="4">
        <v>45.50772451060142</v>
      </c>
      <c r="S41" s="4">
        <v>54.706425933889648</v>
      </c>
      <c r="T41" s="4">
        <v>74.447398893643467</v>
      </c>
      <c r="U41" s="4">
        <v>64.554858735442906</v>
      </c>
    </row>
    <row r="42" spans="1:21" ht="15" x14ac:dyDescent="0.25">
      <c r="A42" t="s">
        <v>123</v>
      </c>
      <c r="B42" t="s">
        <v>124</v>
      </c>
      <c r="C42" s="11">
        <v>74.975051876747514</v>
      </c>
      <c r="D42" s="11">
        <v>33</v>
      </c>
      <c r="E42" s="4">
        <v>97.59657920778838</v>
      </c>
      <c r="F42" s="4">
        <v>52.381890185345576</v>
      </c>
      <c r="G42" s="4">
        <v>85.825793610806201</v>
      </c>
      <c r="H42" s="4">
        <v>79.446234994210783</v>
      </c>
      <c r="I42" s="4">
        <v>82.266585363717923</v>
      </c>
      <c r="J42" s="4">
        <v>75.406545396084454</v>
      </c>
      <c r="K42" s="4">
        <v>94.119823118914312</v>
      </c>
      <c r="L42" s="4">
        <v>77.919586618555741</v>
      </c>
      <c r="M42" s="4">
        <v>41.510321417951808</v>
      </c>
      <c r="N42" s="4">
        <v>34.738956706624634</v>
      </c>
      <c r="O42" s="4">
        <v>90.151349800808944</v>
      </c>
      <c r="P42" s="4">
        <v>82.742560757232312</v>
      </c>
      <c r="Q42" s="4">
        <v>93.443444109746224</v>
      </c>
      <c r="R42" s="4">
        <v>66.170375308459469</v>
      </c>
      <c r="S42" s="4">
        <v>67.211231635326584</v>
      </c>
      <c r="T42" s="4">
        <v>74.468070607247711</v>
      </c>
      <c r="U42" s="4">
        <v>79.176533065886701</v>
      </c>
    </row>
    <row r="43" spans="1:21" ht="15" x14ac:dyDescent="0.25">
      <c r="A43" t="s">
        <v>111</v>
      </c>
      <c r="B43" t="s">
        <v>112</v>
      </c>
      <c r="C43" s="11">
        <v>70.819126415963197</v>
      </c>
      <c r="D43" s="11">
        <v>56</v>
      </c>
      <c r="E43" s="4"/>
      <c r="F43" s="4">
        <v>64.882190510180649</v>
      </c>
      <c r="G43" s="4">
        <v>85.191190062098528</v>
      </c>
      <c r="H43" s="4">
        <v>96.053957208469129</v>
      </c>
      <c r="I43" s="4">
        <v>82.417384680445593</v>
      </c>
      <c r="J43" s="4">
        <v>73.746833108659956</v>
      </c>
      <c r="K43" s="4">
        <v>85.074407297750312</v>
      </c>
      <c r="L43" s="4">
        <v>90.609123512854126</v>
      </c>
      <c r="M43" s="4">
        <v>12.433430477712522</v>
      </c>
      <c r="N43" s="4"/>
      <c r="O43" s="4">
        <v>56.097356215262614</v>
      </c>
      <c r="P43" s="4">
        <v>90.609091465807893</v>
      </c>
      <c r="Q43" s="4">
        <v>56.723562906534774</v>
      </c>
      <c r="R43" s="4">
        <v>60.057191331507113</v>
      </c>
      <c r="S43" s="4">
        <v>68.343653247087303</v>
      </c>
      <c r="T43" s="4">
        <v>63.274976102872436</v>
      </c>
      <c r="U43" s="4">
        <v>100</v>
      </c>
    </row>
    <row r="44" spans="1:21" ht="15" x14ac:dyDescent="0.25">
      <c r="A44" t="s">
        <v>137</v>
      </c>
      <c r="B44" t="s">
        <v>138</v>
      </c>
      <c r="C44" s="11">
        <v>70.144018017816066</v>
      </c>
      <c r="D44" s="11">
        <v>61</v>
      </c>
      <c r="E44" s="4">
        <v>99.881007783037788</v>
      </c>
      <c r="F44" s="4">
        <v>52.541279302608949</v>
      </c>
      <c r="G44" s="4">
        <v>92.829316649315757</v>
      </c>
      <c r="H44" s="4">
        <v>97.022258582673047</v>
      </c>
      <c r="I44" s="4">
        <v>71.282977254044297</v>
      </c>
      <c r="J44" s="4">
        <v>70.134685543895102</v>
      </c>
      <c r="K44" s="4">
        <v>92.217799320356349</v>
      </c>
      <c r="L44" s="4">
        <v>74.520207805498217</v>
      </c>
      <c r="M44" s="4">
        <v>54.262891331569655</v>
      </c>
      <c r="N44" s="4">
        <v>77.358082650412967</v>
      </c>
      <c r="O44" s="4">
        <v>77.693532908518506</v>
      </c>
      <c r="P44" s="4">
        <v>41.723252950850394</v>
      </c>
      <c r="Q44" s="4">
        <v>72.242265208631068</v>
      </c>
      <c r="R44" s="4">
        <v>32.790066332941116</v>
      </c>
      <c r="S44" s="4">
        <v>77.485731945856159</v>
      </c>
      <c r="T44" s="4">
        <v>81.21839708821922</v>
      </c>
      <c r="U44" s="4">
        <v>27.244553644444448</v>
      </c>
    </row>
    <row r="45" spans="1:21" ht="15" x14ac:dyDescent="0.25">
      <c r="A45" t="s">
        <v>435</v>
      </c>
      <c r="B45" t="s">
        <v>36</v>
      </c>
      <c r="C45" s="11">
        <v>80.736232957988889</v>
      </c>
      <c r="D45" s="11">
        <v>7</v>
      </c>
      <c r="E45" s="4">
        <v>99.405038915188953</v>
      </c>
      <c r="F45" s="4">
        <v>63.102433260315237</v>
      </c>
      <c r="G45" s="4">
        <v>92.409556651983607</v>
      </c>
      <c r="H45" s="4">
        <v>96.279085365853646</v>
      </c>
      <c r="I45" s="4">
        <v>71.071499264425015</v>
      </c>
      <c r="J45" s="4">
        <v>87.952708615942768</v>
      </c>
      <c r="K45" s="4">
        <v>91.797542410263645</v>
      </c>
      <c r="L45" s="4">
        <v>85.142633642537191</v>
      </c>
      <c r="M45" s="4">
        <v>63.207014748281388</v>
      </c>
      <c r="N45" s="4">
        <v>92.271156378195315</v>
      </c>
      <c r="O45" s="4">
        <v>89.405911678842742</v>
      </c>
      <c r="P45" s="4">
        <v>70.750038839864288</v>
      </c>
      <c r="Q45" s="4">
        <v>89.056873652403297</v>
      </c>
      <c r="R45" s="4"/>
      <c r="S45" s="4">
        <v>91.028902951588023</v>
      </c>
      <c r="T45" s="4">
        <v>82.711395409280215</v>
      </c>
      <c r="U45" s="4">
        <v>55.516740740740737</v>
      </c>
    </row>
    <row r="46" spans="1:21" ht="15" x14ac:dyDescent="0.25">
      <c r="A46" t="s">
        <v>27</v>
      </c>
      <c r="B46" t="s">
        <v>28</v>
      </c>
      <c r="C46" s="11">
        <v>81.067212633820958</v>
      </c>
      <c r="D46" s="11">
        <v>6</v>
      </c>
      <c r="E46" s="4">
        <v>99.636136296771781</v>
      </c>
      <c r="F46" s="4">
        <v>68.685315827289045</v>
      </c>
      <c r="G46" s="4">
        <v>94.797366851135521</v>
      </c>
      <c r="H46" s="4">
        <v>88.975666508288455</v>
      </c>
      <c r="I46" s="4">
        <v>77.00055992892014</v>
      </c>
      <c r="J46" s="4">
        <v>89.448023279906423</v>
      </c>
      <c r="K46" s="4">
        <v>93.243680635169497</v>
      </c>
      <c r="L46" s="4">
        <v>84.373300064440812</v>
      </c>
      <c r="M46" s="4">
        <v>80.449243634130866</v>
      </c>
      <c r="N46" s="4">
        <v>83.407861749890827</v>
      </c>
      <c r="O46" s="4">
        <v>90.862614596583398</v>
      </c>
      <c r="P46" s="4">
        <v>47.373186211225125</v>
      </c>
      <c r="Q46" s="4">
        <v>90.215886988898291</v>
      </c>
      <c r="R46" s="4">
        <v>40.535053993448145</v>
      </c>
      <c r="S46" s="4">
        <v>82.55687984336177</v>
      </c>
      <c r="T46" s="4">
        <v>83.43572725438473</v>
      </c>
      <c r="U46" s="4">
        <v>83.146111111111111</v>
      </c>
    </row>
    <row r="47" spans="1:21" ht="15" x14ac:dyDescent="0.25">
      <c r="A47" t="s">
        <v>319</v>
      </c>
      <c r="B47" t="s">
        <v>320</v>
      </c>
      <c r="C47" s="11">
        <v>51.362368233286702</v>
      </c>
      <c r="D47" s="11">
        <v>148</v>
      </c>
      <c r="E47" s="4">
        <v>55.347361523442721</v>
      </c>
      <c r="F47" s="4">
        <v>39.598273115828121</v>
      </c>
      <c r="G47" s="4">
        <v>51.207610825044576</v>
      </c>
      <c r="H47" s="4">
        <v>19.296704202301768</v>
      </c>
      <c r="I47" s="4">
        <v>49.682006686307467</v>
      </c>
      <c r="J47" s="4">
        <v>41.538515172342429</v>
      </c>
      <c r="K47" s="4">
        <v>28.334971215540214</v>
      </c>
      <c r="L47" s="4">
        <v>62.178966144073442</v>
      </c>
      <c r="M47" s="4">
        <v>22.910864016009619</v>
      </c>
      <c r="N47" s="4">
        <v>53.239436619718305</v>
      </c>
      <c r="O47" s="4">
        <v>70.54990718147684</v>
      </c>
      <c r="P47" s="4">
        <v>95.230085109022951</v>
      </c>
      <c r="Q47" s="4">
        <v>90.937300482654692</v>
      </c>
      <c r="R47" s="4">
        <v>14.915966386554619</v>
      </c>
      <c r="S47" s="4">
        <v>36.998221474779307</v>
      </c>
      <c r="T47" s="4">
        <v>67.535169544110232</v>
      </c>
      <c r="U47" s="4">
        <v>73.658900266666677</v>
      </c>
    </row>
    <row r="48" spans="1:21" ht="15" x14ac:dyDescent="0.25">
      <c r="A48" t="s">
        <v>357</v>
      </c>
      <c r="B48" t="s">
        <v>358</v>
      </c>
      <c r="C48" s="11"/>
      <c r="D48" s="11"/>
      <c r="E48" s="4"/>
      <c r="F48" s="4"/>
      <c r="G48" s="4"/>
      <c r="H48" s="4"/>
      <c r="I48" s="4"/>
      <c r="J48" s="4"/>
      <c r="K48" s="4"/>
      <c r="L48" s="4"/>
      <c r="M48" s="4"/>
      <c r="N48" s="4"/>
      <c r="O48" s="4"/>
      <c r="P48" s="4"/>
      <c r="Q48" s="4"/>
      <c r="R48" s="4"/>
      <c r="S48" s="4"/>
      <c r="T48" s="4"/>
      <c r="U48" s="4"/>
    </row>
    <row r="49" spans="1:21" ht="15" x14ac:dyDescent="0.25">
      <c r="A49" t="s">
        <v>25</v>
      </c>
      <c r="B49" t="s">
        <v>26</v>
      </c>
      <c r="C49" s="11">
        <v>85.217772894723552</v>
      </c>
      <c r="D49" s="11">
        <v>1</v>
      </c>
      <c r="E49" s="4">
        <v>99.569753135949071</v>
      </c>
      <c r="F49" s="4">
        <v>68.289578413517589</v>
      </c>
      <c r="G49" s="4">
        <v>96.107051264227593</v>
      </c>
      <c r="H49" s="4">
        <v>98.251054350121422</v>
      </c>
      <c r="I49" s="4">
        <v>84.829951596031492</v>
      </c>
      <c r="J49" s="4">
        <v>90.748756361505258</v>
      </c>
      <c r="K49" s="4">
        <v>93.641149352227515</v>
      </c>
      <c r="L49" s="4">
        <v>83.913169634811197</v>
      </c>
      <c r="M49" s="4">
        <v>88.089764825746556</v>
      </c>
      <c r="N49" s="4">
        <v>96.485658094916545</v>
      </c>
      <c r="O49" s="4">
        <v>90.178631846379744</v>
      </c>
      <c r="P49" s="4">
        <v>49.750182734284742</v>
      </c>
      <c r="Q49" s="4">
        <v>90.155694091351847</v>
      </c>
      <c r="R49" s="4">
        <v>48.874939599860227</v>
      </c>
      <c r="S49" s="4">
        <v>87.171787166119316</v>
      </c>
      <c r="T49" s="4">
        <v>92.811350076583594</v>
      </c>
      <c r="U49" s="4">
        <v>89.833666666666659</v>
      </c>
    </row>
    <row r="50" spans="1:21" ht="15" x14ac:dyDescent="0.25">
      <c r="A50" t="s">
        <v>143</v>
      </c>
      <c r="B50" t="s">
        <v>144</v>
      </c>
      <c r="C50" s="11">
        <v>69.761908656477573</v>
      </c>
      <c r="D50" s="11">
        <v>64</v>
      </c>
      <c r="E50" s="4">
        <v>94.976517157452733</v>
      </c>
      <c r="F50" s="4">
        <v>55.566483473665812</v>
      </c>
      <c r="G50" s="4">
        <v>66.611866639465561</v>
      </c>
      <c r="H50" s="4">
        <v>84.661961546850279</v>
      </c>
      <c r="I50" s="4">
        <v>73.28477667065394</v>
      </c>
      <c r="J50" s="4">
        <v>72.318389299466688</v>
      </c>
      <c r="K50" s="4">
        <v>89.716228103457013</v>
      </c>
      <c r="L50" s="4">
        <v>78.600330216970249</v>
      </c>
      <c r="M50" s="4">
        <v>27.634631443618623</v>
      </c>
      <c r="N50" s="4">
        <v>32.799513910857726</v>
      </c>
      <c r="O50" s="4">
        <v>80.037428823277537</v>
      </c>
      <c r="P50" s="4">
        <v>85.954358613939263</v>
      </c>
      <c r="Q50" s="4">
        <v>88.899459637096115</v>
      </c>
      <c r="R50" s="4">
        <v>67.836047503530565</v>
      </c>
      <c r="S50" s="4">
        <v>75.176208462210454</v>
      </c>
      <c r="T50" s="4">
        <v>51.948689755984361</v>
      </c>
      <c r="U50" s="4">
        <v>59.929555901621498</v>
      </c>
    </row>
    <row r="51" spans="1:21" ht="15" x14ac:dyDescent="0.25">
      <c r="A51" t="s">
        <v>161</v>
      </c>
      <c r="B51" t="s">
        <v>162</v>
      </c>
      <c r="C51" s="11">
        <v>71.099705756448813</v>
      </c>
      <c r="D51" s="11">
        <v>53</v>
      </c>
      <c r="E51" s="4">
        <v>97.841932119072453</v>
      </c>
      <c r="F51" s="4">
        <v>52.656537507574399</v>
      </c>
      <c r="G51" s="4">
        <v>75.479144235304474</v>
      </c>
      <c r="H51" s="4">
        <v>85.932095317733911</v>
      </c>
      <c r="I51" s="4">
        <v>51.107011828474292</v>
      </c>
      <c r="J51" s="4">
        <v>63.558489466815331</v>
      </c>
      <c r="K51" s="4">
        <v>85.910418157472634</v>
      </c>
      <c r="L51" s="4">
        <v>69.69287630521481</v>
      </c>
      <c r="M51" s="4">
        <v>29.827020185462739</v>
      </c>
      <c r="N51" s="4">
        <v>88.736777238442869</v>
      </c>
      <c r="O51" s="4">
        <v>66.611666937938438</v>
      </c>
      <c r="P51" s="4">
        <v>86.535609334221974</v>
      </c>
      <c r="Q51" s="4">
        <v>94.277237098703324</v>
      </c>
      <c r="R51" s="4">
        <v>41.868637966140881</v>
      </c>
      <c r="S51" s="4">
        <v>63.229604255512967</v>
      </c>
      <c r="T51" s="4">
        <v>72.402871749988961</v>
      </c>
      <c r="U51" s="4">
        <v>83.027068155555554</v>
      </c>
    </row>
    <row r="52" spans="1:21" ht="15" x14ac:dyDescent="0.25">
      <c r="A52" t="s">
        <v>167</v>
      </c>
      <c r="B52" t="s">
        <v>168</v>
      </c>
      <c r="C52" s="11">
        <v>72.291182155823691</v>
      </c>
      <c r="D52" s="11">
        <v>46</v>
      </c>
      <c r="E52" s="4">
        <v>88.151782609858515</v>
      </c>
      <c r="F52" s="4">
        <v>47.763176327586294</v>
      </c>
      <c r="G52" s="4">
        <v>76.994656455422202</v>
      </c>
      <c r="H52" s="4">
        <v>93.184582819856544</v>
      </c>
      <c r="I52" s="4">
        <v>76.770836053641162</v>
      </c>
      <c r="J52" s="4">
        <v>73.448708698105179</v>
      </c>
      <c r="K52" s="4">
        <v>90.156471205939468</v>
      </c>
      <c r="L52" s="4">
        <v>75.357654419863337</v>
      </c>
      <c r="M52" s="4">
        <v>27.005109564588992</v>
      </c>
      <c r="N52" s="4">
        <v>35.456613419761119</v>
      </c>
      <c r="O52" s="4">
        <v>90.449794136702678</v>
      </c>
      <c r="P52" s="4">
        <v>84.834711532447983</v>
      </c>
      <c r="Q52" s="4">
        <v>93.892304495421172</v>
      </c>
      <c r="R52" s="4">
        <v>70.201065789505094</v>
      </c>
      <c r="S52" s="4">
        <v>60.051300028496698</v>
      </c>
      <c r="T52" s="4">
        <v>64.425570425139767</v>
      </c>
      <c r="U52" s="4">
        <v>80.805758666666677</v>
      </c>
    </row>
    <row r="53" spans="1:21" ht="15" x14ac:dyDescent="0.25">
      <c r="A53" t="s">
        <v>181</v>
      </c>
      <c r="B53" t="s">
        <v>182</v>
      </c>
      <c r="C53" s="11">
        <v>66.206090938231611</v>
      </c>
      <c r="D53" s="11">
        <v>92</v>
      </c>
      <c r="E53" s="4">
        <v>90.411685255021524</v>
      </c>
      <c r="F53" s="4">
        <v>55.968581211445589</v>
      </c>
      <c r="G53" s="4">
        <v>68.861867847924628</v>
      </c>
      <c r="H53" s="4">
        <v>82.927153904183356</v>
      </c>
      <c r="I53" s="4">
        <v>46.127633481788109</v>
      </c>
      <c r="J53" s="4">
        <v>62.343628524020097</v>
      </c>
      <c r="K53" s="4">
        <v>92.778449976127447</v>
      </c>
      <c r="L53" s="4">
        <v>63.58257428383034</v>
      </c>
      <c r="M53" s="4">
        <v>32.074848019001095</v>
      </c>
      <c r="N53" s="4">
        <v>37.394671037163533</v>
      </c>
      <c r="O53" s="4">
        <v>59.653437789873884</v>
      </c>
      <c r="P53" s="4">
        <v>82.866330749737799</v>
      </c>
      <c r="Q53" s="4">
        <v>97.8262138641538</v>
      </c>
      <c r="R53" s="4">
        <v>56.563549789659611</v>
      </c>
      <c r="S53" s="4">
        <v>68.406969157101827</v>
      </c>
      <c r="T53" s="4">
        <v>70.226330126519855</v>
      </c>
      <c r="U53" s="4">
        <v>57.489620932384945</v>
      </c>
    </row>
    <row r="54" spans="1:21" ht="15" x14ac:dyDescent="0.25">
      <c r="A54" t="s">
        <v>359</v>
      </c>
      <c r="B54" t="s">
        <v>360</v>
      </c>
      <c r="C54" s="11"/>
      <c r="D54" s="11"/>
      <c r="E54" s="4"/>
      <c r="F54" s="4"/>
      <c r="G54" s="4"/>
      <c r="H54" s="4"/>
      <c r="I54" s="4"/>
      <c r="J54" s="4"/>
      <c r="K54" s="4"/>
      <c r="L54" s="4"/>
      <c r="M54" s="4"/>
      <c r="N54" s="4"/>
      <c r="O54" s="4"/>
      <c r="P54" s="4"/>
      <c r="Q54" s="4"/>
      <c r="R54" s="4"/>
      <c r="S54" s="4"/>
      <c r="T54" s="4"/>
      <c r="U54" s="4"/>
    </row>
    <row r="55" spans="1:21" ht="15" x14ac:dyDescent="0.25">
      <c r="A55" t="s">
        <v>51</v>
      </c>
      <c r="B55" t="s">
        <v>52</v>
      </c>
      <c r="C55" s="11">
        <v>77.840504742837652</v>
      </c>
      <c r="D55" s="11">
        <v>21</v>
      </c>
      <c r="E55" s="4">
        <v>98.061354943967473</v>
      </c>
      <c r="F55" s="4">
        <v>56.171765408367385</v>
      </c>
      <c r="G55" s="4">
        <v>95.439559011676891</v>
      </c>
      <c r="H55" s="4">
        <v>95.357458599833876</v>
      </c>
      <c r="I55" s="4">
        <v>82.731451426376992</v>
      </c>
      <c r="J55" s="4">
        <v>88.072122960454124</v>
      </c>
      <c r="K55" s="4">
        <v>94.720993635917196</v>
      </c>
      <c r="L55" s="4">
        <v>75.201933831095772</v>
      </c>
      <c r="M55" s="4">
        <v>68.051747844647181</v>
      </c>
      <c r="N55" s="4">
        <v>69.158557099355775</v>
      </c>
      <c r="O55" s="4">
        <v>89.053396203416597</v>
      </c>
      <c r="P55" s="4">
        <v>53.410244943186292</v>
      </c>
      <c r="Q55" s="4">
        <v>93.342609617996231</v>
      </c>
      <c r="R55" s="4">
        <v>59.424271387551954</v>
      </c>
      <c r="S55" s="4">
        <v>65.40953153157335</v>
      </c>
      <c r="T55" s="4">
        <v>80.593841442082777</v>
      </c>
      <c r="U55" s="4">
        <v>59.087740740740742</v>
      </c>
    </row>
    <row r="56" spans="1:21" ht="15" x14ac:dyDescent="0.25">
      <c r="A56" t="s">
        <v>39</v>
      </c>
      <c r="B56" t="s">
        <v>40</v>
      </c>
      <c r="C56" s="11">
        <v>80.220064514838782</v>
      </c>
      <c r="D56" s="11">
        <v>10</v>
      </c>
      <c r="E56" s="4">
        <v>99.677458610821361</v>
      </c>
      <c r="F56" s="4">
        <v>58.339418190459341</v>
      </c>
      <c r="G56" s="4">
        <v>88.816986888160827</v>
      </c>
      <c r="H56" s="4">
        <v>95.267596928618829</v>
      </c>
      <c r="I56" s="4">
        <v>75.289576130584607</v>
      </c>
      <c r="J56" s="4">
        <v>89.718840716119118</v>
      </c>
      <c r="K56" s="4">
        <v>88.938508924000573</v>
      </c>
      <c r="L56" s="4">
        <v>84.811558090459002</v>
      </c>
      <c r="M56" s="4">
        <v>61.502854602905138</v>
      </c>
      <c r="N56" s="4">
        <v>72.248864845490786</v>
      </c>
      <c r="O56" s="4">
        <v>90.297834610934274</v>
      </c>
      <c r="P56" s="4">
        <v>58.696968170449658</v>
      </c>
      <c r="Q56" s="4">
        <v>85.0328475570725</v>
      </c>
      <c r="R56" s="4">
        <v>81.30170678245446</v>
      </c>
      <c r="S56" s="4">
        <v>90.510669585629259</v>
      </c>
      <c r="T56" s="4">
        <v>87.757369081062649</v>
      </c>
      <c r="U56" s="4">
        <v>55.532037037037043</v>
      </c>
    </row>
    <row r="57" spans="1:21" ht="15" x14ac:dyDescent="0.25">
      <c r="A57" t="s">
        <v>307</v>
      </c>
      <c r="B57" t="s">
        <v>308</v>
      </c>
      <c r="C57" s="11">
        <v>53.249914219757763</v>
      </c>
      <c r="D57" s="11">
        <v>135</v>
      </c>
      <c r="E57" s="4">
        <v>32.534435261707991</v>
      </c>
      <c r="F57" s="4">
        <v>48.590524728990658</v>
      </c>
      <c r="G57" s="4">
        <v>44.629193458408388</v>
      </c>
      <c r="H57" s="4">
        <v>33.495882862039345</v>
      </c>
      <c r="I57" s="4">
        <v>53.314885291937642</v>
      </c>
      <c r="J57" s="4">
        <v>39.431877035585558</v>
      </c>
      <c r="K57" s="4">
        <v>40.678327688953374</v>
      </c>
      <c r="L57" s="4">
        <v>71.423676096208936</v>
      </c>
      <c r="M57" s="4">
        <v>9.9558998744136691</v>
      </c>
      <c r="N57" s="4">
        <v>67.323943661971825</v>
      </c>
      <c r="O57" s="4">
        <v>60.564523234105515</v>
      </c>
      <c r="P57" s="4">
        <v>98.032342791439206</v>
      </c>
      <c r="Q57" s="4">
        <v>95.710345785108444</v>
      </c>
      <c r="R57" s="4"/>
      <c r="S57" s="4">
        <v>56.662575754281121</v>
      </c>
      <c r="T57" s="4">
        <v>51.621903070638339</v>
      </c>
      <c r="U57" s="4">
        <v>46.767621266508961</v>
      </c>
    </row>
    <row r="58" spans="1:21" ht="15" x14ac:dyDescent="0.25">
      <c r="A58" t="s">
        <v>21</v>
      </c>
      <c r="B58" t="s">
        <v>22</v>
      </c>
      <c r="C58" s="11">
        <v>82.822046633502737</v>
      </c>
      <c r="D58" s="11">
        <v>3</v>
      </c>
      <c r="E58" s="4">
        <v>99.838107464762373</v>
      </c>
      <c r="F58" s="4">
        <v>58.218859915741476</v>
      </c>
      <c r="G58" s="4">
        <v>96.22854920110467</v>
      </c>
      <c r="H58" s="4">
        <v>98.888920177383596</v>
      </c>
      <c r="I58" s="4">
        <v>89.240131604126333</v>
      </c>
      <c r="J58" s="4">
        <v>92.59949724254929</v>
      </c>
      <c r="K58" s="4">
        <v>96.39067090843794</v>
      </c>
      <c r="L58" s="4">
        <v>82.531691834039194</v>
      </c>
      <c r="M58" s="4">
        <v>83.662412572469847</v>
      </c>
      <c r="N58" s="4">
        <v>97.860283918783693</v>
      </c>
      <c r="O58" s="4">
        <v>88.311248620688161</v>
      </c>
      <c r="P58" s="4">
        <v>48.718495616040776</v>
      </c>
      <c r="Q58" s="4">
        <v>70.982365997186577</v>
      </c>
      <c r="R58" s="4">
        <v>55.467864541574627</v>
      </c>
      <c r="S58" s="4">
        <v>82.132846486606269</v>
      </c>
      <c r="T58" s="4">
        <v>92.939994816199587</v>
      </c>
      <c r="U58" s="4">
        <v>73.962851851851852</v>
      </c>
    </row>
    <row r="59" spans="1:21" ht="15" x14ac:dyDescent="0.25">
      <c r="A59" t="s">
        <v>133</v>
      </c>
      <c r="B59" t="s">
        <v>134</v>
      </c>
      <c r="C59" s="11">
        <v>70.070842083604262</v>
      </c>
      <c r="D59" s="11">
        <v>62</v>
      </c>
      <c r="E59" s="4">
        <v>90.984741501511138</v>
      </c>
      <c r="F59" s="4">
        <v>55.811474702874456</v>
      </c>
      <c r="G59" s="4">
        <v>73.902745921694247</v>
      </c>
      <c r="H59" s="4">
        <v>95.067527557808049</v>
      </c>
      <c r="I59" s="4">
        <v>57.601863224911618</v>
      </c>
      <c r="J59" s="4">
        <v>76.622487109657271</v>
      </c>
      <c r="K59" s="4">
        <v>68.418518056128889</v>
      </c>
      <c r="L59" s="4">
        <v>79.878740287595448</v>
      </c>
      <c r="M59" s="4">
        <v>27.378131590059905</v>
      </c>
      <c r="N59" s="4">
        <v>74.084507042253506</v>
      </c>
      <c r="O59" s="4">
        <v>95.603173335301904</v>
      </c>
      <c r="P59" s="4">
        <v>83.62059966906989</v>
      </c>
      <c r="Q59" s="4">
        <v>70.074792424558453</v>
      </c>
      <c r="R59" s="4">
        <v>50.599453280666914</v>
      </c>
      <c r="S59" s="4">
        <v>38.714768038915096</v>
      </c>
      <c r="T59" s="4">
        <v>86.81791843333545</v>
      </c>
      <c r="U59" s="4">
        <v>66.022873244930182</v>
      </c>
    </row>
    <row r="60" spans="1:21" ht="15" x14ac:dyDescent="0.25">
      <c r="A60" t="s">
        <v>31</v>
      </c>
      <c r="B60" t="s">
        <v>32</v>
      </c>
      <c r="C60" s="11">
        <v>81.493399146215395</v>
      </c>
      <c r="D60" s="11">
        <v>4</v>
      </c>
      <c r="E60" s="4">
        <v>99.543448607879327</v>
      </c>
      <c r="F60" s="4">
        <v>66.026262985373762</v>
      </c>
      <c r="G60" s="4">
        <v>94.262540093699457</v>
      </c>
      <c r="H60" s="4">
        <v>97.391036796536795</v>
      </c>
      <c r="I60" s="4">
        <v>86.506250814348192</v>
      </c>
      <c r="J60" s="4">
        <v>87.906934672423063</v>
      </c>
      <c r="K60" s="4">
        <v>96.955929506086704</v>
      </c>
      <c r="L60" s="4">
        <v>78.067747126260528</v>
      </c>
      <c r="M60" s="4">
        <v>73.630996382103987</v>
      </c>
      <c r="N60" s="4">
        <v>85.645814680717365</v>
      </c>
      <c r="O60" s="4">
        <v>87.040456406480487</v>
      </c>
      <c r="P60" s="4">
        <v>53.407043429642421</v>
      </c>
      <c r="Q60" s="4">
        <v>86.364460773392381</v>
      </c>
      <c r="R60" s="4">
        <v>64.225828630142558</v>
      </c>
      <c r="S60" s="4">
        <v>76.671024961339839</v>
      </c>
      <c r="T60" s="4">
        <v>76.602713322938371</v>
      </c>
      <c r="U60" s="4">
        <v>75.139296296296308</v>
      </c>
    </row>
    <row r="61" spans="1:21" ht="15" x14ac:dyDescent="0.25">
      <c r="A61" t="s">
        <v>361</v>
      </c>
      <c r="B61" t="s">
        <v>362</v>
      </c>
      <c r="C61" s="11"/>
      <c r="D61" s="11"/>
      <c r="E61" s="4"/>
      <c r="F61" s="4"/>
      <c r="G61" s="4"/>
      <c r="H61" s="4"/>
      <c r="I61" s="4"/>
      <c r="J61" s="4"/>
      <c r="K61" s="4"/>
      <c r="L61" s="4"/>
      <c r="M61" s="4"/>
      <c r="N61" s="4"/>
      <c r="O61" s="4"/>
      <c r="P61" s="4"/>
      <c r="Q61" s="4"/>
      <c r="R61" s="4"/>
      <c r="S61" s="4"/>
      <c r="T61" s="4"/>
      <c r="U61" s="4"/>
    </row>
    <row r="62" spans="1:21" ht="15" x14ac:dyDescent="0.25">
      <c r="A62" t="s">
        <v>245</v>
      </c>
      <c r="B62" t="s">
        <v>246</v>
      </c>
      <c r="C62" s="11">
        <v>64.764913085220954</v>
      </c>
      <c r="D62" s="11">
        <v>99</v>
      </c>
      <c r="E62" s="4">
        <v>85.901508465056565</v>
      </c>
      <c r="F62" s="4">
        <v>52.712837755477899</v>
      </c>
      <c r="G62" s="4">
        <v>50.269011640451545</v>
      </c>
      <c r="H62" s="4">
        <v>79.022153284671546</v>
      </c>
      <c r="I62" s="4">
        <v>46.282302690746562</v>
      </c>
      <c r="J62" s="4">
        <v>61.692400215825955</v>
      </c>
      <c r="K62" s="4">
        <v>80.792889991028332</v>
      </c>
      <c r="L62" s="4">
        <v>62.911100954223272</v>
      </c>
      <c r="M62" s="4">
        <v>29.309398409635197</v>
      </c>
      <c r="N62" s="4">
        <v>46.961418004103109</v>
      </c>
      <c r="O62" s="4">
        <v>54.015590114016867</v>
      </c>
      <c r="P62" s="4">
        <v>91.097286753990034</v>
      </c>
      <c r="Q62" s="4">
        <v>94.661230934472428</v>
      </c>
      <c r="R62" s="4">
        <v>62.821106764186155</v>
      </c>
      <c r="S62" s="4">
        <v>85.486608649882129</v>
      </c>
      <c r="T62" s="4">
        <v>53.122116520988783</v>
      </c>
      <c r="U62" s="4">
        <v>63.944561300000004</v>
      </c>
    </row>
    <row r="63" spans="1:21" ht="15" x14ac:dyDescent="0.25">
      <c r="A63" t="s">
        <v>41</v>
      </c>
      <c r="B63" t="s">
        <v>42</v>
      </c>
      <c r="C63" s="11">
        <v>79.3759676753142</v>
      </c>
      <c r="D63" s="11">
        <v>13</v>
      </c>
      <c r="E63" s="4">
        <v>99.692810719730403</v>
      </c>
      <c r="F63" s="4">
        <v>66.378901330392665</v>
      </c>
      <c r="G63" s="4">
        <v>94.546822968060653</v>
      </c>
      <c r="H63" s="4">
        <v>99.414090909090902</v>
      </c>
      <c r="I63" s="4">
        <v>81.293167704939165</v>
      </c>
      <c r="J63" s="4">
        <v>95.090092681195273</v>
      </c>
      <c r="K63" s="4">
        <v>93.009228795806351</v>
      </c>
      <c r="L63" s="4">
        <v>82.913089205856693</v>
      </c>
      <c r="M63" s="4">
        <v>81.415833152312985</v>
      </c>
      <c r="N63" s="4">
        <v>71.397450272466102</v>
      </c>
      <c r="O63" s="4">
        <v>90.792179803658769</v>
      </c>
      <c r="P63" s="4">
        <v>42.928684766310752</v>
      </c>
      <c r="Q63" s="4">
        <v>84.62419736352885</v>
      </c>
      <c r="R63" s="4">
        <v>57.521500625643732</v>
      </c>
      <c r="S63" s="4">
        <v>73.726112808377025</v>
      </c>
      <c r="T63" s="4">
        <v>85.706694780378825</v>
      </c>
      <c r="U63" s="4">
        <v>48.940592592592594</v>
      </c>
    </row>
    <row r="64" spans="1:21" ht="15" x14ac:dyDescent="0.25">
      <c r="A64" t="s">
        <v>103</v>
      </c>
      <c r="B64" t="s">
        <v>104</v>
      </c>
      <c r="C64" s="11">
        <v>68.913411341655944</v>
      </c>
      <c r="D64" s="11">
        <v>73</v>
      </c>
      <c r="E64" s="4">
        <v>83.883856214394612</v>
      </c>
      <c r="F64" s="4">
        <v>51.216648681485211</v>
      </c>
      <c r="G64" s="4">
        <v>73.214344293583011</v>
      </c>
      <c r="H64" s="4">
        <v>98.329040904351132</v>
      </c>
      <c r="I64" s="4">
        <v>61.18282633430578</v>
      </c>
      <c r="J64" s="4">
        <v>75.598384037962091</v>
      </c>
      <c r="K64" s="4">
        <v>88.633812912800749</v>
      </c>
      <c r="L64" s="4">
        <v>72.829990918640007</v>
      </c>
      <c r="M64" s="4">
        <v>30.111571078975174</v>
      </c>
      <c r="N64" s="4">
        <v>32.599225514371632</v>
      </c>
      <c r="O64" s="4">
        <v>87.103304241256012</v>
      </c>
      <c r="P64" s="4">
        <v>82.23208585734524</v>
      </c>
      <c r="Q64" s="4">
        <v>91.281228537248282</v>
      </c>
      <c r="R64" s="4">
        <v>42.970944820969578</v>
      </c>
      <c r="S64" s="4">
        <v>60.563414653580466</v>
      </c>
      <c r="T64" s="4">
        <v>81.925702114889035</v>
      </c>
      <c r="U64" s="4">
        <v>57.851611691993362</v>
      </c>
    </row>
    <row r="65" spans="1:21" ht="15" x14ac:dyDescent="0.25">
      <c r="A65" t="s">
        <v>263</v>
      </c>
      <c r="B65" t="s">
        <v>264</v>
      </c>
      <c r="C65" s="11">
        <v>63.801658776686111</v>
      </c>
      <c r="D65" s="11">
        <v>104</v>
      </c>
      <c r="E65" s="4">
        <v>69.022265907084972</v>
      </c>
      <c r="F65" s="4">
        <v>61.581991163007892</v>
      </c>
      <c r="G65" s="4">
        <v>54.390098908063194</v>
      </c>
      <c r="H65" s="4">
        <v>69.165140866689725</v>
      </c>
      <c r="I65" s="4">
        <v>54.106137428144514</v>
      </c>
      <c r="J65" s="4">
        <v>52.846784987563979</v>
      </c>
      <c r="K65" s="4">
        <v>58.621888358190709</v>
      </c>
      <c r="L65" s="4">
        <v>76.607451843780069</v>
      </c>
      <c r="M65" s="4">
        <v>30.18758438442342</v>
      </c>
      <c r="N65" s="4">
        <v>58.634081021161144</v>
      </c>
      <c r="O65" s="4">
        <v>50.002871739319829</v>
      </c>
      <c r="P65" s="4">
        <v>97.321747655217834</v>
      </c>
      <c r="Q65" s="4">
        <v>96.521929362741744</v>
      </c>
      <c r="R65" s="4">
        <v>51.0300572724326</v>
      </c>
      <c r="S65" s="4">
        <v>75.443781807827762</v>
      </c>
      <c r="T65" s="4">
        <v>69.735234198799674</v>
      </c>
      <c r="U65" s="4">
        <v>59.409152299214782</v>
      </c>
    </row>
    <row r="66" spans="1:21" ht="15" x14ac:dyDescent="0.25">
      <c r="A66" t="s">
        <v>303</v>
      </c>
      <c r="B66" t="s">
        <v>304</v>
      </c>
      <c r="C66" s="11">
        <v>52.814963287021826</v>
      </c>
      <c r="D66" s="11">
        <v>138</v>
      </c>
      <c r="E66" s="4">
        <v>35.502754820936637</v>
      </c>
      <c r="F66" s="4">
        <v>49.790767651311114</v>
      </c>
      <c r="G66" s="4">
        <v>33.278263470856658</v>
      </c>
      <c r="H66" s="4">
        <v>24.735708383332291</v>
      </c>
      <c r="I66" s="4">
        <v>35.677195860643479</v>
      </c>
      <c r="J66" s="4">
        <v>43.651729351962231</v>
      </c>
      <c r="K66" s="4">
        <v>13.421342134213422</v>
      </c>
      <c r="L66" s="4">
        <v>65.370510050564391</v>
      </c>
      <c r="M66" s="4">
        <v>5.5165685734303151</v>
      </c>
      <c r="N66" s="4">
        <v>82.50067066138898</v>
      </c>
      <c r="O66" s="4">
        <v>55.978122903392055</v>
      </c>
      <c r="P66" s="4">
        <v>94.899333322768697</v>
      </c>
      <c r="Q66" s="4">
        <v>99.244533684192689</v>
      </c>
      <c r="R66" s="4">
        <v>70.845111339733464</v>
      </c>
      <c r="S66" s="4">
        <v>78.148626217015405</v>
      </c>
      <c r="T66" s="4">
        <v>48.309519353629327</v>
      </c>
      <c r="U66" s="4">
        <v>60.983618100000001</v>
      </c>
    </row>
    <row r="67" spans="1:21" ht="15" x14ac:dyDescent="0.25">
      <c r="A67" t="s">
        <v>277</v>
      </c>
      <c r="B67" t="s">
        <v>278</v>
      </c>
      <c r="C67" s="11">
        <v>55.001109353246029</v>
      </c>
      <c r="D67" s="11">
        <v>131</v>
      </c>
      <c r="E67" s="4">
        <v>62.156957928802584</v>
      </c>
      <c r="F67" s="4">
        <v>45.296324191823601</v>
      </c>
      <c r="G67" s="4">
        <v>43.178529085549314</v>
      </c>
      <c r="H67" s="4">
        <v>45.714626028462867</v>
      </c>
      <c r="I67" s="4">
        <v>34.915519841863627</v>
      </c>
      <c r="J67" s="4">
        <v>59.973073512003523</v>
      </c>
      <c r="K67" s="4">
        <v>21.926789897717331</v>
      </c>
      <c r="L67" s="4">
        <v>69.310133145865393</v>
      </c>
      <c r="M67" s="4">
        <v>8.2433990903648517</v>
      </c>
      <c r="N67" s="4">
        <v>44.256534039134706</v>
      </c>
      <c r="O67" s="4">
        <v>64.63983656911067</v>
      </c>
      <c r="P67" s="4">
        <v>93.588357898213133</v>
      </c>
      <c r="Q67" s="4">
        <v>93.52786039900306</v>
      </c>
      <c r="R67" s="4">
        <v>60.389387822889454</v>
      </c>
      <c r="S67" s="4">
        <v>74.913103523916064</v>
      </c>
      <c r="T67" s="4">
        <v>60.137071147216666</v>
      </c>
      <c r="U67" s="4">
        <v>52.851354883245591</v>
      </c>
    </row>
    <row r="68" spans="1:21" ht="15" x14ac:dyDescent="0.25">
      <c r="A68" t="s">
        <v>363</v>
      </c>
      <c r="B68" t="s">
        <v>364</v>
      </c>
      <c r="C68" s="11"/>
      <c r="D68" s="11"/>
      <c r="E68" s="4"/>
      <c r="F68" s="4"/>
      <c r="G68" s="4"/>
      <c r="H68" s="4"/>
      <c r="I68" s="4"/>
      <c r="J68" s="4"/>
      <c r="K68" s="4"/>
      <c r="L68" s="4"/>
      <c r="M68" s="4"/>
      <c r="N68" s="4"/>
      <c r="O68" s="4"/>
      <c r="P68" s="4"/>
      <c r="Q68" s="4"/>
      <c r="R68" s="4"/>
      <c r="S68" s="4"/>
      <c r="T68" s="4"/>
      <c r="U68" s="4"/>
    </row>
    <row r="69" spans="1:21" ht="15" x14ac:dyDescent="0.25">
      <c r="A69" t="s">
        <v>365</v>
      </c>
      <c r="B69" t="s">
        <v>366</v>
      </c>
      <c r="C69" s="11"/>
      <c r="D69" s="11"/>
      <c r="E69" s="4"/>
      <c r="F69" s="4"/>
      <c r="G69" s="4"/>
      <c r="H69" s="4"/>
      <c r="I69" s="4"/>
      <c r="J69" s="4"/>
      <c r="K69" s="4"/>
      <c r="L69" s="4"/>
      <c r="M69" s="4"/>
      <c r="N69" s="4"/>
      <c r="O69" s="4"/>
      <c r="P69" s="4"/>
      <c r="Q69" s="4"/>
      <c r="R69" s="4"/>
      <c r="S69" s="4"/>
      <c r="T69" s="4"/>
      <c r="U69" s="4"/>
    </row>
    <row r="70" spans="1:21" ht="15" x14ac:dyDescent="0.25">
      <c r="A70" t="s">
        <v>75</v>
      </c>
      <c r="B70" t="s">
        <v>76</v>
      </c>
      <c r="C70" s="11">
        <v>71.409637255876717</v>
      </c>
      <c r="D70" s="11">
        <v>50</v>
      </c>
      <c r="E70" s="4">
        <v>96.659993580999753</v>
      </c>
      <c r="F70" s="4">
        <v>61.177934245646235</v>
      </c>
      <c r="G70" s="4">
        <v>90.155387774511155</v>
      </c>
      <c r="H70" s="4">
        <v>90.133537625164379</v>
      </c>
      <c r="I70" s="4">
        <v>62.612704360289612</v>
      </c>
      <c r="J70" s="4">
        <v>90.59897668036831</v>
      </c>
      <c r="K70" s="4">
        <v>90.657111705425748</v>
      </c>
      <c r="L70" s="4">
        <v>62.951111199856157</v>
      </c>
      <c r="M70" s="4">
        <v>49.925643959860594</v>
      </c>
      <c r="N70" s="4">
        <v>50.906724996969729</v>
      </c>
      <c r="O70" s="4">
        <v>82.065621803168654</v>
      </c>
      <c r="P70" s="4">
        <v>39.404338041893617</v>
      </c>
      <c r="Q70" s="4">
        <v>82.237590318790069</v>
      </c>
      <c r="R70" s="4">
        <v>59.35855437265657</v>
      </c>
      <c r="S70" s="4">
        <v>78.74328936766247</v>
      </c>
      <c r="T70" s="4">
        <v>72.823165168493105</v>
      </c>
      <c r="U70" s="4">
        <v>53.552148148148149</v>
      </c>
    </row>
    <row r="71" spans="1:21" ht="15" x14ac:dyDescent="0.25">
      <c r="A71" t="s">
        <v>367</v>
      </c>
      <c r="B71" t="s">
        <v>368</v>
      </c>
      <c r="C71" s="11"/>
      <c r="D71" s="11"/>
      <c r="E71" s="4"/>
      <c r="F71" s="4"/>
      <c r="G71" s="4"/>
      <c r="H71" s="4"/>
      <c r="I71" s="4"/>
      <c r="J71" s="4"/>
      <c r="K71" s="4"/>
      <c r="L71" s="4"/>
      <c r="M71" s="4"/>
      <c r="N71" s="4"/>
      <c r="O71" s="4"/>
      <c r="P71" s="4"/>
      <c r="Q71" s="4"/>
      <c r="R71" s="4"/>
      <c r="S71" s="4"/>
      <c r="T71" s="4"/>
      <c r="U71" s="4"/>
    </row>
    <row r="72" spans="1:21" ht="15" x14ac:dyDescent="0.25">
      <c r="A72" t="s">
        <v>273</v>
      </c>
      <c r="B72" t="s">
        <v>274</v>
      </c>
      <c r="C72" s="11">
        <v>59.647258812235989</v>
      </c>
      <c r="D72" s="11">
        <v>122</v>
      </c>
      <c r="E72" s="4">
        <v>74.313835620102168</v>
      </c>
      <c r="F72" s="4">
        <v>43.332965107765837</v>
      </c>
      <c r="G72" s="4">
        <v>70.511768465529798</v>
      </c>
      <c r="H72" s="4">
        <v>70.982473433179692</v>
      </c>
      <c r="I72" s="4">
        <v>53.179443676339716</v>
      </c>
      <c r="J72" s="4">
        <v>69.259391696030036</v>
      </c>
      <c r="K72" s="4">
        <v>70.81813333675251</v>
      </c>
      <c r="L72" s="4">
        <v>74.994324526886132</v>
      </c>
      <c r="M72" s="4">
        <v>12.030997671186809</v>
      </c>
      <c r="N72" s="4">
        <v>20.244164869818889</v>
      </c>
      <c r="O72" s="4">
        <v>84.305797311803119</v>
      </c>
      <c r="P72" s="4">
        <v>85.561599104837043</v>
      </c>
      <c r="Q72" s="4">
        <v>94.87734714647948</v>
      </c>
      <c r="R72" s="4">
        <v>41.102240185299877</v>
      </c>
      <c r="S72" s="4">
        <v>52.986899102652401</v>
      </c>
      <c r="T72" s="4">
        <v>50.414435226810902</v>
      </c>
      <c r="U72" s="4">
        <v>45.08758332653764</v>
      </c>
    </row>
    <row r="73" spans="1:21" ht="15" x14ac:dyDescent="0.25">
      <c r="A73" t="s">
        <v>211</v>
      </c>
      <c r="B73" t="s">
        <v>212</v>
      </c>
      <c r="C73" s="11">
        <v>61.407773566286942</v>
      </c>
      <c r="D73" s="11">
        <v>114</v>
      </c>
      <c r="E73" s="4">
        <v>84.872221776458318</v>
      </c>
      <c r="F73" s="4">
        <v>54.390552863170001</v>
      </c>
      <c r="G73" s="4">
        <v>61.910363155856295</v>
      </c>
      <c r="H73" s="4">
        <v>83.26002576401109</v>
      </c>
      <c r="I73" s="4">
        <v>61.937865019189978</v>
      </c>
      <c r="J73" s="4">
        <v>73.248921088393018</v>
      </c>
      <c r="K73" s="4">
        <v>78.312322674515713</v>
      </c>
      <c r="L73" s="4">
        <v>52.546739738301355</v>
      </c>
      <c r="M73" s="4">
        <v>14.80492537182902</v>
      </c>
      <c r="N73" s="4"/>
      <c r="O73" s="4">
        <v>82.644418009530582</v>
      </c>
      <c r="P73" s="4">
        <v>58.226037195994273</v>
      </c>
      <c r="Q73" s="4">
        <v>71.996652843001144</v>
      </c>
      <c r="R73" s="4">
        <v>55.046204551598358</v>
      </c>
      <c r="S73" s="4">
        <v>59.451531758407249</v>
      </c>
      <c r="T73" s="4">
        <v>56.47291244565838</v>
      </c>
      <c r="U73" s="4">
        <v>57.701814666666664</v>
      </c>
    </row>
    <row r="74" spans="1:21" ht="15" x14ac:dyDescent="0.25">
      <c r="A74" t="s">
        <v>251</v>
      </c>
      <c r="B74" t="s">
        <v>252</v>
      </c>
      <c r="C74" s="11">
        <v>63.414189045943473</v>
      </c>
      <c r="D74" s="11">
        <v>107</v>
      </c>
      <c r="E74" s="4">
        <v>57.674904383642243</v>
      </c>
      <c r="F74" s="4">
        <v>46.225363794156614</v>
      </c>
      <c r="G74" s="4">
        <v>75.282772453384524</v>
      </c>
      <c r="H74" s="4">
        <v>64.248814875657047</v>
      </c>
      <c r="I74" s="4">
        <v>65.013970219381122</v>
      </c>
      <c r="J74" s="4">
        <v>70.329333170457318</v>
      </c>
      <c r="K74" s="4">
        <v>73.44602930297583</v>
      </c>
      <c r="L74" s="4">
        <v>72.880617626244728</v>
      </c>
      <c r="M74" s="4">
        <v>13.772945742963854</v>
      </c>
      <c r="N74" s="4">
        <v>26.660000438421545</v>
      </c>
      <c r="O74" s="4">
        <v>80.800395340018227</v>
      </c>
      <c r="P74" s="4">
        <v>88.286426548598413</v>
      </c>
      <c r="Q74" s="4">
        <v>94.37241787616361</v>
      </c>
      <c r="R74" s="4">
        <v>66.159025073212305</v>
      </c>
      <c r="S74" s="4">
        <v>65.17554118942293</v>
      </c>
      <c r="T74" s="4">
        <v>48.734199667057453</v>
      </c>
      <c r="U74" s="4">
        <v>68.978456079281088</v>
      </c>
    </row>
    <row r="75" spans="1:21" ht="15" x14ac:dyDescent="0.25">
      <c r="A75" t="s">
        <v>43</v>
      </c>
      <c r="B75" t="s">
        <v>44</v>
      </c>
      <c r="C75" s="11">
        <v>77.791860196871312</v>
      </c>
      <c r="D75" s="11">
        <v>22</v>
      </c>
      <c r="E75" s="4">
        <v>98.384471368584343</v>
      </c>
      <c r="F75" s="4">
        <v>64.630395681213471</v>
      </c>
      <c r="G75" s="4">
        <v>87.093729483495821</v>
      </c>
      <c r="H75" s="4">
        <v>87.363616571755344</v>
      </c>
      <c r="I75" s="4">
        <v>63.717890042552291</v>
      </c>
      <c r="J75" s="4">
        <v>82.51083081775856</v>
      </c>
      <c r="K75" s="4">
        <v>89.464137903107527</v>
      </c>
      <c r="L75" s="4">
        <v>78.066129443411938</v>
      </c>
      <c r="M75" s="4">
        <v>48.634957328796666</v>
      </c>
      <c r="N75" s="4">
        <v>69.845706308391726</v>
      </c>
      <c r="O75" s="4">
        <v>76.243256815360084</v>
      </c>
      <c r="P75" s="4">
        <v>73.538987222789615</v>
      </c>
      <c r="Q75" s="4">
        <v>93.587464137781438</v>
      </c>
      <c r="R75" s="4">
        <v>74.847661081609971</v>
      </c>
      <c r="S75" s="4">
        <v>79.217779942466933</v>
      </c>
      <c r="T75" s="4">
        <v>70.586645797736807</v>
      </c>
      <c r="U75" s="4">
        <v>84.727963399999993</v>
      </c>
    </row>
    <row r="76" spans="1:21" ht="15" x14ac:dyDescent="0.25">
      <c r="A76" t="s">
        <v>323</v>
      </c>
      <c r="B76" t="s">
        <v>324</v>
      </c>
      <c r="C76" s="11">
        <v>48.435080656033016</v>
      </c>
      <c r="D76" s="11">
        <v>156</v>
      </c>
      <c r="E76" s="4">
        <v>37.983444328545829</v>
      </c>
      <c r="F76" s="4">
        <v>42.198493512164063</v>
      </c>
      <c r="G76" s="4">
        <v>42.161524356871652</v>
      </c>
      <c r="H76" s="4">
        <v>49.537810218978109</v>
      </c>
      <c r="I76" s="4">
        <v>39.919339605378781</v>
      </c>
      <c r="J76" s="4">
        <v>49.132483460819898</v>
      </c>
      <c r="K76" s="4">
        <v>26.512549645195165</v>
      </c>
      <c r="L76" s="4">
        <v>58.767651769774872</v>
      </c>
      <c r="M76" s="4">
        <v>7.2833416876165709</v>
      </c>
      <c r="N76" s="4">
        <v>62.280827508845803</v>
      </c>
      <c r="O76" s="4">
        <v>41.344730238163912</v>
      </c>
      <c r="P76" s="4">
        <v>91.764404208808884</v>
      </c>
      <c r="Q76" s="4">
        <v>89.358038048936862</v>
      </c>
      <c r="R76" s="4">
        <v>33.001501960578423</v>
      </c>
      <c r="S76" s="4">
        <v>43.577448111132149</v>
      </c>
      <c r="T76" s="4">
        <v>45.60414825741676</v>
      </c>
      <c r="U76" s="4">
        <v>62.968634233333333</v>
      </c>
    </row>
    <row r="77" spans="1:21" ht="15" x14ac:dyDescent="0.25">
      <c r="A77" t="s">
        <v>63</v>
      </c>
      <c r="B77" t="s">
        <v>64</v>
      </c>
      <c r="C77" s="11">
        <v>76.886593768729384</v>
      </c>
      <c r="D77" s="11">
        <v>25</v>
      </c>
      <c r="E77" s="4">
        <v>98.93155740993339</v>
      </c>
      <c r="F77" s="4">
        <v>64.188914099977765</v>
      </c>
      <c r="G77" s="4">
        <v>85.92880748787509</v>
      </c>
      <c r="H77" s="4">
        <v>90.394261480364818</v>
      </c>
      <c r="I77" s="4">
        <v>64.05271384370441</v>
      </c>
      <c r="J77" s="4">
        <v>89.012108820598854</v>
      </c>
      <c r="K77" s="4">
        <v>91.613553401217942</v>
      </c>
      <c r="L77" s="4">
        <v>82.108507773426737</v>
      </c>
      <c r="M77" s="4">
        <v>49.647937396897071</v>
      </c>
      <c r="N77" s="4">
        <v>75.603221167980777</v>
      </c>
      <c r="O77" s="4">
        <v>86.073587288697397</v>
      </c>
      <c r="P77" s="4">
        <v>71.01070422947349</v>
      </c>
      <c r="Q77" s="4">
        <v>94.908483895764491</v>
      </c>
      <c r="R77" s="4"/>
      <c r="S77" s="4">
        <v>87.311210831670877</v>
      </c>
      <c r="T77" s="4">
        <v>73.387763847377855</v>
      </c>
      <c r="U77" s="4">
        <v>51.49133333333333</v>
      </c>
    </row>
    <row r="78" spans="1:21" ht="15" x14ac:dyDescent="0.25">
      <c r="A78" t="s">
        <v>169</v>
      </c>
      <c r="B78" t="s">
        <v>170</v>
      </c>
      <c r="C78" s="11">
        <v>64.193491155383953</v>
      </c>
      <c r="D78" s="11">
        <v>102</v>
      </c>
      <c r="E78" s="4">
        <v>74.009775602449906</v>
      </c>
      <c r="F78" s="4">
        <v>53.659466196597528</v>
      </c>
      <c r="G78" s="4">
        <v>62.933354353790889</v>
      </c>
      <c r="H78" s="4">
        <v>90.054788688148051</v>
      </c>
      <c r="I78" s="4">
        <v>61.158643747871167</v>
      </c>
      <c r="J78" s="4">
        <v>68.730877245054899</v>
      </c>
      <c r="K78" s="4">
        <v>73.361348201185109</v>
      </c>
      <c r="L78" s="4">
        <v>75.95535077498225</v>
      </c>
      <c r="M78" s="4">
        <v>33.77790419565266</v>
      </c>
      <c r="N78" s="4">
        <v>34.764779789347045</v>
      </c>
      <c r="O78" s="4">
        <v>67.397803817942474</v>
      </c>
      <c r="P78" s="4">
        <v>90.953389156473051</v>
      </c>
      <c r="Q78" s="4">
        <v>94.794737307419425</v>
      </c>
      <c r="R78" s="4">
        <v>50.372870551420974</v>
      </c>
      <c r="S78" s="4">
        <v>41.898828782386296</v>
      </c>
      <c r="T78" s="4">
        <v>70.58415493526681</v>
      </c>
      <c r="U78" s="4">
        <v>46.881276295538676</v>
      </c>
    </row>
    <row r="79" spans="1:21" ht="15" x14ac:dyDescent="0.25">
      <c r="A79" t="s">
        <v>243</v>
      </c>
      <c r="B79" t="s">
        <v>244</v>
      </c>
      <c r="C79" s="11">
        <v>61.076888335186311</v>
      </c>
      <c r="D79" s="11">
        <v>115</v>
      </c>
      <c r="E79" s="4">
        <v>71.406456444408789</v>
      </c>
      <c r="F79" s="4">
        <v>42.567653143490233</v>
      </c>
      <c r="G79" s="4">
        <v>58.758006013518653</v>
      </c>
      <c r="H79" s="4">
        <v>80.242410615475947</v>
      </c>
      <c r="I79" s="4">
        <v>33.187863457581493</v>
      </c>
      <c r="J79" s="4">
        <v>56.582692499487734</v>
      </c>
      <c r="K79" s="4">
        <v>65.380015427828894</v>
      </c>
      <c r="L79" s="4">
        <v>83.243629360059714</v>
      </c>
      <c r="M79" s="4">
        <v>28.668793907447711</v>
      </c>
      <c r="N79" s="4">
        <v>48.957837803263061</v>
      </c>
      <c r="O79" s="4">
        <v>51.123524465723214</v>
      </c>
      <c r="P79" s="4">
        <v>94.460732959371455</v>
      </c>
      <c r="Q79" s="4">
        <v>94.472972649647289</v>
      </c>
      <c r="R79" s="4">
        <v>51.240340188816376</v>
      </c>
      <c r="S79" s="4">
        <v>51.060938517470518</v>
      </c>
      <c r="T79" s="4">
        <v>61.255014611243027</v>
      </c>
      <c r="U79" s="4">
        <v>65.698219633333338</v>
      </c>
    </row>
    <row r="80" spans="1:21" ht="15" x14ac:dyDescent="0.25">
      <c r="A80" t="s">
        <v>53</v>
      </c>
      <c r="B80" t="s">
        <v>54</v>
      </c>
      <c r="C80" s="11">
        <v>78.215979023948307</v>
      </c>
      <c r="D80" s="11">
        <v>19</v>
      </c>
      <c r="E80" s="4">
        <v>99.685923667388806</v>
      </c>
      <c r="F80" s="4">
        <v>70.151485687797802</v>
      </c>
      <c r="G80" s="4">
        <v>95.243337545607446</v>
      </c>
      <c r="H80" s="4">
        <v>95.167553531834017</v>
      </c>
      <c r="I80" s="4">
        <v>73.07037249139232</v>
      </c>
      <c r="J80" s="4">
        <v>81.972489586128575</v>
      </c>
      <c r="K80" s="4">
        <v>92.501376576190822</v>
      </c>
      <c r="L80" s="4">
        <v>87.735211154875671</v>
      </c>
      <c r="M80" s="4">
        <v>67.19296640513852</v>
      </c>
      <c r="N80" s="4">
        <v>84.76537012718093</v>
      </c>
      <c r="O80" s="4">
        <v>84.527141155054963</v>
      </c>
      <c r="P80" s="4">
        <v>46.282400583388323</v>
      </c>
      <c r="Q80" s="4">
        <v>91.722442141986221</v>
      </c>
      <c r="R80" s="4">
        <v>53.433034489734531</v>
      </c>
      <c r="S80" s="4">
        <v>82.432702061661956</v>
      </c>
      <c r="T80" s="4">
        <v>90.37153990546382</v>
      </c>
      <c r="U80" s="4">
        <v>33.416296296296295</v>
      </c>
    </row>
    <row r="81" spans="1:21" ht="15" x14ac:dyDescent="0.25">
      <c r="A81" t="s">
        <v>191</v>
      </c>
      <c r="B81" t="s">
        <v>192</v>
      </c>
      <c r="C81" s="11">
        <v>70.486408710103362</v>
      </c>
      <c r="D81" s="11">
        <v>58</v>
      </c>
      <c r="E81" s="4">
        <v>96.796785150712765</v>
      </c>
      <c r="F81" s="4">
        <v>58.219045264201085</v>
      </c>
      <c r="G81" s="4">
        <v>77.345904853832849</v>
      </c>
      <c r="H81" s="4">
        <v>95.546417892652713</v>
      </c>
      <c r="I81" s="4">
        <v>42.599208859383616</v>
      </c>
      <c r="J81" s="4">
        <v>49.922423529579369</v>
      </c>
      <c r="K81" s="4">
        <v>87.688958458940363</v>
      </c>
      <c r="L81" s="4">
        <v>68.26096774843306</v>
      </c>
      <c r="M81" s="4">
        <v>39.84507155034688</v>
      </c>
      <c r="N81" s="4">
        <v>64.737218870243552</v>
      </c>
      <c r="O81" s="4">
        <v>76.105300913844317</v>
      </c>
      <c r="P81" s="4">
        <v>80.648145778927329</v>
      </c>
      <c r="Q81" s="4">
        <v>88.964790252651255</v>
      </c>
      <c r="R81" s="4">
        <v>73.185207874958977</v>
      </c>
      <c r="S81" s="4">
        <v>68.045398052020204</v>
      </c>
      <c r="T81" s="4">
        <v>64.713672644953363</v>
      </c>
      <c r="U81" s="4">
        <v>65.644430376075434</v>
      </c>
    </row>
    <row r="82" spans="1:21" ht="15" x14ac:dyDescent="0.25">
      <c r="A82" t="s">
        <v>229</v>
      </c>
      <c r="B82" t="s">
        <v>230</v>
      </c>
      <c r="C82" s="11">
        <v>60.792815590367766</v>
      </c>
      <c r="D82" s="11">
        <v>117</v>
      </c>
      <c r="E82" s="4">
        <v>84.064270239910144</v>
      </c>
      <c r="F82" s="4">
        <v>41.739592580193708</v>
      </c>
      <c r="G82" s="4">
        <v>62.645057622281634</v>
      </c>
      <c r="H82" s="4">
        <v>44.350131846453557</v>
      </c>
      <c r="I82" s="4">
        <v>38.18341232653794</v>
      </c>
      <c r="J82" s="4">
        <v>46.336009873636065</v>
      </c>
      <c r="K82" s="4">
        <v>87.818006514934339</v>
      </c>
      <c r="L82" s="4">
        <v>61.524202592472903</v>
      </c>
      <c r="M82" s="4">
        <v>20.874887817566961</v>
      </c>
      <c r="N82" s="4">
        <v>94.366197183098592</v>
      </c>
      <c r="O82" s="4">
        <v>59.705335297939889</v>
      </c>
      <c r="P82" s="4">
        <v>90.591037718578988</v>
      </c>
      <c r="Q82" s="4">
        <v>89.957744843738666</v>
      </c>
      <c r="R82" s="4">
        <v>28.523212227992321</v>
      </c>
      <c r="S82" s="4">
        <v>39.400620632676265</v>
      </c>
      <c r="T82" s="4">
        <v>65.157259138139807</v>
      </c>
      <c r="U82" s="4">
        <v>78.24088658010038</v>
      </c>
    </row>
    <row r="83" spans="1:21" ht="15" x14ac:dyDescent="0.25">
      <c r="A83" t="s">
        <v>77</v>
      </c>
      <c r="B83" t="s">
        <v>78</v>
      </c>
      <c r="C83" s="11">
        <v>79.203001186217008</v>
      </c>
      <c r="D83" s="11">
        <v>14</v>
      </c>
      <c r="E83" s="4">
        <v>99.69563240525288</v>
      </c>
      <c r="F83" s="4">
        <v>62.584045575295683</v>
      </c>
      <c r="G83" s="4">
        <v>96.884852369713244</v>
      </c>
      <c r="H83" s="4">
        <v>97.434357195649881</v>
      </c>
      <c r="I83" s="4">
        <v>85.488624329913151</v>
      </c>
      <c r="J83" s="4">
        <v>87.363784170784712</v>
      </c>
      <c r="K83" s="4">
        <v>99.373630082570841</v>
      </c>
      <c r="L83" s="4">
        <v>83.041987919259199</v>
      </c>
      <c r="M83" s="4">
        <v>75.500286070886219</v>
      </c>
      <c r="N83" s="4">
        <v>99.211428870617496</v>
      </c>
      <c r="O83" s="4">
        <v>89.899067147118117</v>
      </c>
      <c r="P83" s="4">
        <v>50.594769188038562</v>
      </c>
      <c r="Q83" s="4">
        <v>88.554581070931135</v>
      </c>
      <c r="R83" s="4">
        <v>35.889027269663778</v>
      </c>
      <c r="S83" s="4">
        <v>34.493512274695291</v>
      </c>
      <c r="T83" s="4">
        <v>93.046212003076704</v>
      </c>
      <c r="U83" s="4">
        <v>67.395222222222216</v>
      </c>
    </row>
    <row r="84" spans="1:21" ht="15" x14ac:dyDescent="0.25">
      <c r="A84" t="s">
        <v>115</v>
      </c>
      <c r="B84" t="s">
        <v>116</v>
      </c>
      <c r="C84" s="11">
        <v>71.529392345074712</v>
      </c>
      <c r="D84" s="11">
        <v>49</v>
      </c>
      <c r="E84" s="4">
        <v>99.21335152050068</v>
      </c>
      <c r="F84" s="4">
        <v>58.642484445108551</v>
      </c>
      <c r="G84" s="4">
        <v>95.829707912905121</v>
      </c>
      <c r="H84" s="4">
        <v>96.777272727272731</v>
      </c>
      <c r="I84" s="4">
        <v>75.241608085645581</v>
      </c>
      <c r="J84" s="4">
        <v>74.315591430676932</v>
      </c>
      <c r="K84" s="4">
        <v>93.980930128826614</v>
      </c>
      <c r="L84" s="4">
        <v>85.021617788721102</v>
      </c>
      <c r="M84" s="4">
        <v>77.488827879204038</v>
      </c>
      <c r="N84" s="4">
        <v>50.181924121480591</v>
      </c>
      <c r="O84" s="4">
        <v>80.143096499534337</v>
      </c>
      <c r="P84" s="4">
        <v>41.498253758594124</v>
      </c>
      <c r="Q84" s="4">
        <v>91.155003148128515</v>
      </c>
      <c r="R84" s="4">
        <v>17.377739654528472</v>
      </c>
      <c r="S84" s="4">
        <v>50.641725418009131</v>
      </c>
      <c r="T84" s="4">
        <v>73.589979791578145</v>
      </c>
      <c r="U84" s="4">
        <v>54.900555555555563</v>
      </c>
    </row>
    <row r="85" spans="1:21" ht="15" x14ac:dyDescent="0.25">
      <c r="A85" t="s">
        <v>67</v>
      </c>
      <c r="B85" t="s">
        <v>68</v>
      </c>
      <c r="C85" s="11">
        <v>75.790128020068551</v>
      </c>
      <c r="D85" s="11">
        <v>30</v>
      </c>
      <c r="E85" s="4">
        <v>97.307657332370482</v>
      </c>
      <c r="F85" s="4">
        <v>64.311304091120178</v>
      </c>
      <c r="G85" s="4">
        <v>95.082343596446478</v>
      </c>
      <c r="H85" s="4">
        <v>97.611962785873956</v>
      </c>
      <c r="I85" s="4">
        <v>71.199112711572496</v>
      </c>
      <c r="J85" s="4">
        <v>84.769809013510354</v>
      </c>
      <c r="K85" s="4">
        <v>93.089622573426823</v>
      </c>
      <c r="L85" s="4">
        <v>78.7084903589774</v>
      </c>
      <c r="M85" s="4">
        <v>63.769801640781601</v>
      </c>
      <c r="N85" s="4">
        <v>69.85833241905965</v>
      </c>
      <c r="O85" s="4">
        <v>73.956130697450519</v>
      </c>
      <c r="P85" s="4">
        <v>51.736579069744259</v>
      </c>
      <c r="Q85" s="4">
        <v>84.680768918067045</v>
      </c>
      <c r="R85" s="4">
        <v>41.109944486725382</v>
      </c>
      <c r="S85" s="4">
        <v>82.911453874697955</v>
      </c>
      <c r="T85" s="4">
        <v>75.214751660229751</v>
      </c>
      <c r="U85" s="4">
        <v>63.114111111111107</v>
      </c>
    </row>
    <row r="86" spans="1:21" ht="15" x14ac:dyDescent="0.25">
      <c r="A86" t="s">
        <v>183</v>
      </c>
      <c r="B86" t="s">
        <v>184</v>
      </c>
      <c r="C86" s="11">
        <v>68.797480227758726</v>
      </c>
      <c r="D86" s="11">
        <v>74</v>
      </c>
      <c r="E86" s="4">
        <v>86.002193158415565</v>
      </c>
      <c r="F86" s="4">
        <v>47.74924217116336</v>
      </c>
      <c r="G86" s="4">
        <v>80.378146648920307</v>
      </c>
      <c r="H86" s="4">
        <v>85.786592322292066</v>
      </c>
      <c r="I86" s="4">
        <v>69.955935894309221</v>
      </c>
      <c r="J86" s="4">
        <v>73.394012047958483</v>
      </c>
      <c r="K86" s="4">
        <v>85.977850395305481</v>
      </c>
      <c r="L86" s="4">
        <v>74.137982733949883</v>
      </c>
      <c r="M86" s="4">
        <v>31.694895183106951</v>
      </c>
      <c r="N86" s="4">
        <v>49.295774647887328</v>
      </c>
      <c r="O86" s="4">
        <v>88.938154131218127</v>
      </c>
      <c r="P86" s="4">
        <v>90.792827108549474</v>
      </c>
      <c r="Q86" s="4">
        <v>86.970380051501735</v>
      </c>
      <c r="R86" s="4">
        <v>21.819531015485939</v>
      </c>
      <c r="S86" s="4">
        <v>55.753431867944315</v>
      </c>
      <c r="T86" s="4">
        <v>67.308738370862855</v>
      </c>
      <c r="U86" s="4">
        <v>73.601476123027382</v>
      </c>
    </row>
    <row r="87" spans="1:21" ht="15" x14ac:dyDescent="0.25">
      <c r="A87" t="s">
        <v>173</v>
      </c>
      <c r="B87" t="s">
        <v>174</v>
      </c>
      <c r="C87" s="11">
        <v>68.085263889132989</v>
      </c>
      <c r="D87" s="11">
        <v>81</v>
      </c>
      <c r="E87" s="4">
        <v>86.798216052849767</v>
      </c>
      <c r="F87" s="4">
        <v>45.378263248873111</v>
      </c>
      <c r="G87" s="4">
        <v>76.277825246656676</v>
      </c>
      <c r="H87" s="4">
        <v>77.988742066639077</v>
      </c>
      <c r="I87" s="4">
        <v>42.705538853837787</v>
      </c>
      <c r="J87" s="4">
        <v>54.753253309165814</v>
      </c>
      <c r="K87" s="4">
        <v>92.166023341323069</v>
      </c>
      <c r="L87" s="4">
        <v>62.493761711051306</v>
      </c>
      <c r="M87" s="4">
        <v>41.730607151550551</v>
      </c>
      <c r="N87" s="4">
        <v>55.873840291735156</v>
      </c>
      <c r="O87" s="4">
        <v>75.170738371972831</v>
      </c>
      <c r="P87" s="4">
        <v>85.776003340612732</v>
      </c>
      <c r="Q87" s="4">
        <v>94.753712431244537</v>
      </c>
      <c r="R87" s="4">
        <v>27.857142857142858</v>
      </c>
      <c r="S87" s="4">
        <v>90.245580338937742</v>
      </c>
      <c r="T87" s="4">
        <v>74.520679896608399</v>
      </c>
      <c r="U87" s="4">
        <v>72.959557605059175</v>
      </c>
    </row>
    <row r="88" spans="1:21" ht="15" x14ac:dyDescent="0.25">
      <c r="A88" t="s">
        <v>61</v>
      </c>
      <c r="B88" t="s">
        <v>62</v>
      </c>
      <c r="C88" s="11">
        <v>78.91741824397424</v>
      </c>
      <c r="D88" s="11">
        <v>15</v>
      </c>
      <c r="E88" s="4">
        <v>98.981679103479635</v>
      </c>
      <c r="F88" s="4">
        <v>68.028590944491697</v>
      </c>
      <c r="G88" s="4">
        <v>94.887690529285962</v>
      </c>
      <c r="H88" s="4">
        <v>98.09</v>
      </c>
      <c r="I88" s="4">
        <v>58.494937895127755</v>
      </c>
      <c r="J88" s="4">
        <v>84.459545618249066</v>
      </c>
      <c r="K88" s="4">
        <v>93.384441482220211</v>
      </c>
      <c r="L88" s="4">
        <v>88.492384953958975</v>
      </c>
      <c r="M88" s="4">
        <v>79.900073772996933</v>
      </c>
      <c r="N88" s="4">
        <v>76.774217377246273</v>
      </c>
      <c r="O88" s="4">
        <v>75.359086902994576</v>
      </c>
      <c r="P88" s="4">
        <v>55.567609174555514</v>
      </c>
      <c r="Q88" s="4">
        <v>90.388153582095924</v>
      </c>
      <c r="R88" s="4">
        <v>53.59737618953303</v>
      </c>
      <c r="S88" s="4">
        <v>69.963414274082794</v>
      </c>
      <c r="T88" s="4">
        <v>90.348982421317714</v>
      </c>
      <c r="U88" s="4">
        <v>64.877925925925922</v>
      </c>
    </row>
    <row r="89" spans="1:21" ht="15" x14ac:dyDescent="0.25">
      <c r="A89" t="s">
        <v>151</v>
      </c>
      <c r="B89" t="s">
        <v>152</v>
      </c>
      <c r="C89" s="11">
        <v>68.709332095140255</v>
      </c>
      <c r="D89" s="11">
        <v>77</v>
      </c>
      <c r="E89" s="4">
        <v>99.866899355425389</v>
      </c>
      <c r="F89" s="4">
        <v>50.891827876166403</v>
      </c>
      <c r="G89" s="4">
        <v>75.766633420876616</v>
      </c>
      <c r="H89" s="4">
        <v>90.980994038402798</v>
      </c>
      <c r="I89" s="4">
        <v>77.146954744914396</v>
      </c>
      <c r="J89" s="4">
        <v>74.813702075381713</v>
      </c>
      <c r="K89" s="4">
        <v>85.769911361056572</v>
      </c>
      <c r="L89" s="4">
        <v>76.746455874534064</v>
      </c>
      <c r="M89" s="4">
        <v>35.207740659939198</v>
      </c>
      <c r="N89" s="4">
        <v>62.085735629981677</v>
      </c>
      <c r="O89" s="4">
        <v>78.402641875903143</v>
      </c>
      <c r="P89" s="4">
        <v>62.441532553856902</v>
      </c>
      <c r="Q89" s="4">
        <v>75.082954091833074</v>
      </c>
      <c r="R89" s="4">
        <v>43.352919999999997</v>
      </c>
      <c r="S89" s="4">
        <v>58.567607410752295</v>
      </c>
      <c r="T89" s="4">
        <v>69.024035073796199</v>
      </c>
      <c r="U89" s="4">
        <v>51.910099574564036</v>
      </c>
    </row>
    <row r="90" spans="1:21" ht="15" x14ac:dyDescent="0.25">
      <c r="A90" t="s">
        <v>265</v>
      </c>
      <c r="B90" t="s">
        <v>266</v>
      </c>
      <c r="C90" s="11">
        <v>57.028216638193449</v>
      </c>
      <c r="D90" s="11">
        <v>125</v>
      </c>
      <c r="E90" s="4">
        <v>29.800275482093664</v>
      </c>
      <c r="F90" s="4">
        <v>49.87624402736666</v>
      </c>
      <c r="G90" s="4">
        <v>50.419318859350781</v>
      </c>
      <c r="H90" s="4">
        <v>70.99880975977122</v>
      </c>
      <c r="I90" s="4">
        <v>67.458330830992509</v>
      </c>
      <c r="J90" s="4">
        <v>43.902154934958098</v>
      </c>
      <c r="K90" s="4">
        <v>46.072114556630538</v>
      </c>
      <c r="L90" s="4">
        <v>70.203039692670657</v>
      </c>
      <c r="M90" s="4">
        <v>19.740710418593974</v>
      </c>
      <c r="N90" s="4">
        <v>36.286519950544331</v>
      </c>
      <c r="O90" s="4">
        <v>62.160195005127775</v>
      </c>
      <c r="P90" s="4">
        <v>93.073415238046593</v>
      </c>
      <c r="Q90" s="4">
        <v>94.785052376750912</v>
      </c>
      <c r="R90" s="4">
        <v>58.129724247576547</v>
      </c>
      <c r="S90" s="4">
        <v>59.22140782943427</v>
      </c>
      <c r="T90" s="4">
        <v>57.214131702608839</v>
      </c>
      <c r="U90" s="4">
        <v>60.138237936771496</v>
      </c>
    </row>
    <row r="91" spans="1:21" ht="15" x14ac:dyDescent="0.25">
      <c r="A91" t="s">
        <v>109</v>
      </c>
      <c r="B91" t="s">
        <v>110</v>
      </c>
      <c r="C91" s="11">
        <v>71.617264070928599</v>
      </c>
      <c r="D91" s="11">
        <v>48</v>
      </c>
      <c r="E91" s="4">
        <v>82.792331969295788</v>
      </c>
      <c r="F91" s="4">
        <v>58.081636974596321</v>
      </c>
      <c r="G91" s="4">
        <v>70.082529963549618</v>
      </c>
      <c r="H91" s="4">
        <v>91.065695740949266</v>
      </c>
      <c r="I91" s="4">
        <v>61.016556719353318</v>
      </c>
      <c r="J91" s="4">
        <v>67.890950394059018</v>
      </c>
      <c r="K91" s="4">
        <v>89.260721704951052</v>
      </c>
      <c r="L91" s="4">
        <v>69.858636858470987</v>
      </c>
      <c r="M91" s="4">
        <v>26.968649721024104</v>
      </c>
      <c r="N91" s="4">
        <v>79.303544675800168</v>
      </c>
      <c r="O91" s="4">
        <v>87.858472825262666</v>
      </c>
      <c r="P91" s="4">
        <v>91.748908553019959</v>
      </c>
      <c r="Q91" s="4">
        <v>94.190384702210736</v>
      </c>
      <c r="R91" s="4"/>
      <c r="S91" s="4">
        <v>68.049131295484628</v>
      </c>
      <c r="T91" s="4">
        <v>63.238479606559054</v>
      </c>
      <c r="U91" s="4">
        <v>75.361726942016745</v>
      </c>
    </row>
    <row r="92" spans="1:21" ht="15" x14ac:dyDescent="0.25">
      <c r="A92" t="s">
        <v>225</v>
      </c>
      <c r="B92" t="s">
        <v>226</v>
      </c>
      <c r="C92" s="11">
        <v>61.784181512636827</v>
      </c>
      <c r="D92" s="11">
        <v>112</v>
      </c>
      <c r="E92" s="4">
        <v>87.512744390061243</v>
      </c>
      <c r="F92" s="4">
        <v>52.686041497613026</v>
      </c>
      <c r="G92" s="4">
        <v>62.581316658819823</v>
      </c>
      <c r="H92" s="4">
        <v>69.858345637765794</v>
      </c>
      <c r="I92" s="4">
        <v>54.838516931506426</v>
      </c>
      <c r="J92" s="4">
        <v>60.288672101576637</v>
      </c>
      <c r="K92" s="4">
        <v>42.940820211593916</v>
      </c>
      <c r="L92" s="4">
        <v>62.034401023654212</v>
      </c>
      <c r="M92" s="4">
        <v>19.467532596109283</v>
      </c>
      <c r="N92" s="4">
        <v>90.853850270660828</v>
      </c>
      <c r="O92" s="4">
        <v>77.770570521863547</v>
      </c>
      <c r="P92" s="4">
        <v>97.078780451706393</v>
      </c>
      <c r="Q92" s="4">
        <v>92.749368676978904</v>
      </c>
      <c r="R92" s="4">
        <v>34.372849398267846</v>
      </c>
      <c r="S92" s="4">
        <v>44.392178324880334</v>
      </c>
      <c r="T92" s="4">
        <v>52.402358830988014</v>
      </c>
      <c r="U92" s="4">
        <v>48.502738190779858</v>
      </c>
    </row>
    <row r="93" spans="1:21" ht="15" x14ac:dyDescent="0.25">
      <c r="A93" t="s">
        <v>369</v>
      </c>
      <c r="B93" t="s">
        <v>370</v>
      </c>
      <c r="C93" s="11"/>
      <c r="D93" s="11"/>
      <c r="E93" s="4"/>
      <c r="F93" s="4"/>
      <c r="G93" s="4"/>
      <c r="H93" s="4"/>
      <c r="I93" s="4"/>
      <c r="J93" s="4"/>
      <c r="K93" s="4"/>
      <c r="L93" s="4"/>
      <c r="M93" s="4"/>
      <c r="N93" s="4"/>
      <c r="O93" s="4"/>
      <c r="P93" s="4"/>
      <c r="Q93" s="4"/>
      <c r="R93" s="4"/>
      <c r="S93" s="4"/>
      <c r="T93" s="4"/>
      <c r="U93" s="4"/>
    </row>
    <row r="94" spans="1:21" ht="15" x14ac:dyDescent="0.25">
      <c r="A94" t="s">
        <v>371</v>
      </c>
      <c r="B94" t="s">
        <v>372</v>
      </c>
      <c r="C94" s="11"/>
      <c r="D94" s="11"/>
      <c r="E94" s="4"/>
      <c r="F94" s="4"/>
      <c r="G94" s="4"/>
      <c r="H94" s="4"/>
      <c r="I94" s="4"/>
      <c r="J94" s="4"/>
      <c r="K94" s="4"/>
      <c r="L94" s="4"/>
      <c r="M94" s="4"/>
      <c r="N94" s="4"/>
      <c r="O94" s="4"/>
      <c r="P94" s="4"/>
      <c r="Q94" s="4"/>
      <c r="R94" s="4"/>
      <c r="S94" s="4"/>
      <c r="T94" s="4"/>
      <c r="U94" s="4"/>
    </row>
    <row r="95" spans="1:21" ht="15" x14ac:dyDescent="0.25">
      <c r="A95" t="s">
        <v>81</v>
      </c>
      <c r="B95" t="s">
        <v>82</v>
      </c>
      <c r="C95" s="11">
        <v>78.331815424141894</v>
      </c>
      <c r="D95" s="11">
        <v>18</v>
      </c>
      <c r="E95" s="4">
        <v>99.01487068389099</v>
      </c>
      <c r="F95" s="4">
        <v>77.87171987556134</v>
      </c>
      <c r="G95" s="4">
        <v>92.351990963630627</v>
      </c>
      <c r="H95" s="4">
        <v>95.824696969696973</v>
      </c>
      <c r="I95" s="4">
        <v>63.936889115647496</v>
      </c>
      <c r="J95" s="4">
        <v>81.487846483599171</v>
      </c>
      <c r="K95" s="4">
        <v>92.504199115079317</v>
      </c>
      <c r="L95" s="4">
        <v>86.20158599133012</v>
      </c>
      <c r="M95" s="4">
        <v>83.724884507356606</v>
      </c>
      <c r="N95" s="4">
        <v>86.469559266533651</v>
      </c>
      <c r="O95" s="4">
        <v>80.306327592651655</v>
      </c>
      <c r="P95" s="4">
        <v>63.527625806230276</v>
      </c>
      <c r="Q95" s="4">
        <v>87.724911565737045</v>
      </c>
      <c r="R95" s="4">
        <v>54.792051810282068</v>
      </c>
      <c r="S95" s="4">
        <v>57.187105878851831</v>
      </c>
      <c r="T95" s="4">
        <v>75.363633621370127</v>
      </c>
      <c r="U95" s="4">
        <v>53.35096296296296</v>
      </c>
    </row>
    <row r="96" spans="1:21" ht="15" x14ac:dyDescent="0.25">
      <c r="A96" t="s">
        <v>235</v>
      </c>
      <c r="B96" t="s">
        <v>236</v>
      </c>
      <c r="C96" s="11">
        <v>63.511739003313139</v>
      </c>
      <c r="D96" s="11">
        <v>106</v>
      </c>
      <c r="E96" s="4"/>
      <c r="F96" s="4">
        <v>60.797535951583505</v>
      </c>
      <c r="G96" s="4">
        <v>83.842219818494328</v>
      </c>
      <c r="H96" s="4">
        <v>86.460122341449036</v>
      </c>
      <c r="I96" s="4">
        <v>51.245679693222804</v>
      </c>
      <c r="J96" s="4">
        <v>55.018979342219907</v>
      </c>
      <c r="K96" s="4">
        <v>92.029169933116364</v>
      </c>
      <c r="L96" s="4">
        <v>56.333607755300768</v>
      </c>
      <c r="M96" s="4">
        <v>48.893430130336249</v>
      </c>
      <c r="N96" s="4"/>
      <c r="O96" s="4">
        <v>48.766967767849764</v>
      </c>
      <c r="P96" s="4">
        <v>22.17453505007153</v>
      </c>
      <c r="Q96" s="4">
        <v>50.168177760626548</v>
      </c>
      <c r="R96" s="4">
        <v>42.434500287875444</v>
      </c>
      <c r="S96" s="4">
        <v>41.027124388539477</v>
      </c>
      <c r="T96" s="4">
        <v>76.95194046156449</v>
      </c>
      <c r="U96" s="4">
        <v>100</v>
      </c>
    </row>
    <row r="97" spans="1:21" ht="15" x14ac:dyDescent="0.25">
      <c r="A97" t="s">
        <v>249</v>
      </c>
      <c r="B97" t="s">
        <v>250</v>
      </c>
      <c r="C97" s="11">
        <v>62.029066741302223</v>
      </c>
      <c r="D97" s="11">
        <v>111</v>
      </c>
      <c r="E97" s="4">
        <v>54.770507368477354</v>
      </c>
      <c r="F97" s="4">
        <v>61.050998818143277</v>
      </c>
      <c r="G97" s="4">
        <v>49.838952323744358</v>
      </c>
      <c r="H97" s="4">
        <v>78.276549923688165</v>
      </c>
      <c r="I97" s="4">
        <v>67.315518019892124</v>
      </c>
      <c r="J97" s="4">
        <v>67.311465558988004</v>
      </c>
      <c r="K97" s="4">
        <v>44.748903456231211</v>
      </c>
      <c r="L97" s="4">
        <v>71.723955379450175</v>
      </c>
      <c r="M97" s="4">
        <v>15.209053600700116</v>
      </c>
      <c r="N97" s="4">
        <v>74.929577464788736</v>
      </c>
      <c r="O97" s="4">
        <v>73.427572701223824</v>
      </c>
      <c r="P97" s="4">
        <v>94.549660985338321</v>
      </c>
      <c r="Q97" s="4">
        <v>96.479847747163319</v>
      </c>
      <c r="R97" s="4"/>
      <c r="S97" s="4">
        <v>53.551774266362123</v>
      </c>
      <c r="T97" s="4">
        <v>58.373399837002417</v>
      </c>
      <c r="U97" s="4">
        <v>46.57037662383194</v>
      </c>
    </row>
    <row r="98" spans="1:21" ht="15" x14ac:dyDescent="0.25">
      <c r="A98" t="s">
        <v>209</v>
      </c>
      <c r="B98" t="s">
        <v>210</v>
      </c>
      <c r="C98" s="11">
        <v>65.66628291192977</v>
      </c>
      <c r="D98" s="11">
        <v>94</v>
      </c>
      <c r="E98" s="4">
        <v>99.927973468132336</v>
      </c>
      <c r="F98" s="4">
        <v>45.920152317825419</v>
      </c>
      <c r="G98" s="4">
        <v>80.114266851635179</v>
      </c>
      <c r="H98" s="4">
        <v>70.311064249915432</v>
      </c>
      <c r="I98" s="4">
        <v>42.46720868355235</v>
      </c>
      <c r="J98" s="4">
        <v>79.446515434564262</v>
      </c>
      <c r="K98" s="4">
        <v>88.907402444901166</v>
      </c>
      <c r="L98" s="4">
        <v>67.402165663121409</v>
      </c>
      <c r="M98" s="4">
        <v>42.334368184875686</v>
      </c>
      <c r="N98" s="4">
        <v>69.514061027849223</v>
      </c>
      <c r="O98" s="4">
        <v>59.944894187603509</v>
      </c>
      <c r="P98" s="4">
        <v>75.607048180730175</v>
      </c>
      <c r="Q98" s="4">
        <v>77.408401228850991</v>
      </c>
      <c r="R98" s="4">
        <v>36.591870550257553</v>
      </c>
      <c r="S98" s="4">
        <v>56.606913099906947</v>
      </c>
      <c r="T98" s="4">
        <v>65.890784423193992</v>
      </c>
      <c r="U98" s="4">
        <v>57.93171950589052</v>
      </c>
    </row>
    <row r="99" spans="1:21" ht="15" x14ac:dyDescent="0.25">
      <c r="A99" t="s">
        <v>333</v>
      </c>
      <c r="B99" t="s">
        <v>334</v>
      </c>
      <c r="C99" s="11">
        <v>48.182539929371927</v>
      </c>
      <c r="D99" s="11">
        <v>157</v>
      </c>
      <c r="E99" s="4">
        <v>20.468319559228647</v>
      </c>
      <c r="F99" s="4">
        <v>48.566879263243159</v>
      </c>
      <c r="G99" s="4">
        <v>39.200244474351372</v>
      </c>
      <c r="H99" s="4">
        <v>10.20197394813364</v>
      </c>
      <c r="I99" s="4">
        <v>41.449281639950541</v>
      </c>
      <c r="J99" s="4">
        <v>48.010926242881098</v>
      </c>
      <c r="K99" s="4">
        <v>5.8855885588558854</v>
      </c>
      <c r="L99" s="4">
        <v>64.929330040635747</v>
      </c>
      <c r="M99" s="4">
        <v>3.5356633444017258</v>
      </c>
      <c r="N99" s="4">
        <v>83.869277255635865</v>
      </c>
      <c r="O99" s="4">
        <v>28.980277736561266</v>
      </c>
      <c r="P99" s="4">
        <v>99.294567869037508</v>
      </c>
      <c r="Q99" s="4">
        <v>99.314171460227683</v>
      </c>
      <c r="R99" s="4">
        <v>75.202661258966771</v>
      </c>
      <c r="S99" s="4">
        <v>53.977855823571375</v>
      </c>
      <c r="T99" s="4">
        <v>44.938716640055191</v>
      </c>
      <c r="U99" s="4">
        <v>51.277443683585112</v>
      </c>
    </row>
    <row r="100" spans="1:21" ht="15" x14ac:dyDescent="0.25">
      <c r="A100" t="s">
        <v>373</v>
      </c>
      <c r="B100" t="s">
        <v>374</v>
      </c>
      <c r="C100" s="11"/>
      <c r="D100" s="11"/>
      <c r="E100" s="4"/>
      <c r="F100" s="4"/>
      <c r="G100" s="4"/>
      <c r="H100" s="4"/>
      <c r="I100" s="4"/>
      <c r="J100" s="4"/>
      <c r="K100" s="4"/>
      <c r="L100" s="4"/>
      <c r="M100" s="4"/>
      <c r="N100" s="4"/>
      <c r="O100" s="4"/>
      <c r="P100" s="4"/>
      <c r="Q100" s="4"/>
      <c r="R100" s="4"/>
      <c r="S100" s="4"/>
      <c r="T100" s="4"/>
      <c r="U100" s="4"/>
    </row>
    <row r="101" spans="1:21" ht="15" x14ac:dyDescent="0.25">
      <c r="A101" t="s">
        <v>375</v>
      </c>
      <c r="B101" t="s">
        <v>376</v>
      </c>
      <c r="C101" s="11"/>
      <c r="D101" s="11"/>
      <c r="E101" s="4"/>
      <c r="F101" s="4"/>
      <c r="G101" s="4"/>
      <c r="H101" s="4"/>
      <c r="I101" s="4"/>
      <c r="J101" s="4"/>
      <c r="K101" s="4"/>
      <c r="L101" s="4"/>
      <c r="M101" s="4"/>
      <c r="N101" s="4"/>
      <c r="O101" s="4"/>
      <c r="P101" s="4"/>
      <c r="Q101" s="4"/>
      <c r="R101" s="4"/>
      <c r="S101" s="4"/>
      <c r="T101" s="4"/>
      <c r="U101" s="4"/>
    </row>
    <row r="102" spans="1:21" ht="15" x14ac:dyDescent="0.25">
      <c r="A102" t="s">
        <v>377</v>
      </c>
      <c r="B102" t="s">
        <v>378</v>
      </c>
      <c r="C102" s="11"/>
      <c r="D102" s="11"/>
      <c r="E102" s="4"/>
      <c r="F102" s="4"/>
      <c r="G102" s="4"/>
      <c r="H102" s="4"/>
      <c r="I102" s="4"/>
      <c r="J102" s="4"/>
      <c r="K102" s="4"/>
      <c r="L102" s="4"/>
      <c r="M102" s="4"/>
      <c r="N102" s="4"/>
      <c r="O102" s="4"/>
      <c r="P102" s="4"/>
      <c r="Q102" s="4"/>
      <c r="R102" s="4"/>
      <c r="S102" s="4"/>
      <c r="T102" s="4"/>
      <c r="U102" s="4"/>
    </row>
    <row r="103" spans="1:21" ht="15" x14ac:dyDescent="0.25">
      <c r="A103" t="s">
        <v>185</v>
      </c>
      <c r="B103" t="s">
        <v>186</v>
      </c>
      <c r="C103" s="11">
        <v>65.841249082403692</v>
      </c>
      <c r="D103" s="11">
        <v>93</v>
      </c>
      <c r="E103" s="4">
        <v>91.167963839631994</v>
      </c>
      <c r="F103" s="4">
        <v>52.698699098165335</v>
      </c>
      <c r="G103" s="4">
        <v>79.46997557272239</v>
      </c>
      <c r="H103" s="4">
        <v>97.228884611521252</v>
      </c>
      <c r="I103" s="4">
        <v>48.566704797816548</v>
      </c>
      <c r="J103" s="4">
        <v>65.812845207809403</v>
      </c>
      <c r="K103" s="4">
        <v>64.663980165297062</v>
      </c>
      <c r="L103" s="4">
        <v>82.809837842823001</v>
      </c>
      <c r="M103" s="4">
        <v>17.232176031276161</v>
      </c>
      <c r="N103" s="4">
        <v>36.429822948616994</v>
      </c>
      <c r="O103" s="4">
        <v>80.611489047685154</v>
      </c>
      <c r="P103" s="4">
        <v>77.916545244197252</v>
      </c>
      <c r="Q103" s="4">
        <v>92.290467852184833</v>
      </c>
      <c r="R103" s="4">
        <v>55.713815764404806</v>
      </c>
      <c r="S103" s="4">
        <v>63.371337277582896</v>
      </c>
      <c r="T103" s="4">
        <v>67.319914303874597</v>
      </c>
      <c r="U103" s="4">
        <v>45.99677479525311</v>
      </c>
    </row>
    <row r="104" spans="1:21" ht="15" x14ac:dyDescent="0.25">
      <c r="A104" t="s">
        <v>305</v>
      </c>
      <c r="B104" t="s">
        <v>306</v>
      </c>
      <c r="C104" s="11">
        <v>50.9427933174616</v>
      </c>
      <c r="D104" s="11">
        <v>150</v>
      </c>
      <c r="E104" s="4">
        <v>13.705234159779609</v>
      </c>
      <c r="F104" s="4">
        <v>54.463272844404059</v>
      </c>
      <c r="G104" s="4">
        <v>28.719135156408601</v>
      </c>
      <c r="H104" s="4">
        <v>55.009081817436801</v>
      </c>
      <c r="I104" s="4">
        <v>71.9021846057733</v>
      </c>
      <c r="J104" s="4">
        <v>58.122774592649897</v>
      </c>
      <c r="K104" s="4">
        <v>28.497413964814449</v>
      </c>
      <c r="L104" s="4">
        <v>52.462996370300615</v>
      </c>
      <c r="M104" s="4">
        <v>14.140092128748115</v>
      </c>
      <c r="N104" s="4">
        <v>0.34508705139160156</v>
      </c>
      <c r="O104" s="4">
        <v>67.537515371284655</v>
      </c>
      <c r="P104" s="4">
        <v>92.139512555713438</v>
      </c>
      <c r="Q104" s="4">
        <v>66.162007957246132</v>
      </c>
      <c r="R104" s="4"/>
      <c r="S104" s="4">
        <v>62.130534963516943</v>
      </c>
      <c r="T104" s="4">
        <v>46.180058983796016</v>
      </c>
      <c r="U104" s="4">
        <v>100</v>
      </c>
    </row>
    <row r="105" spans="1:21" ht="15" x14ac:dyDescent="0.25">
      <c r="A105" t="s">
        <v>93</v>
      </c>
      <c r="B105" t="s">
        <v>94</v>
      </c>
      <c r="C105" s="11">
        <v>75.103272065882862</v>
      </c>
      <c r="D105" s="11">
        <v>32</v>
      </c>
      <c r="E105" s="4">
        <v>98.438658428949694</v>
      </c>
      <c r="F105" s="4">
        <v>58.503359621960122</v>
      </c>
      <c r="G105" s="4">
        <v>84.6464215034501</v>
      </c>
      <c r="H105" s="4">
        <v>98.675483352819128</v>
      </c>
      <c r="I105" s="4">
        <v>72.07309639395929</v>
      </c>
      <c r="J105" s="4">
        <v>85.719065933921371</v>
      </c>
      <c r="K105" s="4">
        <v>83.469217613400488</v>
      </c>
      <c r="L105" s="4">
        <v>80.450930276738873</v>
      </c>
      <c r="M105" s="4">
        <v>45.4347919580268</v>
      </c>
      <c r="N105" s="4">
        <v>49.570111825432576</v>
      </c>
      <c r="O105" s="4">
        <v>83.146340934480747</v>
      </c>
      <c r="P105" s="4">
        <v>67.445650694302174</v>
      </c>
      <c r="Q105" s="4">
        <v>84.131531996261117</v>
      </c>
      <c r="R105" s="4">
        <v>62.496015090065988</v>
      </c>
      <c r="S105" s="4">
        <v>90.397333308334808</v>
      </c>
      <c r="T105" s="4">
        <v>80.520838410127368</v>
      </c>
      <c r="U105" s="4">
        <v>51.63677777777778</v>
      </c>
    </row>
    <row r="106" spans="1:21" ht="15" x14ac:dyDescent="0.25">
      <c r="A106" t="s">
        <v>85</v>
      </c>
      <c r="B106" t="s">
        <v>86</v>
      </c>
      <c r="C106" s="11">
        <v>74.784460775079822</v>
      </c>
      <c r="D106" s="11">
        <v>34</v>
      </c>
      <c r="E106" s="4">
        <v>99.854703254968058</v>
      </c>
      <c r="F106" s="4">
        <v>62.425879897562496</v>
      </c>
      <c r="G106" s="4">
        <v>96.409270155631546</v>
      </c>
      <c r="H106" s="4">
        <v>94.39334645232816</v>
      </c>
      <c r="I106" s="4">
        <v>74.568682779265444</v>
      </c>
      <c r="J106" s="4">
        <v>90.033256815623801</v>
      </c>
      <c r="K106" s="4">
        <v>66.666666666666671</v>
      </c>
      <c r="L106" s="4">
        <v>69.90754877002189</v>
      </c>
      <c r="M106" s="4">
        <v>69.419846959039475</v>
      </c>
      <c r="N106" s="4">
        <v>88.260913902605083</v>
      </c>
      <c r="O106" s="4">
        <v>94.525725477083554</v>
      </c>
      <c r="P106" s="4">
        <v>23.895273466856953</v>
      </c>
      <c r="Q106" s="4">
        <v>78.747075026149389</v>
      </c>
      <c r="R106" s="4"/>
      <c r="S106" s="4">
        <v>62.289140155136273</v>
      </c>
      <c r="T106" s="4">
        <v>90.151075637313227</v>
      </c>
      <c r="U106" s="4">
        <v>58.38</v>
      </c>
    </row>
    <row r="107" spans="1:21" ht="15" x14ac:dyDescent="0.25">
      <c r="A107" t="s">
        <v>47</v>
      </c>
      <c r="B107" t="s">
        <v>48</v>
      </c>
      <c r="C107" s="11">
        <v>77.134977995718401</v>
      </c>
      <c r="D107" s="11">
        <v>24</v>
      </c>
      <c r="E107" s="4">
        <v>98.728008237716978</v>
      </c>
      <c r="F107" s="4">
        <v>60.364185294336558</v>
      </c>
      <c r="G107" s="4">
        <v>84.5045783879835</v>
      </c>
      <c r="H107" s="4">
        <v>95.693682589520947</v>
      </c>
      <c r="I107" s="4">
        <v>70.201829985071228</v>
      </c>
      <c r="J107" s="4">
        <v>88.985194077556315</v>
      </c>
      <c r="K107" s="4">
        <v>91.161765116475109</v>
      </c>
      <c r="L107" s="4">
        <v>83.262209619687795</v>
      </c>
      <c r="M107" s="4">
        <v>49.303107801647975</v>
      </c>
      <c r="N107" s="4">
        <v>76.456046104431152</v>
      </c>
      <c r="O107" s="4">
        <v>86.335974808397793</v>
      </c>
      <c r="P107" s="4">
        <v>67.932019467125002</v>
      </c>
      <c r="Q107" s="4">
        <v>87.79939077524061</v>
      </c>
      <c r="R107" s="4">
        <v>50.937447123554499</v>
      </c>
      <c r="S107" s="4">
        <v>92.233890209564194</v>
      </c>
      <c r="T107" s="4">
        <v>76.959148180755122</v>
      </c>
      <c r="U107" s="4">
        <v>50.436148148148142</v>
      </c>
    </row>
    <row r="108" spans="1:21" ht="15" x14ac:dyDescent="0.25">
      <c r="A108" t="s">
        <v>159</v>
      </c>
      <c r="B108" t="s">
        <v>160</v>
      </c>
      <c r="C108" s="11">
        <v>69.069729658474841</v>
      </c>
      <c r="D108" s="11">
        <v>72</v>
      </c>
      <c r="E108" s="4">
        <v>94.917689694830031</v>
      </c>
      <c r="F108" s="4">
        <v>53.81702299125994</v>
      </c>
      <c r="G108" s="4">
        <v>73.666403469792968</v>
      </c>
      <c r="H108" s="4">
        <v>78.045154590232031</v>
      </c>
      <c r="I108" s="4">
        <v>42.904559623844804</v>
      </c>
      <c r="J108" s="4">
        <v>66.134727794360018</v>
      </c>
      <c r="K108" s="4">
        <v>87.708209591530476</v>
      </c>
      <c r="L108" s="4">
        <v>67.411282324913401</v>
      </c>
      <c r="M108" s="4">
        <v>32.37449917210148</v>
      </c>
      <c r="N108" s="4">
        <v>61.472630500793457</v>
      </c>
      <c r="O108" s="4">
        <v>72.161551072449853</v>
      </c>
      <c r="P108" s="4">
        <v>82.458612266907892</v>
      </c>
      <c r="Q108" s="4">
        <v>92.373967673346655</v>
      </c>
      <c r="R108" s="4">
        <v>48.239728828504219</v>
      </c>
      <c r="S108" s="4">
        <v>75.608603098162661</v>
      </c>
      <c r="T108" s="4">
        <v>69.034052972187112</v>
      </c>
      <c r="U108" s="4">
        <v>75.856708528855563</v>
      </c>
    </row>
    <row r="109" spans="1:21" ht="15" x14ac:dyDescent="0.25">
      <c r="A109" t="s">
        <v>379</v>
      </c>
      <c r="B109" t="s">
        <v>380</v>
      </c>
      <c r="C109" s="11"/>
      <c r="D109" s="11"/>
      <c r="E109" s="4"/>
      <c r="F109" s="4"/>
      <c r="G109" s="4"/>
      <c r="H109" s="4"/>
      <c r="I109" s="4"/>
      <c r="J109" s="4"/>
      <c r="K109" s="4"/>
      <c r="L109" s="4"/>
      <c r="M109" s="4"/>
      <c r="N109" s="4"/>
      <c r="O109" s="4"/>
      <c r="P109" s="4"/>
      <c r="Q109" s="4"/>
      <c r="R109" s="4"/>
      <c r="S109" s="4"/>
      <c r="T109" s="4"/>
      <c r="U109" s="4"/>
    </row>
    <row r="110" spans="1:21" ht="15" x14ac:dyDescent="0.25">
      <c r="A110" t="s">
        <v>69</v>
      </c>
      <c r="B110" t="s">
        <v>70</v>
      </c>
      <c r="C110" s="11">
        <v>74.409774039128607</v>
      </c>
      <c r="D110" s="11">
        <v>37</v>
      </c>
      <c r="E110" s="4">
        <v>99.571571852683945</v>
      </c>
      <c r="F110" s="4">
        <v>54.495399835549925</v>
      </c>
      <c r="G110" s="4">
        <v>74.824050997820322</v>
      </c>
      <c r="H110" s="4">
        <v>82.661170085606443</v>
      </c>
      <c r="I110" s="4">
        <v>68.645633959524488</v>
      </c>
      <c r="J110" s="4">
        <v>73.951768621954599</v>
      </c>
      <c r="K110" s="4">
        <v>89.885518900466153</v>
      </c>
      <c r="L110" s="4">
        <v>73.994193684419955</v>
      </c>
      <c r="M110" s="4">
        <v>26.070763787701214</v>
      </c>
      <c r="N110" s="4">
        <v>92.620296881232463</v>
      </c>
      <c r="O110" s="4">
        <v>79.651731989888859</v>
      </c>
      <c r="P110" s="4">
        <v>97.009167241256122</v>
      </c>
      <c r="Q110" s="4">
        <v>97.909388906276661</v>
      </c>
      <c r="R110" s="4"/>
      <c r="S110" s="4">
        <v>64.08201133660755</v>
      </c>
      <c r="T110" s="4">
        <v>62.956380180769628</v>
      </c>
      <c r="U110" s="4">
        <v>85.911979844244954</v>
      </c>
    </row>
    <row r="111" spans="1:21" ht="15" x14ac:dyDescent="0.25">
      <c r="A111" t="s">
        <v>331</v>
      </c>
      <c r="B111" t="s">
        <v>332</v>
      </c>
      <c r="C111" s="11">
        <v>46.698955069499632</v>
      </c>
      <c r="D111" s="11">
        <v>158</v>
      </c>
      <c r="E111" s="4">
        <v>0</v>
      </c>
      <c r="F111" s="4">
        <v>37.442507379252071</v>
      </c>
      <c r="G111" s="4">
        <v>41.169726430922267</v>
      </c>
      <c r="H111" s="4">
        <v>44.042873632302069</v>
      </c>
      <c r="I111" s="4">
        <v>66.923865851389451</v>
      </c>
      <c r="J111" s="4">
        <v>38.730317878687899</v>
      </c>
      <c r="K111" s="4">
        <v>7.5907590759075898</v>
      </c>
      <c r="L111" s="4">
        <v>62.803507459101546</v>
      </c>
      <c r="M111" s="4">
        <v>5.8468167650213765</v>
      </c>
      <c r="N111" s="4">
        <v>31.661770377360597</v>
      </c>
      <c r="O111" s="4">
        <v>62.449704338327045</v>
      </c>
      <c r="P111" s="4">
        <v>94.584074176964947</v>
      </c>
      <c r="Q111" s="4">
        <v>96.874410214356644</v>
      </c>
      <c r="R111" s="4">
        <v>57.83657210267495</v>
      </c>
      <c r="S111" s="4">
        <v>50.576879382952107</v>
      </c>
      <c r="T111" s="4">
        <v>51.052224582939807</v>
      </c>
      <c r="U111" s="4">
        <v>44.296226533333332</v>
      </c>
    </row>
    <row r="112" spans="1:21" ht="15" x14ac:dyDescent="0.25">
      <c r="A112" t="s">
        <v>155</v>
      </c>
      <c r="B112" t="s">
        <v>156</v>
      </c>
      <c r="C112" s="11">
        <v>72.123130368073589</v>
      </c>
      <c r="D112" s="11">
        <v>47</v>
      </c>
      <c r="E112" s="4">
        <v>90.401013667121347</v>
      </c>
      <c r="F112" s="4">
        <v>46.626764359041879</v>
      </c>
      <c r="G112" s="4">
        <v>91.097622180872875</v>
      </c>
      <c r="H112" s="4">
        <v>99.193345077469147</v>
      </c>
      <c r="I112" s="4">
        <v>43.581713713306435</v>
      </c>
      <c r="J112" s="4">
        <v>72.068039240437514</v>
      </c>
      <c r="K112" s="4">
        <v>96.852040816326536</v>
      </c>
      <c r="L112" s="4">
        <v>79.593531991779003</v>
      </c>
      <c r="M112" s="4">
        <v>39.123421445220913</v>
      </c>
      <c r="N112" s="4">
        <v>69.295774647887328</v>
      </c>
      <c r="O112" s="4">
        <v>96.0448480156644</v>
      </c>
      <c r="P112" s="4">
        <v>76.432552353720084</v>
      </c>
      <c r="Q112" s="4">
        <v>78.857009647853047</v>
      </c>
      <c r="R112" s="4">
        <v>52.424934141241941</v>
      </c>
      <c r="S112" s="4">
        <v>38.133680802572108</v>
      </c>
      <c r="T112" s="4">
        <v>74.843763961389271</v>
      </c>
      <c r="U112" s="4">
        <v>81.52316019534733</v>
      </c>
    </row>
    <row r="113" spans="1:21" ht="15" x14ac:dyDescent="0.25">
      <c r="A113" t="s">
        <v>179</v>
      </c>
      <c r="B113" t="s">
        <v>180</v>
      </c>
      <c r="C113" s="11">
        <v>68.509282027793247</v>
      </c>
      <c r="D113" s="11">
        <v>78</v>
      </c>
      <c r="E113" s="4">
        <v>87.527895905212773</v>
      </c>
      <c r="F113" s="4">
        <v>54.664506207702004</v>
      </c>
      <c r="G113" s="4">
        <v>81.882278314455945</v>
      </c>
      <c r="H113" s="4">
        <v>92.629832438425822</v>
      </c>
      <c r="I113" s="4">
        <v>77.36730955904612</v>
      </c>
      <c r="J113" s="4">
        <v>79.110675280979819</v>
      </c>
      <c r="K113" s="4">
        <v>86.526714755566616</v>
      </c>
      <c r="L113" s="4">
        <v>73.02994179110101</v>
      </c>
      <c r="M113" s="4">
        <v>36.268118092434172</v>
      </c>
      <c r="N113" s="4">
        <v>14.565025920599279</v>
      </c>
      <c r="O113" s="4">
        <v>81.163223479298082</v>
      </c>
      <c r="P113" s="4">
        <v>78.815279170899842</v>
      </c>
      <c r="Q113" s="4">
        <v>90.596726274921195</v>
      </c>
      <c r="R113" s="4">
        <v>69.538515061296025</v>
      </c>
      <c r="S113" s="4">
        <v>47.641655319101417</v>
      </c>
      <c r="T113" s="4">
        <v>53.082262019166457</v>
      </c>
      <c r="U113" s="4">
        <v>60.247834882278731</v>
      </c>
    </row>
    <row r="114" spans="1:21" ht="15" x14ac:dyDescent="0.25">
      <c r="A114" t="s">
        <v>381</v>
      </c>
      <c r="B114" t="s">
        <v>382</v>
      </c>
      <c r="C114" s="11"/>
      <c r="D114" s="11"/>
      <c r="E114" s="4"/>
      <c r="F114" s="4"/>
      <c r="G114" s="4"/>
      <c r="H114" s="4"/>
      <c r="I114" s="4"/>
      <c r="J114" s="4"/>
      <c r="K114" s="4"/>
      <c r="L114" s="4"/>
      <c r="M114" s="4"/>
      <c r="N114" s="4"/>
      <c r="O114" s="4"/>
      <c r="P114" s="4"/>
      <c r="Q114" s="4"/>
      <c r="R114" s="4"/>
      <c r="S114" s="4"/>
      <c r="T114" s="4"/>
      <c r="U114" s="4"/>
    </row>
    <row r="115" spans="1:21" ht="15" x14ac:dyDescent="0.25">
      <c r="A115" t="s">
        <v>139</v>
      </c>
      <c r="B115" t="s">
        <v>140</v>
      </c>
      <c r="C115" s="11">
        <v>69.383922103433903</v>
      </c>
      <c r="D115" s="11">
        <v>70</v>
      </c>
      <c r="E115" s="4">
        <v>89.353031640322016</v>
      </c>
      <c r="F115" s="4">
        <v>61.192427956442948</v>
      </c>
      <c r="G115" s="4">
        <v>80.002866988092364</v>
      </c>
      <c r="H115" s="4">
        <v>88.323098708286352</v>
      </c>
      <c r="I115" s="4">
        <v>54.368359622837403</v>
      </c>
      <c r="J115" s="4">
        <v>75.179311137647545</v>
      </c>
      <c r="K115" s="4">
        <v>80.858377439059282</v>
      </c>
      <c r="L115" s="4">
        <v>64.178325943024817</v>
      </c>
      <c r="M115" s="4">
        <v>31.026778411908186</v>
      </c>
      <c r="N115" s="4">
        <v>48.833809772007903</v>
      </c>
      <c r="O115" s="4">
        <v>72.937809316013443</v>
      </c>
      <c r="P115" s="4">
        <v>81.22444777301844</v>
      </c>
      <c r="Q115" s="4">
        <v>85.839682206020385</v>
      </c>
      <c r="R115" s="4"/>
      <c r="S115" s="4">
        <v>74.00309090525657</v>
      </c>
      <c r="T115" s="4">
        <v>74.102363809174278</v>
      </c>
      <c r="U115" s="4">
        <v>77.377763570081569</v>
      </c>
    </row>
    <row r="116" spans="1:21" ht="15" x14ac:dyDescent="0.25">
      <c r="A116" t="s">
        <v>281</v>
      </c>
      <c r="B116" t="s">
        <v>282</v>
      </c>
      <c r="C116" s="11">
        <v>50.214733177515093</v>
      </c>
      <c r="D116" s="11">
        <v>152</v>
      </c>
      <c r="E116" s="4">
        <v>24.256198347107436</v>
      </c>
      <c r="F116" s="4">
        <v>45.040583947812749</v>
      </c>
      <c r="G116" s="4">
        <v>32.326625973234805</v>
      </c>
      <c r="H116" s="4">
        <v>12.61789850859879</v>
      </c>
      <c r="I116" s="4">
        <v>35.568924759657513</v>
      </c>
      <c r="J116" s="4">
        <v>56.005275868493371</v>
      </c>
      <c r="K116" s="4">
        <v>14.284653448560174</v>
      </c>
      <c r="L116" s="4">
        <v>67.372443502419671</v>
      </c>
      <c r="M116" s="4">
        <v>11.675076906726561</v>
      </c>
      <c r="N116" s="4">
        <v>73.958510748097595</v>
      </c>
      <c r="O116" s="4">
        <v>59.063706091900023</v>
      </c>
      <c r="P116" s="4">
        <v>94.93864273789778</v>
      </c>
      <c r="Q116" s="4">
        <v>99.242716293314132</v>
      </c>
      <c r="R116" s="4"/>
      <c r="S116" s="4">
        <v>69.915001026435419</v>
      </c>
      <c r="T116" s="4">
        <v>50.749534556692169</v>
      </c>
      <c r="U116" s="4">
        <v>52.124087427225362</v>
      </c>
    </row>
    <row r="117" spans="1:21" ht="15" x14ac:dyDescent="0.25">
      <c r="A117" t="s">
        <v>101</v>
      </c>
      <c r="B117" t="s">
        <v>102</v>
      </c>
      <c r="C117" s="11">
        <v>76.105312330491927</v>
      </c>
      <c r="D117" s="11">
        <v>28</v>
      </c>
      <c r="E117" s="4">
        <v>99.745419775869905</v>
      </c>
      <c r="F117" s="4">
        <v>58.246400979726211</v>
      </c>
      <c r="G117" s="4">
        <v>92.689016742157591</v>
      </c>
      <c r="H117" s="4">
        <v>97.486934357563783</v>
      </c>
      <c r="I117" s="4">
        <v>59.058686770096877</v>
      </c>
      <c r="J117" s="4">
        <v>86.42857704072037</v>
      </c>
      <c r="K117" s="4">
        <v>92.428531225243788</v>
      </c>
      <c r="L117" s="4">
        <v>87.426307897638083</v>
      </c>
      <c r="M117" s="4">
        <v>43.286385875971625</v>
      </c>
      <c r="N117" s="4">
        <v>94.647887323943664</v>
      </c>
      <c r="O117" s="4">
        <v>83.075088999731165</v>
      </c>
      <c r="P117" s="4">
        <v>48.373394032438817</v>
      </c>
      <c r="Q117" s="4">
        <v>91.122796766957507</v>
      </c>
      <c r="R117" s="4">
        <v>50.215188895279169</v>
      </c>
      <c r="S117" s="4">
        <v>70.56207066850105</v>
      </c>
      <c r="T117" s="4">
        <v>76.845725140597395</v>
      </c>
      <c r="U117" s="4">
        <v>62.151897125925927</v>
      </c>
    </row>
    <row r="118" spans="1:21" ht="15" x14ac:dyDescent="0.25">
      <c r="A118" t="s">
        <v>269</v>
      </c>
      <c r="B118" t="s">
        <v>270</v>
      </c>
      <c r="C118" s="11">
        <v>62.1785335363315</v>
      </c>
      <c r="D118" s="11">
        <v>110</v>
      </c>
      <c r="E118" s="4">
        <v>80.403634758886298</v>
      </c>
      <c r="F118" s="4">
        <v>53.267258083077152</v>
      </c>
      <c r="G118" s="4">
        <v>53.818522434534586</v>
      </c>
      <c r="H118" s="4">
        <v>73.058624104931923</v>
      </c>
      <c r="I118" s="4">
        <v>60.637420381371882</v>
      </c>
      <c r="J118" s="4">
        <v>61.352165398183637</v>
      </c>
      <c r="K118" s="4">
        <v>49.676519968088634</v>
      </c>
      <c r="L118" s="4">
        <v>69.761721462609714</v>
      </c>
      <c r="M118" s="4">
        <v>21.91629561653043</v>
      </c>
      <c r="N118" s="4">
        <v>70.140845070422529</v>
      </c>
      <c r="O118" s="4">
        <v>67.744596899373732</v>
      </c>
      <c r="P118" s="4">
        <v>96.13251071984152</v>
      </c>
      <c r="Q118" s="4">
        <v>95.022002894106549</v>
      </c>
      <c r="R118" s="4">
        <v>42.824284139340001</v>
      </c>
      <c r="S118" s="4">
        <v>52.571475995877094</v>
      </c>
      <c r="T118" s="4">
        <v>66.679634278319028</v>
      </c>
      <c r="U118" s="4">
        <v>42.027557912140757</v>
      </c>
    </row>
    <row r="119" spans="1:21" ht="15" x14ac:dyDescent="0.25">
      <c r="A119" t="s">
        <v>153</v>
      </c>
      <c r="B119" t="s">
        <v>154</v>
      </c>
      <c r="C119" s="11">
        <v>67.250133974186483</v>
      </c>
      <c r="D119" s="11">
        <v>87</v>
      </c>
      <c r="E119" s="4">
        <v>99.896025569017624</v>
      </c>
      <c r="F119" s="4">
        <v>51.022652531930525</v>
      </c>
      <c r="G119" s="4">
        <v>79.880534794761033</v>
      </c>
      <c r="H119" s="4">
        <v>96.273705060215832</v>
      </c>
      <c r="I119" s="4">
        <v>54.385300700580515</v>
      </c>
      <c r="J119" s="4">
        <v>74.431039178691776</v>
      </c>
      <c r="K119" s="4">
        <v>84.976170320276992</v>
      </c>
      <c r="L119" s="4">
        <v>67.036901332417386</v>
      </c>
      <c r="M119" s="4">
        <v>32.948631627231322</v>
      </c>
      <c r="N119" s="4">
        <v>62.89662743957949</v>
      </c>
      <c r="O119" s="4">
        <v>68.229337111505131</v>
      </c>
      <c r="P119" s="4">
        <v>60.595038024721696</v>
      </c>
      <c r="Q119" s="4">
        <v>79.424938041630597</v>
      </c>
      <c r="R119" s="4">
        <v>28.356114577786173</v>
      </c>
      <c r="S119" s="4">
        <v>32.222998951781975</v>
      </c>
      <c r="T119" s="4">
        <v>70.676262299041881</v>
      </c>
      <c r="U119" s="4">
        <v>100</v>
      </c>
    </row>
    <row r="120" spans="1:21" ht="15" x14ac:dyDescent="0.25">
      <c r="A120" t="s">
        <v>231</v>
      </c>
      <c r="B120" t="s">
        <v>232</v>
      </c>
      <c r="C120" s="11">
        <v>64.693858635434353</v>
      </c>
      <c r="D120" s="11">
        <v>100</v>
      </c>
      <c r="E120" s="4">
        <v>95.575730829923259</v>
      </c>
      <c r="F120" s="4">
        <v>44.505204471451428</v>
      </c>
      <c r="G120" s="4">
        <v>65.735254898283159</v>
      </c>
      <c r="H120" s="4">
        <v>97.531493216839934</v>
      </c>
      <c r="I120" s="4">
        <v>67.057987561212499</v>
      </c>
      <c r="J120" s="4">
        <v>65.41966150941542</v>
      </c>
      <c r="K120" s="4">
        <v>55.262752988341141</v>
      </c>
      <c r="L120" s="4">
        <v>76.085865484679431</v>
      </c>
      <c r="M120" s="4">
        <v>23.309279880084816</v>
      </c>
      <c r="N120" s="4">
        <v>73.050496947597452</v>
      </c>
      <c r="O120" s="4">
        <v>48.202693565602459</v>
      </c>
      <c r="P120" s="4">
        <v>80.838786488701786</v>
      </c>
      <c r="Q120" s="4">
        <v>64.489458562217337</v>
      </c>
      <c r="R120" s="4"/>
      <c r="S120" s="4">
        <v>72.289192083824616</v>
      </c>
      <c r="T120" s="4">
        <v>64.596859175010636</v>
      </c>
      <c r="U120" s="4">
        <v>59.478858612086505</v>
      </c>
    </row>
    <row r="121" spans="1:21" ht="15" x14ac:dyDescent="0.25">
      <c r="A121" t="s">
        <v>317</v>
      </c>
      <c r="B121" t="s">
        <v>318</v>
      </c>
      <c r="C121" s="11">
        <v>53.03355690479534</v>
      </c>
      <c r="D121" s="11">
        <v>136</v>
      </c>
      <c r="E121" s="4">
        <v>11.039944903581263</v>
      </c>
      <c r="F121" s="4">
        <v>45.094267423389724</v>
      </c>
      <c r="G121" s="4">
        <v>31.156779595024823</v>
      </c>
      <c r="H121" s="4">
        <v>41.59433441911677</v>
      </c>
      <c r="I121" s="4">
        <v>60.031787776583542</v>
      </c>
      <c r="J121" s="4">
        <v>41.109769000547736</v>
      </c>
      <c r="K121" s="4">
        <v>37.985097099746504</v>
      </c>
      <c r="L121" s="4">
        <v>53.356145767194903</v>
      </c>
      <c r="M121" s="4">
        <v>11.859647652122554</v>
      </c>
      <c r="N121" s="4">
        <v>49.201133889211732</v>
      </c>
      <c r="O121" s="4">
        <v>68.20918600972746</v>
      </c>
      <c r="P121" s="4">
        <v>98.737226397581779</v>
      </c>
      <c r="Q121" s="4">
        <v>92.154219941575803</v>
      </c>
      <c r="R121" s="4">
        <v>73.967021617293383</v>
      </c>
      <c r="S121" s="4">
        <v>66.646705140132667</v>
      </c>
      <c r="T121" s="4">
        <v>52.633922077453775</v>
      </c>
      <c r="U121" s="4">
        <v>66.793278671236308</v>
      </c>
    </row>
    <row r="122" spans="1:21" ht="15" x14ac:dyDescent="0.25">
      <c r="A122" t="s">
        <v>285</v>
      </c>
      <c r="B122" t="s">
        <v>286</v>
      </c>
      <c r="C122" s="11">
        <v>53.329439294053032</v>
      </c>
      <c r="D122" s="11">
        <v>134</v>
      </c>
      <c r="E122" s="4">
        <v>80.914560432212681</v>
      </c>
      <c r="F122" s="4">
        <v>36.365229049802991</v>
      </c>
      <c r="G122" s="4">
        <v>47.174258361336634</v>
      </c>
      <c r="H122" s="4">
        <v>29.370944407450995</v>
      </c>
      <c r="I122" s="4">
        <v>30.839198328244969</v>
      </c>
      <c r="J122" s="4">
        <v>54.301470927247706</v>
      </c>
      <c r="K122" s="4">
        <v>40.640143403826869</v>
      </c>
      <c r="L122" s="4">
        <v>45.59782053738116</v>
      </c>
      <c r="M122" s="4">
        <v>13.565721432859423</v>
      </c>
      <c r="N122" s="4">
        <v>86.165197802261574</v>
      </c>
      <c r="O122" s="4">
        <v>37.237091238472637</v>
      </c>
      <c r="P122" s="4">
        <v>93.71952045616365</v>
      </c>
      <c r="Q122" s="4">
        <v>73.215767976316329</v>
      </c>
      <c r="R122" s="4">
        <v>62.455193186888536</v>
      </c>
      <c r="S122" s="4">
        <v>65.847292428888693</v>
      </c>
      <c r="T122" s="4">
        <v>44.877708329546778</v>
      </c>
      <c r="U122" s="4">
        <v>64.313349700000003</v>
      </c>
    </row>
    <row r="123" spans="1:21" ht="15" x14ac:dyDescent="0.25">
      <c r="A123" t="s">
        <v>205</v>
      </c>
      <c r="B123" t="s">
        <v>206</v>
      </c>
      <c r="C123" s="11">
        <v>63.589158574407733</v>
      </c>
      <c r="D123" s="11">
        <v>105</v>
      </c>
      <c r="E123" s="4">
        <v>98.590414292973861</v>
      </c>
      <c r="F123" s="4">
        <v>46.034813964213697</v>
      </c>
      <c r="G123" s="4">
        <v>79.117430954679875</v>
      </c>
      <c r="H123" s="4">
        <v>89.401985680452128</v>
      </c>
      <c r="I123" s="4">
        <v>48.933011193958663</v>
      </c>
      <c r="J123" s="4">
        <v>57.03992786675542</v>
      </c>
      <c r="K123" s="4">
        <v>89.442289276700478</v>
      </c>
      <c r="L123" s="4">
        <v>75.104602874917106</v>
      </c>
      <c r="M123" s="4">
        <v>27.503429868964389</v>
      </c>
      <c r="N123" s="4">
        <v>39.162267765528718</v>
      </c>
      <c r="O123" s="4">
        <v>90.795291139835498</v>
      </c>
      <c r="P123" s="4">
        <v>61.350080199286218</v>
      </c>
      <c r="Q123" s="4">
        <v>67.953809288167719</v>
      </c>
      <c r="R123" s="4">
        <v>54.10969641735548</v>
      </c>
      <c r="S123" s="4">
        <v>23.497405638957176</v>
      </c>
      <c r="T123" s="4">
        <v>69.509321331833988</v>
      </c>
      <c r="U123" s="4">
        <v>63.469918010350966</v>
      </c>
    </row>
    <row r="124" spans="1:21" ht="15" x14ac:dyDescent="0.25">
      <c r="A124" t="s">
        <v>289</v>
      </c>
      <c r="B124" t="s">
        <v>290</v>
      </c>
      <c r="C124" s="11">
        <v>51.381143152093152</v>
      </c>
      <c r="D124" s="11">
        <v>146</v>
      </c>
      <c r="E124" s="4">
        <v>3.2300275482093652</v>
      </c>
      <c r="F124" s="4">
        <v>53.744796864730439</v>
      </c>
      <c r="G124" s="4">
        <v>43.639261959748083</v>
      </c>
      <c r="H124" s="4">
        <v>48.443661992261688</v>
      </c>
      <c r="I124" s="4">
        <v>62.18627876858757</v>
      </c>
      <c r="J124" s="4">
        <v>56.486989629215273</v>
      </c>
      <c r="K124" s="4">
        <v>1.3002065512673717</v>
      </c>
      <c r="L124" s="4">
        <v>62.80816271684705</v>
      </c>
      <c r="M124" s="4">
        <v>8.7412709526787058</v>
      </c>
      <c r="N124" s="4">
        <v>43.60822858944745</v>
      </c>
      <c r="O124" s="4">
        <v>63.949180747001321</v>
      </c>
      <c r="P124" s="4">
        <v>97.5217547518982</v>
      </c>
      <c r="Q124" s="4">
        <v>89.349635354322587</v>
      </c>
      <c r="R124" s="4"/>
      <c r="S124" s="4">
        <v>66.943713339697211</v>
      </c>
      <c r="T124" s="4">
        <v>55.805168688066324</v>
      </c>
      <c r="U124" s="4">
        <v>61.210511258022109</v>
      </c>
    </row>
    <row r="125" spans="1:21" ht="15" x14ac:dyDescent="0.25">
      <c r="A125" t="s">
        <v>175</v>
      </c>
      <c r="B125" t="s">
        <v>176</v>
      </c>
      <c r="C125" s="11">
        <v>69.557890555518384</v>
      </c>
      <c r="D125" s="11">
        <v>68</v>
      </c>
      <c r="E125" s="4">
        <v>99.980582524271853</v>
      </c>
      <c r="F125" s="4">
        <v>45.243686578678428</v>
      </c>
      <c r="G125" s="4">
        <v>79.039284944919146</v>
      </c>
      <c r="H125" s="4">
        <v>91.353762597233029</v>
      </c>
      <c r="I125" s="4">
        <v>55.560073159703386</v>
      </c>
      <c r="J125" s="4">
        <v>76.306868218755412</v>
      </c>
      <c r="K125" s="4">
        <v>89.963000127450456</v>
      </c>
      <c r="L125" s="4">
        <v>80.433319257317606</v>
      </c>
      <c r="M125" s="4">
        <v>56.823754303396242</v>
      </c>
      <c r="N125" s="4">
        <v>42.506356978080639</v>
      </c>
      <c r="O125" s="4">
        <v>82.616451210541513</v>
      </c>
      <c r="P125" s="4">
        <v>77.132579310685216</v>
      </c>
      <c r="Q125" s="4">
        <v>87.750799101530816</v>
      </c>
      <c r="R125" s="4">
        <v>49.21420717532208</v>
      </c>
      <c r="S125" s="4">
        <v>42.997356109696909</v>
      </c>
      <c r="T125" s="4">
        <v>68.481530798362982</v>
      </c>
      <c r="U125" s="4">
        <v>57.080527047867086</v>
      </c>
    </row>
    <row r="126" spans="1:21" ht="15" x14ac:dyDescent="0.25">
      <c r="A126" t="s">
        <v>237</v>
      </c>
      <c r="B126" t="s">
        <v>238</v>
      </c>
      <c r="C126" s="11">
        <v>59.86720464887587</v>
      </c>
      <c r="D126" s="11">
        <v>119</v>
      </c>
      <c r="E126" s="4">
        <v>55.14042900318276</v>
      </c>
      <c r="F126" s="4">
        <v>39.811801158323952</v>
      </c>
      <c r="G126" s="4">
        <v>49.789438075194028</v>
      </c>
      <c r="H126" s="4">
        <v>82.167908243913232</v>
      </c>
      <c r="I126" s="4">
        <v>87.307180258217556</v>
      </c>
      <c r="J126" s="4">
        <v>58.997681724553942</v>
      </c>
      <c r="K126" s="4">
        <v>48.496598579232739</v>
      </c>
      <c r="L126" s="4">
        <v>64.628143516368738</v>
      </c>
      <c r="M126" s="4">
        <v>23.646365204663415</v>
      </c>
      <c r="N126" s="4">
        <v>0</v>
      </c>
      <c r="O126" s="4">
        <v>76.785589831231519</v>
      </c>
      <c r="P126" s="4">
        <v>79.429260919100855</v>
      </c>
      <c r="Q126" s="4">
        <v>61.122826058428686</v>
      </c>
      <c r="R126" s="4">
        <v>60.52091119936253</v>
      </c>
      <c r="S126" s="4">
        <v>85.519218597624473</v>
      </c>
      <c r="T126" s="4">
        <v>69.6108442539132</v>
      </c>
      <c r="U126" s="4">
        <v>74.768282407577985</v>
      </c>
    </row>
    <row r="127" spans="1:21" ht="15" x14ac:dyDescent="0.25">
      <c r="A127" t="s">
        <v>341</v>
      </c>
      <c r="B127" t="s">
        <v>342</v>
      </c>
      <c r="C127" s="11">
        <v>49.448012073583577</v>
      </c>
      <c r="D127" s="11">
        <v>154</v>
      </c>
      <c r="E127" s="4">
        <v>5.5922865013774041</v>
      </c>
      <c r="F127" s="4">
        <v>42.931227993820606</v>
      </c>
      <c r="G127" s="4">
        <v>39.094721050446857</v>
      </c>
      <c r="H127" s="4">
        <v>8.4150873543800433</v>
      </c>
      <c r="I127" s="4">
        <v>40.234661755267432</v>
      </c>
      <c r="J127" s="4">
        <v>40.412730854929677</v>
      </c>
      <c r="K127" s="4">
        <v>13.470442535644622</v>
      </c>
      <c r="L127" s="4">
        <v>64.189952725584376</v>
      </c>
      <c r="M127" s="4">
        <v>3.2166697385955181</v>
      </c>
      <c r="N127" s="4">
        <v>81.757291605774782</v>
      </c>
      <c r="O127" s="4">
        <v>55.901905994361357</v>
      </c>
      <c r="P127" s="4">
        <v>91.155518995940085</v>
      </c>
      <c r="Q127" s="4">
        <v>95.12758247231892</v>
      </c>
      <c r="R127" s="4"/>
      <c r="S127" s="4">
        <v>73.749860384132646</v>
      </c>
      <c r="T127" s="4">
        <v>55.869819314763532</v>
      </c>
      <c r="U127" s="4">
        <v>74.985862099999991</v>
      </c>
    </row>
    <row r="128" spans="1:21" ht="15" x14ac:dyDescent="0.25">
      <c r="A128" t="s">
        <v>311</v>
      </c>
      <c r="B128" t="s">
        <v>312</v>
      </c>
      <c r="C128" s="11">
        <v>46.405791749960798</v>
      </c>
      <c r="D128" s="11">
        <v>159</v>
      </c>
      <c r="E128" s="4">
        <v>17.148760330578508</v>
      </c>
      <c r="F128" s="4">
        <v>48.014625277601851</v>
      </c>
      <c r="G128" s="4">
        <v>28.040012521695811</v>
      </c>
      <c r="H128" s="4">
        <v>32.128384690389233</v>
      </c>
      <c r="I128" s="4">
        <v>36.50498826843603</v>
      </c>
      <c r="J128" s="4">
        <v>53.521653912463179</v>
      </c>
      <c r="K128" s="4">
        <v>37.074479425964718</v>
      </c>
      <c r="L128" s="4">
        <v>64.707157004877203</v>
      </c>
      <c r="M128" s="4">
        <v>18.383456764844201</v>
      </c>
      <c r="N128" s="4">
        <v>9.0562471201722055</v>
      </c>
      <c r="O128" s="4">
        <v>32.641457130491325</v>
      </c>
      <c r="P128" s="4">
        <v>94.837284728581565</v>
      </c>
      <c r="Q128" s="4">
        <v>96.137889140562109</v>
      </c>
      <c r="R128" s="4">
        <v>51.433329683857146</v>
      </c>
      <c r="S128" s="4">
        <v>76.323667918013101</v>
      </c>
      <c r="T128" s="4">
        <v>42.945065830805447</v>
      </c>
      <c r="U128" s="4">
        <v>50</v>
      </c>
    </row>
    <row r="129" spans="1:21" ht="15" x14ac:dyDescent="0.25">
      <c r="A129" t="s">
        <v>227</v>
      </c>
      <c r="B129" t="s">
        <v>228</v>
      </c>
      <c r="C129" s="11">
        <v>67.943408643478023</v>
      </c>
      <c r="D129" s="11">
        <v>82</v>
      </c>
      <c r="E129" s="4">
        <v>85.063494610714372</v>
      </c>
      <c r="F129" s="4">
        <v>45.753830265879444</v>
      </c>
      <c r="G129" s="4">
        <v>76.790152367668227</v>
      </c>
      <c r="H129" s="4">
        <v>76.505842414839918</v>
      </c>
      <c r="I129" s="4">
        <v>82.05185606782743</v>
      </c>
      <c r="J129" s="4">
        <v>66.813436394094268</v>
      </c>
      <c r="K129" s="4">
        <v>70.574495962134804</v>
      </c>
      <c r="L129" s="4">
        <v>72.333700555055842</v>
      </c>
      <c r="M129" s="4">
        <v>14.656672809119803</v>
      </c>
      <c r="N129" s="4">
        <v>46.413768848902741</v>
      </c>
      <c r="O129" s="4">
        <v>77.483571378369234</v>
      </c>
      <c r="P129" s="4">
        <v>90.24627072239339</v>
      </c>
      <c r="Q129" s="4">
        <v>94.92707067245891</v>
      </c>
      <c r="R129" s="4">
        <v>59.173108170645023</v>
      </c>
      <c r="S129" s="4">
        <v>73.778811172549695</v>
      </c>
      <c r="T129" s="4">
        <v>61.50903132861751</v>
      </c>
      <c r="U129" s="4">
        <v>60.962833197855893</v>
      </c>
    </row>
    <row r="130" spans="1:21" ht="15" x14ac:dyDescent="0.25">
      <c r="A130" t="s">
        <v>59</v>
      </c>
      <c r="B130" t="s">
        <v>60</v>
      </c>
      <c r="C130" s="11">
        <v>80.378564185555263</v>
      </c>
      <c r="D130" s="11">
        <v>9</v>
      </c>
      <c r="E130" s="4">
        <v>99.6126534542245</v>
      </c>
      <c r="F130" s="4">
        <v>65.41403886724278</v>
      </c>
      <c r="G130" s="4">
        <v>96.434172857759464</v>
      </c>
      <c r="H130" s="4">
        <v>94.211103896103893</v>
      </c>
      <c r="I130" s="4">
        <v>81.549350387356739</v>
      </c>
      <c r="J130" s="4">
        <v>92.653262156731216</v>
      </c>
      <c r="K130" s="4">
        <v>91.553301880214278</v>
      </c>
      <c r="L130" s="4">
        <v>83.054825013156872</v>
      </c>
      <c r="M130" s="4">
        <v>82.344382055551321</v>
      </c>
      <c r="N130" s="4">
        <v>94.57258405819745</v>
      </c>
      <c r="O130" s="4">
        <v>91.067732427540719</v>
      </c>
      <c r="P130" s="4">
        <v>44.048788743519545</v>
      </c>
      <c r="Q130" s="4">
        <v>88.280693231338347</v>
      </c>
      <c r="R130" s="4">
        <v>41.210042246050001</v>
      </c>
      <c r="S130" s="4">
        <v>83.202236692531983</v>
      </c>
      <c r="T130" s="4">
        <v>83.540238001734608</v>
      </c>
      <c r="U130" s="4">
        <v>53.686185185185188</v>
      </c>
    </row>
    <row r="131" spans="1:21" ht="15" x14ac:dyDescent="0.25">
      <c r="A131" t="s">
        <v>33</v>
      </c>
      <c r="B131" t="s">
        <v>34</v>
      </c>
      <c r="C131" s="11">
        <v>80.660824396521122</v>
      </c>
      <c r="D131" s="11">
        <v>8</v>
      </c>
      <c r="E131" s="4">
        <v>99.479887132579108</v>
      </c>
      <c r="F131" s="4">
        <v>57.031953681165952</v>
      </c>
      <c r="G131" s="4">
        <v>97.892753783631207</v>
      </c>
      <c r="H131" s="4">
        <v>99.867792207792206</v>
      </c>
      <c r="I131" s="4">
        <v>87.717651217399606</v>
      </c>
      <c r="J131" s="4">
        <v>87.454439671226709</v>
      </c>
      <c r="K131" s="4">
        <v>98.56283633717851</v>
      </c>
      <c r="L131" s="4">
        <v>78.478589865298716</v>
      </c>
      <c r="M131" s="4">
        <v>79.962894021437265</v>
      </c>
      <c r="N131" s="4">
        <v>100</v>
      </c>
      <c r="O131" s="4">
        <v>86.09720969236669</v>
      </c>
      <c r="P131" s="4">
        <v>30.500201679223562</v>
      </c>
      <c r="Q131" s="4">
        <v>54.354320980808183</v>
      </c>
      <c r="R131" s="4">
        <v>66.174818485568153</v>
      </c>
      <c r="S131" s="4">
        <v>63.151750116982349</v>
      </c>
      <c r="T131" s="4">
        <v>84.941101053385992</v>
      </c>
      <c r="U131" s="4">
        <v>99.565814814814814</v>
      </c>
    </row>
    <row r="132" spans="1:21" ht="15" x14ac:dyDescent="0.25">
      <c r="A132" t="s">
        <v>217</v>
      </c>
      <c r="B132" t="s">
        <v>218</v>
      </c>
      <c r="C132" s="11">
        <v>63.934703982277625</v>
      </c>
      <c r="D132" s="11">
        <v>103</v>
      </c>
      <c r="E132" s="4">
        <v>62.314410655540399</v>
      </c>
      <c r="F132" s="4">
        <v>55.076146512843934</v>
      </c>
      <c r="G132" s="4">
        <v>58.667141347822223</v>
      </c>
      <c r="H132" s="4">
        <v>82.579057278191513</v>
      </c>
      <c r="I132" s="4">
        <v>57.903436022555383</v>
      </c>
      <c r="J132" s="4">
        <v>62.920051486513934</v>
      </c>
      <c r="K132" s="4">
        <v>62.691459570373773</v>
      </c>
      <c r="L132" s="4">
        <v>72.576104488928848</v>
      </c>
      <c r="M132" s="4">
        <v>20.242973513470897</v>
      </c>
      <c r="N132" s="4">
        <v>83.177502390364523</v>
      </c>
      <c r="O132" s="4">
        <v>45.3941488731733</v>
      </c>
      <c r="P132" s="4">
        <v>98.238942646672328</v>
      </c>
      <c r="Q132" s="4">
        <v>97.963852752516345</v>
      </c>
      <c r="R132" s="4"/>
      <c r="S132" s="4">
        <v>68.771355764061084</v>
      </c>
      <c r="T132" s="4">
        <v>53.33074303068431</v>
      </c>
      <c r="U132" s="4">
        <v>58.676620837894433</v>
      </c>
    </row>
    <row r="133" spans="1:21" ht="15" x14ac:dyDescent="0.25">
      <c r="A133" t="s">
        <v>383</v>
      </c>
      <c r="B133" t="s">
        <v>384</v>
      </c>
      <c r="C133" s="11"/>
      <c r="D133" s="11"/>
      <c r="E133" s="4"/>
      <c r="F133" s="4"/>
      <c r="G133" s="4"/>
      <c r="H133" s="4"/>
      <c r="I133" s="4"/>
      <c r="J133" s="4"/>
      <c r="K133" s="4"/>
      <c r="L133" s="4"/>
      <c r="M133" s="4"/>
      <c r="N133" s="4"/>
      <c r="O133" s="4"/>
      <c r="P133" s="4"/>
      <c r="Q133" s="4"/>
      <c r="R133" s="4"/>
      <c r="S133" s="4"/>
      <c r="T133" s="4"/>
      <c r="U133" s="4"/>
    </row>
    <row r="134" spans="1:21" ht="15" x14ac:dyDescent="0.25">
      <c r="A134" t="s">
        <v>73</v>
      </c>
      <c r="B134" t="s">
        <v>74</v>
      </c>
      <c r="C134" s="11">
        <v>79.498484385834075</v>
      </c>
      <c r="D134" s="11">
        <v>11</v>
      </c>
      <c r="E134" s="4">
        <v>99.973695471930242</v>
      </c>
      <c r="F134" s="4">
        <v>63.081356913662702</v>
      </c>
      <c r="G134" s="4">
        <v>94.637805774870543</v>
      </c>
      <c r="H134" s="4">
        <v>98.09562770562772</v>
      </c>
      <c r="I134" s="4">
        <v>84.706473158186867</v>
      </c>
      <c r="J134" s="4">
        <v>90.734298740777106</v>
      </c>
      <c r="K134" s="4">
        <v>95.876871920983191</v>
      </c>
      <c r="L134" s="4">
        <v>88.146059107149242</v>
      </c>
      <c r="M134" s="4">
        <v>73.881888414179784</v>
      </c>
      <c r="N134" s="4"/>
      <c r="O134" s="4">
        <v>83.039200234652398</v>
      </c>
      <c r="P134" s="4">
        <v>51.51806097485504</v>
      </c>
      <c r="Q134" s="4">
        <v>91.532351035939385</v>
      </c>
      <c r="R134" s="4">
        <v>57.012007981037186</v>
      </c>
      <c r="S134" s="4">
        <v>47.064250361734011</v>
      </c>
      <c r="T134" s="4">
        <v>92.60992495473117</v>
      </c>
      <c r="U134" s="4">
        <v>64.905925925925928</v>
      </c>
    </row>
    <row r="135" spans="1:21" ht="15" x14ac:dyDescent="0.25">
      <c r="A135" t="s">
        <v>199</v>
      </c>
      <c r="B135" t="s">
        <v>200</v>
      </c>
      <c r="C135" s="11">
        <v>67.855285199563681</v>
      </c>
      <c r="D135" s="11">
        <v>83</v>
      </c>
      <c r="E135" s="4"/>
      <c r="F135" s="4">
        <v>49.961248654576998</v>
      </c>
      <c r="G135" s="4">
        <v>83.906487861132476</v>
      </c>
      <c r="H135" s="4">
        <v>94.812002799684834</v>
      </c>
      <c r="I135" s="4">
        <v>35.762451732734704</v>
      </c>
      <c r="J135" s="4">
        <v>37.914194080386466</v>
      </c>
      <c r="K135" s="4">
        <v>86.698359381909498</v>
      </c>
      <c r="L135" s="4">
        <v>71.262971851190017</v>
      </c>
      <c r="M135" s="4">
        <v>44.913463583500352</v>
      </c>
      <c r="N135" s="4"/>
      <c r="O135" s="4">
        <v>77.475998073803225</v>
      </c>
      <c r="P135" s="4">
        <v>69.817641100515985</v>
      </c>
      <c r="Q135" s="4">
        <v>71.060191307196888</v>
      </c>
      <c r="R135" s="4">
        <v>65.092755226913582</v>
      </c>
      <c r="S135" s="4">
        <v>51.674856169932447</v>
      </c>
      <c r="T135" s="4">
        <v>74.917204328365457</v>
      </c>
      <c r="U135" s="4">
        <v>74.714449866666669</v>
      </c>
    </row>
    <row r="136" spans="1:21" ht="15" x14ac:dyDescent="0.25">
      <c r="A136" t="s">
        <v>275</v>
      </c>
      <c r="B136" t="s">
        <v>276</v>
      </c>
      <c r="C136" s="11">
        <v>55.566034091191867</v>
      </c>
      <c r="D136" s="11">
        <v>130</v>
      </c>
      <c r="E136" s="4">
        <v>77.864692824092643</v>
      </c>
      <c r="F136" s="4">
        <v>34.351446793964257</v>
      </c>
      <c r="G136" s="4">
        <v>50.193042824086852</v>
      </c>
      <c r="H136" s="4">
        <v>47.493486089049917</v>
      </c>
      <c r="I136" s="4">
        <v>28.869081933623384</v>
      </c>
      <c r="J136" s="4">
        <v>46.325932506755592</v>
      </c>
      <c r="K136" s="4">
        <v>72.372316006827219</v>
      </c>
      <c r="L136" s="4">
        <v>65.728017170236697</v>
      </c>
      <c r="M136" s="4">
        <v>14.991035794286015</v>
      </c>
      <c r="N136" s="4">
        <v>57.962588525154224</v>
      </c>
      <c r="O136" s="4">
        <v>50.571897970336806</v>
      </c>
      <c r="P136" s="4">
        <v>92.103302770959985</v>
      </c>
      <c r="Q136" s="4">
        <v>98.730610429398638</v>
      </c>
      <c r="R136" s="4">
        <v>47.610872374028354</v>
      </c>
      <c r="S136" s="4">
        <v>66.981085788058664</v>
      </c>
      <c r="T136" s="4">
        <v>49.128125016055499</v>
      </c>
      <c r="U136" s="4">
        <v>43.345044733347045</v>
      </c>
    </row>
    <row r="137" spans="1:21" ht="15" x14ac:dyDescent="0.25">
      <c r="A137" t="s">
        <v>213</v>
      </c>
      <c r="B137" t="s">
        <v>214</v>
      </c>
      <c r="C137" s="11">
        <v>66.306559572046211</v>
      </c>
      <c r="D137" s="11">
        <v>90</v>
      </c>
      <c r="E137" s="4">
        <v>93.526986546845336</v>
      </c>
      <c r="F137" s="4">
        <v>49.593821181671558</v>
      </c>
      <c r="G137" s="4">
        <v>78.8848583014193</v>
      </c>
      <c r="H137" s="4">
        <v>78.832449810549861</v>
      </c>
      <c r="I137" s="4">
        <v>65.325777812583723</v>
      </c>
      <c r="J137" s="4">
        <v>71.814894183440131</v>
      </c>
      <c r="K137" s="4">
        <v>87.82434077442889</v>
      </c>
      <c r="L137" s="4">
        <v>77.378944127092382</v>
      </c>
      <c r="M137" s="4">
        <v>29.333804795582381</v>
      </c>
      <c r="N137" s="4">
        <v>25.352643912946675</v>
      </c>
      <c r="O137" s="4">
        <v>88.655073313070659</v>
      </c>
      <c r="P137" s="4">
        <v>80.20135604629489</v>
      </c>
      <c r="Q137" s="4">
        <v>90.240604054252728</v>
      </c>
      <c r="R137" s="4">
        <v>55.417227801952478</v>
      </c>
      <c r="S137" s="4">
        <v>57.206117615466979</v>
      </c>
      <c r="T137" s="4">
        <v>64.729088547187473</v>
      </c>
      <c r="U137" s="4">
        <v>32.893523900000005</v>
      </c>
    </row>
    <row r="138" spans="1:21" ht="15" x14ac:dyDescent="0.25">
      <c r="A138" t="s">
        <v>149</v>
      </c>
      <c r="B138" t="s">
        <v>150</v>
      </c>
      <c r="C138" s="11">
        <v>71.185725324021902</v>
      </c>
      <c r="D138" s="11">
        <v>51</v>
      </c>
      <c r="E138" s="4">
        <v>89.864492230335117</v>
      </c>
      <c r="F138" s="4">
        <v>61.288933856778996</v>
      </c>
      <c r="G138" s="4">
        <v>77.96195045614671</v>
      </c>
      <c r="H138" s="4">
        <v>91.600103783967484</v>
      </c>
      <c r="I138" s="4">
        <v>68.138357800780511</v>
      </c>
      <c r="J138" s="4">
        <v>76.931762339393728</v>
      </c>
      <c r="K138" s="4">
        <v>83.716913699059077</v>
      </c>
      <c r="L138" s="4">
        <v>75.60585152286896</v>
      </c>
      <c r="M138" s="4">
        <v>32.891385247375652</v>
      </c>
      <c r="N138" s="4">
        <v>41.830331171062632</v>
      </c>
      <c r="O138" s="4">
        <v>73.094508639833322</v>
      </c>
      <c r="P138" s="4">
        <v>78.769061251976311</v>
      </c>
      <c r="Q138" s="4">
        <v>93.054083862757707</v>
      </c>
      <c r="R138" s="4">
        <v>78.759659666408538</v>
      </c>
      <c r="S138" s="4">
        <v>71.314810227532519</v>
      </c>
      <c r="T138" s="4">
        <v>58.198219133373385</v>
      </c>
      <c r="U138" s="4">
        <v>57.136905618721613</v>
      </c>
    </row>
    <row r="139" spans="1:21" ht="15" x14ac:dyDescent="0.25">
      <c r="A139" t="s">
        <v>215</v>
      </c>
      <c r="B139" t="s">
        <v>216</v>
      </c>
      <c r="C139" s="11">
        <v>64.936388939171209</v>
      </c>
      <c r="D139" s="11">
        <v>97</v>
      </c>
      <c r="E139" s="4">
        <v>74.366083607478132</v>
      </c>
      <c r="F139" s="4">
        <v>53.097067169870421</v>
      </c>
      <c r="G139" s="4">
        <v>58.889126067631025</v>
      </c>
      <c r="H139" s="4">
        <v>89.391341094250834</v>
      </c>
      <c r="I139" s="4">
        <v>64.054370703990614</v>
      </c>
      <c r="J139" s="4">
        <v>67.6219934122919</v>
      </c>
      <c r="K139" s="4">
        <v>69.915977398663401</v>
      </c>
      <c r="L139" s="4">
        <v>72.507355443637067</v>
      </c>
      <c r="M139" s="4">
        <v>33.670331032543508</v>
      </c>
      <c r="N139" s="4">
        <v>35.291223123039998</v>
      </c>
      <c r="O139" s="4">
        <v>72.596541634107908</v>
      </c>
      <c r="P139" s="4">
        <v>94.203633551868037</v>
      </c>
      <c r="Q139" s="4">
        <v>94.364058565060731</v>
      </c>
      <c r="R139" s="4">
        <v>62.192026395750972</v>
      </c>
      <c r="S139" s="4">
        <v>55.430032617698203</v>
      </c>
      <c r="T139" s="4">
        <v>57.865770100103731</v>
      </c>
      <c r="U139" s="4">
        <v>48.461680047924062</v>
      </c>
    </row>
    <row r="140" spans="1:21" ht="15" x14ac:dyDescent="0.25">
      <c r="A140" t="s">
        <v>385</v>
      </c>
      <c r="B140" t="s">
        <v>386</v>
      </c>
      <c r="C140" s="11"/>
      <c r="D140" s="11"/>
      <c r="E140" s="4"/>
      <c r="F140" s="4"/>
      <c r="G140" s="4"/>
      <c r="H140" s="4"/>
      <c r="I140" s="4"/>
      <c r="J140" s="4"/>
      <c r="K140" s="4"/>
      <c r="L140" s="4"/>
      <c r="M140" s="4"/>
      <c r="N140" s="4"/>
      <c r="O140" s="4"/>
      <c r="P140" s="4"/>
      <c r="Q140" s="4"/>
      <c r="R140" s="4"/>
      <c r="S140" s="4"/>
      <c r="T140" s="4"/>
      <c r="U140" s="4"/>
    </row>
    <row r="141" spans="1:21" ht="15" x14ac:dyDescent="0.25">
      <c r="A141" t="s">
        <v>315</v>
      </c>
      <c r="B141" t="s">
        <v>316</v>
      </c>
      <c r="C141" s="11">
        <v>51.615213771093018</v>
      </c>
      <c r="D141" s="11">
        <v>143</v>
      </c>
      <c r="E141" s="4">
        <v>29.249311294765839</v>
      </c>
      <c r="F141" s="4">
        <v>27.602561934206662</v>
      </c>
      <c r="G141" s="4">
        <v>46.318969237452421</v>
      </c>
      <c r="H141" s="4">
        <v>48.281101553442305</v>
      </c>
      <c r="I141" s="4">
        <v>44.029886327582986</v>
      </c>
      <c r="J141" s="4">
        <v>27.465163400933555</v>
      </c>
      <c r="K141" s="4">
        <v>13.440078033579487</v>
      </c>
      <c r="L141" s="4">
        <v>76.894977532664655</v>
      </c>
      <c r="M141" s="4">
        <v>4.5597857209256851</v>
      </c>
      <c r="N141" s="4">
        <v>59.436619718309856</v>
      </c>
      <c r="O141" s="4">
        <v>80.783953489217041</v>
      </c>
      <c r="P141" s="4">
        <v>97.571952320984337</v>
      </c>
      <c r="Q141" s="4">
        <v>86.492030250954315</v>
      </c>
      <c r="R141" s="4">
        <v>47.725216155161071</v>
      </c>
      <c r="S141" s="4">
        <v>62.340062479845059</v>
      </c>
      <c r="T141" s="4">
        <v>66.266186560801685</v>
      </c>
      <c r="U141" s="4">
        <v>59.000778097754541</v>
      </c>
    </row>
    <row r="142" spans="1:21" ht="15" x14ac:dyDescent="0.25">
      <c r="A142" t="s">
        <v>37</v>
      </c>
      <c r="B142" t="s">
        <v>38</v>
      </c>
      <c r="C142" s="11">
        <v>75.928088942651129</v>
      </c>
      <c r="D142" s="11">
        <v>29</v>
      </c>
      <c r="E142" s="4">
        <v>99.908555992404189</v>
      </c>
      <c r="F142" s="4">
        <v>61.231575600904378</v>
      </c>
      <c r="G142" s="4">
        <v>87.564322678121471</v>
      </c>
      <c r="H142" s="4">
        <v>94.393606695274926</v>
      </c>
      <c r="I142" s="4">
        <v>71.115376510241376</v>
      </c>
      <c r="J142" s="4">
        <v>81.952990262747548</v>
      </c>
      <c r="K142" s="4">
        <v>89.715725019566207</v>
      </c>
      <c r="L142" s="4">
        <v>84.395775162751306</v>
      </c>
      <c r="M142" s="4">
        <v>54.906350972509195</v>
      </c>
      <c r="N142" s="4">
        <v>53.713138338545676</v>
      </c>
      <c r="O142" s="4">
        <v>78.479336018151926</v>
      </c>
      <c r="P142" s="4">
        <v>73.683056822001333</v>
      </c>
      <c r="Q142" s="4">
        <v>89.157762523094945</v>
      </c>
      <c r="R142" s="4">
        <v>43.719898402355746</v>
      </c>
      <c r="S142" s="4">
        <v>92.00192854072472</v>
      </c>
      <c r="T142" s="4">
        <v>81.44044581900711</v>
      </c>
      <c r="U142" s="4">
        <v>53.397666666666659</v>
      </c>
    </row>
    <row r="143" spans="1:21" ht="15" x14ac:dyDescent="0.25">
      <c r="A143" t="s">
        <v>387</v>
      </c>
      <c r="B143" t="s">
        <v>388</v>
      </c>
      <c r="C143" s="11"/>
      <c r="D143" s="11"/>
      <c r="E143" s="4"/>
      <c r="F143" s="4"/>
      <c r="G143" s="4"/>
      <c r="H143" s="4"/>
      <c r="I143" s="4"/>
      <c r="J143" s="4"/>
      <c r="K143" s="4"/>
      <c r="L143" s="4"/>
      <c r="M143" s="4"/>
      <c r="N143" s="4"/>
      <c r="O143" s="4"/>
      <c r="P143" s="4"/>
      <c r="Q143" s="4"/>
      <c r="R143" s="4"/>
      <c r="S143" s="4"/>
      <c r="T143" s="4"/>
      <c r="U143" s="4"/>
    </row>
    <row r="144" spans="1:21" ht="15" x14ac:dyDescent="0.25">
      <c r="A144" t="s">
        <v>55</v>
      </c>
      <c r="B144" t="s">
        <v>56</v>
      </c>
      <c r="C144" s="11">
        <v>76.425953618360921</v>
      </c>
      <c r="D144" s="11">
        <v>26</v>
      </c>
      <c r="E144" s="4">
        <v>98.737716975581066</v>
      </c>
      <c r="F144" s="4">
        <v>56.02519123772182</v>
      </c>
      <c r="G144" s="4">
        <v>92.13605211812876</v>
      </c>
      <c r="H144" s="4">
        <v>95.466968670016115</v>
      </c>
      <c r="I144" s="4">
        <v>80.709400850110768</v>
      </c>
      <c r="J144" s="4">
        <v>87.025645975959861</v>
      </c>
      <c r="K144" s="4">
        <v>94.599107335728363</v>
      </c>
      <c r="L144" s="4">
        <v>82.346740541799747</v>
      </c>
      <c r="M144" s="4">
        <v>56.134422356599565</v>
      </c>
      <c r="N144" s="4">
        <v>57.347292295643982</v>
      </c>
      <c r="O144" s="4">
        <v>84.415862634120884</v>
      </c>
      <c r="P144" s="4">
        <v>54.825606986912085</v>
      </c>
      <c r="Q144" s="4">
        <v>91.523949978283127</v>
      </c>
      <c r="R144" s="4">
        <v>51.782209009915576</v>
      </c>
      <c r="S144" s="4">
        <v>73.3780007118675</v>
      </c>
      <c r="T144" s="4">
        <v>84.130191981894612</v>
      </c>
      <c r="U144" s="4">
        <v>58.656851851851854</v>
      </c>
    </row>
    <row r="145" spans="1:21" ht="15" x14ac:dyDescent="0.25">
      <c r="A145" t="s">
        <v>195</v>
      </c>
      <c r="B145" t="s">
        <v>196</v>
      </c>
      <c r="C145" s="11">
        <v>67.518446793134117</v>
      </c>
      <c r="D145" s="11">
        <v>86</v>
      </c>
      <c r="E145" s="4">
        <v>94.875979566182565</v>
      </c>
      <c r="F145" s="4">
        <v>66.866301955004602</v>
      </c>
      <c r="G145" s="4">
        <v>73.871267896437033</v>
      </c>
      <c r="H145" s="4">
        <v>76.214067620429731</v>
      </c>
      <c r="I145" s="4">
        <v>66.567939038302811</v>
      </c>
      <c r="J145" s="4">
        <v>77.487199981867633</v>
      </c>
      <c r="K145" s="4">
        <v>87.341761237537824</v>
      </c>
      <c r="L145" s="4">
        <v>77.692140705211997</v>
      </c>
      <c r="M145" s="4">
        <v>23.774964512924075</v>
      </c>
      <c r="N145" s="4">
        <v>42.401553543520649</v>
      </c>
      <c r="O145" s="4">
        <v>77.390576273218855</v>
      </c>
      <c r="P145" s="4">
        <v>81.800632575499506</v>
      </c>
      <c r="Q145" s="4">
        <v>93.040562433602148</v>
      </c>
      <c r="R145" s="4"/>
      <c r="S145" s="4">
        <v>44.705045066744901</v>
      </c>
      <c r="T145" s="4">
        <v>48.443563187125534</v>
      </c>
      <c r="U145" s="4">
        <v>61.571017369528732</v>
      </c>
    </row>
    <row r="146" spans="1:21" ht="15" x14ac:dyDescent="0.25">
      <c r="A146" t="s">
        <v>219</v>
      </c>
      <c r="B146" t="s">
        <v>220</v>
      </c>
      <c r="C146" s="11">
        <v>66.279108915129299</v>
      </c>
      <c r="D146" s="11">
        <v>91</v>
      </c>
      <c r="E146" s="4"/>
      <c r="F146" s="4">
        <v>59.697277097304131</v>
      </c>
      <c r="G146" s="4">
        <v>87.674591732588709</v>
      </c>
      <c r="H146" s="4">
        <v>86.440407852142314</v>
      </c>
      <c r="I146" s="4">
        <v>57.594012175947341</v>
      </c>
      <c r="J146" s="4">
        <v>54</v>
      </c>
      <c r="K146" s="4">
        <v>88.244241894923334</v>
      </c>
      <c r="L146" s="4">
        <v>73.854562945064345</v>
      </c>
      <c r="M146" s="4">
        <v>56.945736718843278</v>
      </c>
      <c r="N146" s="4"/>
      <c r="O146" s="4">
        <v>35.504446486725541</v>
      </c>
      <c r="P146" s="4">
        <v>58.012630662752962</v>
      </c>
      <c r="Q146" s="4">
        <v>49.922692019726028</v>
      </c>
      <c r="R146" s="4">
        <v>45.456542675070025</v>
      </c>
      <c r="S146" s="4">
        <v>59.551690680612062</v>
      </c>
      <c r="T146" s="4">
        <v>81.26677727475824</v>
      </c>
      <c r="U146" s="4">
        <v>69.023668966666662</v>
      </c>
    </row>
    <row r="147" spans="1:21" ht="15" x14ac:dyDescent="0.25">
      <c r="A147" t="s">
        <v>89</v>
      </c>
      <c r="B147" t="s">
        <v>90</v>
      </c>
      <c r="C147" s="11">
        <v>72.730755238719397</v>
      </c>
      <c r="D147" s="11">
        <v>42</v>
      </c>
      <c r="E147" s="4">
        <v>98.831554735349968</v>
      </c>
      <c r="F147" s="4">
        <v>58.032681183307595</v>
      </c>
      <c r="G147" s="4">
        <v>80.63083019907944</v>
      </c>
      <c r="H147" s="4">
        <v>84.165100876898904</v>
      </c>
      <c r="I147" s="4">
        <v>64.473257120691756</v>
      </c>
      <c r="J147" s="4">
        <v>77.980159904073815</v>
      </c>
      <c r="K147" s="4">
        <v>88.96957007540901</v>
      </c>
      <c r="L147" s="4">
        <v>80.441503625087506</v>
      </c>
      <c r="M147" s="4">
        <v>41.341852761026082</v>
      </c>
      <c r="N147" s="4">
        <v>29.969208341249278</v>
      </c>
      <c r="O147" s="4">
        <v>81.253572973598423</v>
      </c>
      <c r="P147" s="4">
        <v>71.930190064177268</v>
      </c>
      <c r="Q147" s="4">
        <v>95.230795453067429</v>
      </c>
      <c r="R147" s="4">
        <v>53.295432642180458</v>
      </c>
      <c r="S147" s="4">
        <v>84.250024748279571</v>
      </c>
      <c r="T147" s="4">
        <v>76.099292717517585</v>
      </c>
      <c r="U147" s="4">
        <v>69.527811637235644</v>
      </c>
    </row>
    <row r="148" spans="1:21" ht="15" x14ac:dyDescent="0.25">
      <c r="A148" t="s">
        <v>117</v>
      </c>
      <c r="B148" t="s">
        <v>118</v>
      </c>
      <c r="C148" s="11">
        <v>70.940338615886176</v>
      </c>
      <c r="D148" s="11">
        <v>55</v>
      </c>
      <c r="E148" s="4">
        <v>99.951456310679617</v>
      </c>
      <c r="F148" s="4">
        <v>45.556526426995063</v>
      </c>
      <c r="G148" s="4">
        <v>78.057416620310022</v>
      </c>
      <c r="H148" s="4">
        <v>97.206164319637807</v>
      </c>
      <c r="I148" s="4">
        <v>67.186122451914684</v>
      </c>
      <c r="J148" s="4">
        <v>89.009460437667343</v>
      </c>
      <c r="K148" s="4">
        <v>91.18909295788994</v>
      </c>
      <c r="L148" s="4">
        <v>75.483093741678843</v>
      </c>
      <c r="M148" s="4">
        <v>50.07570948460485</v>
      </c>
      <c r="N148" s="4">
        <v>54.004059375171934</v>
      </c>
      <c r="O148" s="4">
        <v>82.32692799621168</v>
      </c>
      <c r="P148" s="4">
        <v>69.080848239597245</v>
      </c>
      <c r="Q148" s="4">
        <v>82.227334114709421</v>
      </c>
      <c r="R148" s="4">
        <v>42.48602644520868</v>
      </c>
      <c r="S148" s="4">
        <v>66.205834943371457</v>
      </c>
      <c r="T148" s="4">
        <v>50.578740573424838</v>
      </c>
      <c r="U148" s="4">
        <v>65.360942030991723</v>
      </c>
    </row>
    <row r="149" spans="1:21" ht="15" x14ac:dyDescent="0.25">
      <c r="A149" t="s">
        <v>271</v>
      </c>
      <c r="B149" t="s">
        <v>272</v>
      </c>
      <c r="C149" s="11">
        <v>56.02193655175769</v>
      </c>
      <c r="D149" s="11">
        <v>126</v>
      </c>
      <c r="E149" s="4">
        <v>17.114325068870521</v>
      </c>
      <c r="F149" s="4">
        <v>51.692357523996108</v>
      </c>
      <c r="G149" s="4">
        <v>60.017708907114645</v>
      </c>
      <c r="H149" s="4">
        <v>60.890284430946963</v>
      </c>
      <c r="I149" s="4">
        <v>80.471053222722119</v>
      </c>
      <c r="J149" s="4">
        <v>56.187158782358679</v>
      </c>
      <c r="K149" s="4">
        <v>11.14961496149615</v>
      </c>
      <c r="L149" s="4">
        <v>69.768169374740964</v>
      </c>
      <c r="M149" s="4">
        <v>15.721907683849119</v>
      </c>
      <c r="N149" s="4">
        <v>27.311000689654286</v>
      </c>
      <c r="O149" s="4">
        <v>58.58069936366212</v>
      </c>
      <c r="P149" s="4">
        <v>95.813212735277546</v>
      </c>
      <c r="Q149" s="4">
        <v>98.648642901211218</v>
      </c>
      <c r="R149" s="4"/>
      <c r="S149" s="4">
        <v>66.454025815660131</v>
      </c>
      <c r="T149" s="4">
        <v>70.907521338763729</v>
      </c>
      <c r="U149" s="4">
        <v>57.134654705973468</v>
      </c>
    </row>
    <row r="150" spans="1:21" ht="15" x14ac:dyDescent="0.25">
      <c r="A150" t="s">
        <v>207</v>
      </c>
      <c r="B150" t="s">
        <v>208</v>
      </c>
      <c r="C150" s="11">
        <v>64.837986843164231</v>
      </c>
      <c r="D150" s="11">
        <v>98</v>
      </c>
      <c r="E150" s="4"/>
      <c r="F150" s="4">
        <v>45.636858315265791</v>
      </c>
      <c r="G150" s="4">
        <v>81.608116446152309</v>
      </c>
      <c r="H150" s="4">
        <v>97.643723654690803</v>
      </c>
      <c r="I150" s="4">
        <v>39.144733214214597</v>
      </c>
      <c r="J150" s="4">
        <v>53.767496940953336</v>
      </c>
      <c r="K150" s="4">
        <v>89.183273239321281</v>
      </c>
      <c r="L150" s="4">
        <v>72.555993115214477</v>
      </c>
      <c r="M150" s="4">
        <v>57.457323993917612</v>
      </c>
      <c r="N150" s="4"/>
      <c r="O150" s="4">
        <v>40.570760705939165</v>
      </c>
      <c r="P150" s="4">
        <v>56.729218523019277</v>
      </c>
      <c r="Q150" s="4">
        <v>59.695388696513859</v>
      </c>
      <c r="R150" s="4">
        <v>55.709669884733238</v>
      </c>
      <c r="S150" s="4">
        <v>47.101161218555376</v>
      </c>
      <c r="T150" s="4">
        <v>68.462436044561244</v>
      </c>
      <c r="U150" s="4">
        <v>73.424049966666672</v>
      </c>
    </row>
    <row r="151" spans="1:21" ht="15" x14ac:dyDescent="0.25">
      <c r="A151" t="s">
        <v>339</v>
      </c>
      <c r="B151" t="s">
        <v>340</v>
      </c>
      <c r="C151" s="11">
        <v>51.363179213787092</v>
      </c>
      <c r="D151" s="11">
        <v>147</v>
      </c>
      <c r="E151" s="4">
        <v>36.013961325523553</v>
      </c>
      <c r="F151" s="4">
        <v>19.008671021920694</v>
      </c>
      <c r="G151" s="4">
        <v>52.034504115874689</v>
      </c>
      <c r="H151" s="4">
        <v>30.323233082240296</v>
      </c>
      <c r="I151" s="4">
        <v>37.258667356215135</v>
      </c>
      <c r="J151" s="4">
        <v>32.9943967760437</v>
      </c>
      <c r="K151" s="4">
        <v>50.570630598986781</v>
      </c>
      <c r="L151" s="4">
        <v>52.441910454304534</v>
      </c>
      <c r="M151" s="4">
        <v>15.032507793840001</v>
      </c>
      <c r="N151" s="4">
        <v>65.626931526291543</v>
      </c>
      <c r="O151" s="4">
        <v>41.340426272671387</v>
      </c>
      <c r="P151" s="4">
        <v>93.350400286979266</v>
      </c>
      <c r="Q151" s="4">
        <v>98.738269338899528</v>
      </c>
      <c r="R151" s="4">
        <v>66.363387429573166</v>
      </c>
      <c r="S151" s="4">
        <v>60.467989740281588</v>
      </c>
      <c r="T151" s="4">
        <v>56.27171731473473</v>
      </c>
      <c r="U151" s="4">
        <v>65.336442199999993</v>
      </c>
    </row>
    <row r="152" spans="1:21" ht="15" x14ac:dyDescent="0.25">
      <c r="A152" t="s">
        <v>261</v>
      </c>
      <c r="B152" t="s">
        <v>262</v>
      </c>
      <c r="C152" s="11">
        <v>57.301255733520392</v>
      </c>
      <c r="D152" s="11">
        <v>124</v>
      </c>
      <c r="E152" s="4">
        <v>29.30440771349862</v>
      </c>
      <c r="F152" s="4">
        <v>53.662360575418013</v>
      </c>
      <c r="G152" s="4">
        <v>54.250927767455323</v>
      </c>
      <c r="H152" s="4">
        <v>37.100691462425573</v>
      </c>
      <c r="I152" s="4">
        <v>53.096486614127393</v>
      </c>
      <c r="J152" s="4">
        <v>57.80875093162517</v>
      </c>
      <c r="K152" s="4">
        <v>52.818272473944205</v>
      </c>
      <c r="L152" s="4">
        <v>73.104844348528403</v>
      </c>
      <c r="M152" s="4">
        <v>15.497583231897947</v>
      </c>
      <c r="N152" s="4">
        <v>52.519828165081186</v>
      </c>
      <c r="O152" s="4">
        <v>58.38362976858307</v>
      </c>
      <c r="P152" s="4">
        <v>95.023872712692039</v>
      </c>
      <c r="Q152" s="4">
        <v>94.753704571734531</v>
      </c>
      <c r="R152" s="4">
        <v>52.220629483702808</v>
      </c>
      <c r="S152" s="4">
        <v>74.871479580039221</v>
      </c>
      <c r="T152" s="4">
        <v>59.751394164462518</v>
      </c>
      <c r="U152" s="4">
        <v>59.95248390463049</v>
      </c>
    </row>
    <row r="153" spans="1:21" ht="15" x14ac:dyDescent="0.25">
      <c r="A153" t="s">
        <v>147</v>
      </c>
      <c r="B153" t="s">
        <v>148</v>
      </c>
      <c r="C153" s="11">
        <v>69.615717777608296</v>
      </c>
      <c r="D153" s="11">
        <v>66</v>
      </c>
      <c r="E153" s="4">
        <v>98.374521918211244</v>
      </c>
      <c r="F153" s="4">
        <v>71.767896974172643</v>
      </c>
      <c r="G153" s="4">
        <v>94.965294424028414</v>
      </c>
      <c r="H153" s="4">
        <v>99.563327645590405</v>
      </c>
      <c r="I153" s="4">
        <v>68.523874200040765</v>
      </c>
      <c r="J153" s="4">
        <v>88.951421744951816</v>
      </c>
      <c r="K153" s="4">
        <v>94.745929027146303</v>
      </c>
      <c r="L153" s="4">
        <v>71.850086514448648</v>
      </c>
      <c r="M153" s="4">
        <v>85.561836203095936</v>
      </c>
      <c r="N153" s="4"/>
      <c r="O153" s="4">
        <v>94.722015695993377</v>
      </c>
      <c r="P153" s="4">
        <v>34.980035549038597</v>
      </c>
      <c r="Q153" s="4">
        <v>50.513638898814897</v>
      </c>
      <c r="R153" s="4">
        <v>15.19115577030812</v>
      </c>
      <c r="S153" s="4">
        <v>27.389544025157232</v>
      </c>
      <c r="T153" s="4">
        <v>88.518656113477292</v>
      </c>
      <c r="U153" s="4">
        <v>35.575683533333333</v>
      </c>
    </row>
    <row r="154" spans="1:21" ht="15" x14ac:dyDescent="0.25">
      <c r="A154" t="s">
        <v>389</v>
      </c>
      <c r="B154" t="s">
        <v>390</v>
      </c>
      <c r="C154" s="11"/>
      <c r="D154" s="11"/>
      <c r="E154" s="4"/>
      <c r="F154" s="4"/>
      <c r="G154" s="4"/>
      <c r="H154" s="4"/>
      <c r="I154" s="4"/>
      <c r="J154" s="4"/>
      <c r="K154" s="4"/>
      <c r="L154" s="4"/>
      <c r="M154" s="4"/>
      <c r="N154" s="4"/>
      <c r="O154" s="4"/>
      <c r="P154" s="4"/>
      <c r="Q154" s="4"/>
      <c r="R154" s="4"/>
      <c r="S154" s="4"/>
      <c r="T154" s="4"/>
      <c r="U154" s="4"/>
    </row>
    <row r="155" spans="1:21" ht="15" x14ac:dyDescent="0.25">
      <c r="A155" t="s">
        <v>293</v>
      </c>
      <c r="B155" t="s">
        <v>294</v>
      </c>
      <c r="C155" s="11">
        <v>49.240407221572411</v>
      </c>
      <c r="D155" s="11">
        <v>155</v>
      </c>
      <c r="E155" s="4">
        <v>23.16115702479339</v>
      </c>
      <c r="F155" s="4">
        <v>46.901232110266299</v>
      </c>
      <c r="G155" s="4">
        <v>26.725358473859508</v>
      </c>
      <c r="H155" s="4">
        <v>52.206119703610533</v>
      </c>
      <c r="I155" s="4">
        <v>44.905173829013144</v>
      </c>
      <c r="J155" s="4">
        <v>38.899084004291886</v>
      </c>
      <c r="K155" s="4">
        <v>6.1606160616061612</v>
      </c>
      <c r="L155" s="4">
        <v>62.656678259379206</v>
      </c>
      <c r="M155" s="4">
        <v>6.1456578297349305</v>
      </c>
      <c r="N155" s="4">
        <v>69.402205776160869</v>
      </c>
      <c r="O155" s="4">
        <v>46.681303857623931</v>
      </c>
      <c r="P155" s="4">
        <v>95.709638910747188</v>
      </c>
      <c r="Q155" s="4">
        <v>98.380966689848847</v>
      </c>
      <c r="R155" s="4">
        <v>60.489440360942893</v>
      </c>
      <c r="S155" s="4">
        <v>65.630767112212268</v>
      </c>
      <c r="T155" s="4">
        <v>50.808451584862091</v>
      </c>
      <c r="U155" s="4">
        <v>42.223071177777776</v>
      </c>
    </row>
    <row r="156" spans="1:21" ht="15" x14ac:dyDescent="0.25">
      <c r="A156" t="s">
        <v>165</v>
      </c>
      <c r="B156" t="s">
        <v>166</v>
      </c>
      <c r="C156" s="11">
        <v>66.732877696933585</v>
      </c>
      <c r="D156" s="11">
        <v>89</v>
      </c>
      <c r="E156" s="4">
        <v>91.552194495707283</v>
      </c>
      <c r="F156" s="4">
        <v>48.654674545559381</v>
      </c>
      <c r="G156" s="4">
        <v>77.255951041323783</v>
      </c>
      <c r="H156" s="4">
        <v>75.887054901490814</v>
      </c>
      <c r="I156" s="4">
        <v>68.444385736245593</v>
      </c>
      <c r="J156" s="4">
        <v>71.974389009214434</v>
      </c>
      <c r="K156" s="4">
        <v>88.469869725351529</v>
      </c>
      <c r="L156" s="4">
        <v>70.167172941462638</v>
      </c>
      <c r="M156" s="4">
        <v>17.928452896214647</v>
      </c>
      <c r="N156" s="4">
        <v>38.925696090913156</v>
      </c>
      <c r="O156" s="4">
        <v>89.004495816033852</v>
      </c>
      <c r="P156" s="4">
        <v>86.429969974257617</v>
      </c>
      <c r="Q156" s="4">
        <v>90.614693497246691</v>
      </c>
      <c r="R156" s="4">
        <v>27.798659286737163</v>
      </c>
      <c r="S156" s="4">
        <v>65.858127867761269</v>
      </c>
      <c r="T156" s="4">
        <v>56.533542187714602</v>
      </c>
      <c r="U156" s="4">
        <v>68.959590834636927</v>
      </c>
    </row>
    <row r="157" spans="1:21" ht="15" x14ac:dyDescent="0.25">
      <c r="A157" t="s">
        <v>391</v>
      </c>
      <c r="B157" t="s">
        <v>392</v>
      </c>
      <c r="C157" s="11"/>
      <c r="D157" s="11"/>
      <c r="E157" s="4"/>
      <c r="F157" s="4"/>
      <c r="G157" s="4"/>
      <c r="H157" s="4"/>
      <c r="I157" s="4"/>
      <c r="J157" s="4"/>
      <c r="K157" s="4"/>
      <c r="L157" s="4"/>
      <c r="M157" s="4"/>
      <c r="N157" s="4"/>
      <c r="O157" s="4"/>
      <c r="P157" s="4"/>
      <c r="Q157" s="4"/>
      <c r="R157" s="4"/>
      <c r="S157" s="4"/>
      <c r="T157" s="4"/>
      <c r="U157" s="4"/>
    </row>
    <row r="158" spans="1:21" ht="15" x14ac:dyDescent="0.25">
      <c r="A158" t="s">
        <v>343</v>
      </c>
      <c r="B158" t="s">
        <v>344</v>
      </c>
      <c r="C158" s="11"/>
      <c r="D158" s="11"/>
      <c r="E158" s="4"/>
      <c r="F158" s="4"/>
      <c r="G158" s="4"/>
      <c r="H158" s="4"/>
      <c r="I158" s="4"/>
      <c r="J158" s="4"/>
      <c r="K158" s="4"/>
      <c r="L158" s="4"/>
      <c r="M158" s="4"/>
      <c r="N158" s="4"/>
      <c r="O158" s="4"/>
      <c r="P158" s="4"/>
      <c r="Q158" s="4"/>
      <c r="R158" s="4"/>
      <c r="S158" s="4"/>
      <c r="T158" s="4"/>
      <c r="U158" s="4"/>
    </row>
    <row r="159" spans="1:21" ht="15" x14ac:dyDescent="0.25">
      <c r="A159" t="s">
        <v>91</v>
      </c>
      <c r="B159" t="s">
        <v>92</v>
      </c>
      <c r="C159" s="11">
        <v>72.486580535545386</v>
      </c>
      <c r="D159" s="11">
        <v>44</v>
      </c>
      <c r="E159" s="4">
        <v>99.398726898285588</v>
      </c>
      <c r="F159" s="4">
        <v>63.520083471150706</v>
      </c>
      <c r="G159" s="4">
        <v>84.161745517581181</v>
      </c>
      <c r="H159" s="4">
        <v>94.289234646369593</v>
      </c>
      <c r="I159" s="4">
        <v>57.836577503916587</v>
      </c>
      <c r="J159" s="4">
        <v>75.713703856618082</v>
      </c>
      <c r="K159" s="4">
        <v>84.8924296471871</v>
      </c>
      <c r="L159" s="4">
        <v>71.468719490767356</v>
      </c>
      <c r="M159" s="4">
        <v>42.412399718049393</v>
      </c>
      <c r="N159" s="4">
        <v>72.352786802909748</v>
      </c>
      <c r="O159" s="4">
        <v>71.75491886880603</v>
      </c>
      <c r="P159" s="4">
        <v>83.739866475917964</v>
      </c>
      <c r="Q159" s="4">
        <v>85.038572592820231</v>
      </c>
      <c r="R159" s="4"/>
      <c r="S159" s="4">
        <v>49.510424092243184</v>
      </c>
      <c r="T159" s="4">
        <v>73.405405617598419</v>
      </c>
      <c r="U159" s="4">
        <v>82.051143344867185</v>
      </c>
    </row>
    <row r="160" spans="1:21" ht="15" x14ac:dyDescent="0.25">
      <c r="A160" t="s">
        <v>351</v>
      </c>
      <c r="B160" t="s">
        <v>352</v>
      </c>
      <c r="C160" s="11"/>
      <c r="D160" s="11"/>
      <c r="E160" s="4"/>
      <c r="F160" s="4"/>
      <c r="G160" s="4"/>
      <c r="H160" s="4"/>
      <c r="I160" s="4"/>
      <c r="J160" s="4"/>
      <c r="K160" s="4"/>
      <c r="L160" s="4"/>
      <c r="M160" s="4"/>
      <c r="N160" s="4"/>
      <c r="O160" s="4"/>
      <c r="P160" s="4"/>
      <c r="Q160" s="4"/>
      <c r="R160" s="4"/>
      <c r="S160" s="4"/>
      <c r="T160" s="4"/>
      <c r="U160" s="4"/>
    </row>
    <row r="161" spans="1:21" ht="15" x14ac:dyDescent="0.25">
      <c r="A161" t="s">
        <v>257</v>
      </c>
      <c r="B161" t="s">
        <v>258</v>
      </c>
      <c r="C161" s="11">
        <v>65.484140119737887</v>
      </c>
      <c r="D161" s="11">
        <v>95</v>
      </c>
      <c r="E161" s="4">
        <v>37.803739067640215</v>
      </c>
      <c r="F161" s="4">
        <v>64.653166725217218</v>
      </c>
      <c r="G161" s="4">
        <v>62.031217521549486</v>
      </c>
      <c r="H161" s="4">
        <v>84.707669311698339</v>
      </c>
      <c r="I161" s="4">
        <v>45.175642232374862</v>
      </c>
      <c r="J161" s="4">
        <v>66.610130223564155</v>
      </c>
      <c r="K161" s="4">
        <v>38.546487186747306</v>
      </c>
      <c r="L161" s="4">
        <v>66.752908946320986</v>
      </c>
      <c r="M161" s="4">
        <v>16.797312314066847</v>
      </c>
      <c r="N161" s="4">
        <v>90.704225352112687</v>
      </c>
      <c r="O161" s="4">
        <v>84.021446952052713</v>
      </c>
      <c r="P161" s="4">
        <v>94.923886436209557</v>
      </c>
      <c r="Q161" s="4">
        <v>89.617830191328196</v>
      </c>
      <c r="R161" s="4">
        <v>79.362218257530486</v>
      </c>
      <c r="S161" s="4">
        <v>57.392968817069935</v>
      </c>
      <c r="T161" s="4">
        <v>77.32936931649192</v>
      </c>
      <c r="U161" s="4">
        <v>56.800163183568998</v>
      </c>
    </row>
    <row r="162" spans="1:21" ht="15" x14ac:dyDescent="0.25">
      <c r="A162" t="s">
        <v>203</v>
      </c>
      <c r="B162" t="s">
        <v>204</v>
      </c>
      <c r="C162" s="11">
        <v>67.033539397793547</v>
      </c>
      <c r="D162" s="11">
        <v>88</v>
      </c>
      <c r="E162" s="4">
        <v>55.995894514429381</v>
      </c>
      <c r="F162" s="4">
        <v>55.746105262366143</v>
      </c>
      <c r="G162" s="4">
        <v>70.353411910297908</v>
      </c>
      <c r="H162" s="4">
        <v>70.238284541413535</v>
      </c>
      <c r="I162" s="4">
        <v>66.475015592400112</v>
      </c>
      <c r="J162" s="4">
        <v>71.301951960734499</v>
      </c>
      <c r="K162" s="4">
        <v>86.453987491868133</v>
      </c>
      <c r="L162" s="4">
        <v>74.540157515956579</v>
      </c>
      <c r="M162" s="4">
        <v>23.910553991419203</v>
      </c>
      <c r="N162" s="4"/>
      <c r="O162" s="4">
        <v>79.31626129240459</v>
      </c>
      <c r="P162" s="4">
        <v>79.830417259550828</v>
      </c>
      <c r="Q162" s="4">
        <v>79.082355580264647</v>
      </c>
      <c r="R162" s="4">
        <v>71.174943460618195</v>
      </c>
      <c r="S162" s="4">
        <v>71.329192003579124</v>
      </c>
      <c r="T162" s="4">
        <v>70.607952186879075</v>
      </c>
      <c r="U162" s="4">
        <v>76.105043494011497</v>
      </c>
    </row>
    <row r="163" spans="1:21" ht="15" x14ac:dyDescent="0.25">
      <c r="A163" t="s">
        <v>65</v>
      </c>
      <c r="B163" t="s">
        <v>66</v>
      </c>
      <c r="C163" s="11">
        <v>76.214701439539681</v>
      </c>
      <c r="D163" s="11">
        <v>27</v>
      </c>
      <c r="E163" s="4">
        <v>98.231712535772559</v>
      </c>
      <c r="F163" s="4">
        <v>68.844291252154477</v>
      </c>
      <c r="G163" s="4">
        <v>87.95634445847034</v>
      </c>
      <c r="H163" s="4">
        <v>83.755743902439022</v>
      </c>
      <c r="I163" s="4">
        <v>68.917190054345454</v>
      </c>
      <c r="J163" s="4">
        <v>84.403127974716313</v>
      </c>
      <c r="K163" s="4">
        <v>92.168636790200438</v>
      </c>
      <c r="L163" s="4">
        <v>80.698475420427457</v>
      </c>
      <c r="M163" s="4">
        <v>49.738042276070423</v>
      </c>
      <c r="N163" s="4">
        <v>83.453530660817322</v>
      </c>
      <c r="O163" s="4">
        <v>82.017504445328782</v>
      </c>
      <c r="P163" s="4">
        <v>64.989789911033469</v>
      </c>
      <c r="Q163" s="4">
        <v>77.167824590879604</v>
      </c>
      <c r="R163" s="4"/>
      <c r="S163" s="4">
        <v>86.856043466333261</v>
      </c>
      <c r="T163" s="4">
        <v>79.929313047154338</v>
      </c>
      <c r="U163" s="4">
        <v>55.114925925925924</v>
      </c>
    </row>
    <row r="164" spans="1:21" ht="15" x14ac:dyDescent="0.25">
      <c r="A164" t="s">
        <v>45</v>
      </c>
      <c r="B164" t="s">
        <v>46</v>
      </c>
      <c r="C164" s="11">
        <v>79.40811996897655</v>
      </c>
      <c r="D164" s="11">
        <v>12</v>
      </c>
      <c r="E164" s="4">
        <v>99.669327877183122</v>
      </c>
      <c r="F164" s="4">
        <v>64.619193685265415</v>
      </c>
      <c r="G164" s="4">
        <v>92.686852409169703</v>
      </c>
      <c r="H164" s="4">
        <v>96.648366281523749</v>
      </c>
      <c r="I164" s="4">
        <v>75.307067734502112</v>
      </c>
      <c r="J164" s="4">
        <v>82.351997330999268</v>
      </c>
      <c r="K164" s="4">
        <v>93.565622223809044</v>
      </c>
      <c r="L164" s="4">
        <v>84.679082054761878</v>
      </c>
      <c r="M164" s="4">
        <v>61.034979502375762</v>
      </c>
      <c r="N164" s="4">
        <v>100</v>
      </c>
      <c r="O164" s="4">
        <v>85.940864541806818</v>
      </c>
      <c r="P164" s="4">
        <v>60.771817137796404</v>
      </c>
      <c r="Q164" s="4">
        <v>91.229261433882954</v>
      </c>
      <c r="R164" s="4">
        <v>33.305671722846441</v>
      </c>
      <c r="S164" s="4">
        <v>82.519165291895533</v>
      </c>
      <c r="T164" s="4">
        <v>88.055473948486579</v>
      </c>
      <c r="U164" s="4">
        <v>57.553296296296288</v>
      </c>
    </row>
    <row r="165" spans="1:21" ht="15" x14ac:dyDescent="0.25">
      <c r="A165" t="s">
        <v>23</v>
      </c>
      <c r="B165" t="s">
        <v>24</v>
      </c>
      <c r="C165" s="11">
        <v>84.992350574044096</v>
      </c>
      <c r="D165" s="11">
        <v>2</v>
      </c>
      <c r="E165" s="4">
        <v>99.033044478322495</v>
      </c>
      <c r="F165" s="4">
        <v>63.32102508081185</v>
      </c>
      <c r="G165" s="4">
        <v>97.760294011175176</v>
      </c>
      <c r="H165" s="4">
        <v>99.297283549783543</v>
      </c>
      <c r="I165" s="4">
        <v>88.868523413312715</v>
      </c>
      <c r="J165" s="4">
        <v>93.532816571583197</v>
      </c>
      <c r="K165" s="4">
        <v>98.683682668648103</v>
      </c>
      <c r="L165" s="4">
        <v>83.54578192505889</v>
      </c>
      <c r="M165" s="4">
        <v>91.655909806992341</v>
      </c>
      <c r="N165" s="4">
        <v>100</v>
      </c>
      <c r="O165" s="4">
        <v>90.305852883481862</v>
      </c>
      <c r="P165" s="4">
        <v>52.184212724015232</v>
      </c>
      <c r="Q165" s="4">
        <v>87.203685461039157</v>
      </c>
      <c r="R165" s="4">
        <v>42.259771381558473</v>
      </c>
      <c r="S165" s="4">
        <v>75.17339828270859</v>
      </c>
      <c r="T165" s="4">
        <v>83.840233075813543</v>
      </c>
      <c r="U165" s="4">
        <v>98.204444444444448</v>
      </c>
    </row>
    <row r="166" spans="1:21" ht="15" x14ac:dyDescent="0.25">
      <c r="A166" t="s">
        <v>283</v>
      </c>
      <c r="B166" t="s">
        <v>284</v>
      </c>
      <c r="C166" s="11">
        <v>51.68794410229367</v>
      </c>
      <c r="D166" s="11">
        <v>142</v>
      </c>
      <c r="E166" s="4">
        <v>22.134986225895315</v>
      </c>
      <c r="F166" s="4">
        <v>54.051121823674926</v>
      </c>
      <c r="G166" s="4">
        <v>42.710595833643445</v>
      </c>
      <c r="H166" s="4">
        <v>60.287800475057566</v>
      </c>
      <c r="I166" s="4">
        <v>55.623576483608851</v>
      </c>
      <c r="J166" s="4">
        <v>56.082005554379784</v>
      </c>
      <c r="K166" s="4">
        <v>55.519466767133707</v>
      </c>
      <c r="L166" s="4">
        <v>45.891197708970118</v>
      </c>
      <c r="M166" s="4">
        <v>9.7879996208106199</v>
      </c>
      <c r="N166" s="4">
        <v>0</v>
      </c>
      <c r="O166" s="4">
        <v>82.679548341567198</v>
      </c>
      <c r="P166" s="4">
        <v>89.690119683944772</v>
      </c>
      <c r="Q166" s="4">
        <v>52.699200918672119</v>
      </c>
      <c r="R166" s="4"/>
      <c r="S166" s="4">
        <v>63.345406887574399</v>
      </c>
      <c r="T166" s="4">
        <v>53.660855828169652</v>
      </c>
      <c r="U166" s="4">
        <v>80.020583712306816</v>
      </c>
    </row>
    <row r="167" spans="1:21" ht="15" x14ac:dyDescent="0.25">
      <c r="A167" t="s">
        <v>393</v>
      </c>
      <c r="B167" t="s">
        <v>394</v>
      </c>
      <c r="C167" s="11"/>
      <c r="D167" s="11"/>
      <c r="E167" s="4"/>
      <c r="F167" s="4"/>
      <c r="G167" s="4"/>
      <c r="H167" s="4"/>
      <c r="I167" s="4"/>
      <c r="J167" s="4"/>
      <c r="K167" s="4"/>
      <c r="L167" s="4"/>
      <c r="M167" s="4"/>
      <c r="N167" s="4"/>
      <c r="O167" s="4"/>
      <c r="P167" s="4"/>
      <c r="Q167" s="4"/>
      <c r="R167" s="4"/>
      <c r="S167" s="4"/>
      <c r="T167" s="4"/>
      <c r="U167" s="4"/>
    </row>
    <row r="168" spans="1:21" ht="15" x14ac:dyDescent="0.25">
      <c r="A168" t="s">
        <v>279</v>
      </c>
      <c r="B168" t="s">
        <v>280</v>
      </c>
      <c r="C168" s="11">
        <v>58.127416436881411</v>
      </c>
      <c r="D168" s="11">
        <v>123</v>
      </c>
      <c r="E168" s="4"/>
      <c r="F168" s="4">
        <v>28.164798580150098</v>
      </c>
      <c r="G168" s="4">
        <v>63.884908218878827</v>
      </c>
      <c r="H168" s="4">
        <v>48.766256781939802</v>
      </c>
      <c r="I168" s="4">
        <v>34.325431821291211</v>
      </c>
      <c r="J168" s="4">
        <v>63.206039634090736</v>
      </c>
      <c r="K168" s="4">
        <v>90.999728007449733</v>
      </c>
      <c r="L168" s="4">
        <v>52.842166444436977</v>
      </c>
      <c r="M168" s="4">
        <v>12.415500670070552</v>
      </c>
      <c r="N168" s="4">
        <v>76.619718309859167</v>
      </c>
      <c r="O168" s="4">
        <v>47.727915439936062</v>
      </c>
      <c r="P168" s="4">
        <v>85.377765046163702</v>
      </c>
      <c r="Q168" s="4">
        <v>96.714373070431932</v>
      </c>
      <c r="R168" s="4">
        <v>30.004955195711243</v>
      </c>
      <c r="S168" s="4">
        <v>47.607172255526677</v>
      </c>
      <c r="T168" s="4">
        <v>53.531894666048892</v>
      </c>
      <c r="U168" s="4">
        <v>62.411834380454081</v>
      </c>
    </row>
    <row r="169" spans="1:21" ht="15" x14ac:dyDescent="0.25">
      <c r="A169" t="s">
        <v>347</v>
      </c>
      <c r="B169" t="s">
        <v>348</v>
      </c>
      <c r="C169" s="11">
        <v>42.787117637101282</v>
      </c>
      <c r="D169" s="11">
        <v>161</v>
      </c>
      <c r="E169" s="4">
        <v>23.588154269972449</v>
      </c>
      <c r="F169" s="4">
        <v>37.116808828073722</v>
      </c>
      <c r="G169" s="4">
        <v>21.552393976926453</v>
      </c>
      <c r="H169" s="4">
        <v>14.722770562770563</v>
      </c>
      <c r="I169" s="4">
        <v>27.008166335769367</v>
      </c>
      <c r="J169" s="4">
        <v>40.838859691835694</v>
      </c>
      <c r="K169" s="4">
        <v>0.57653061224489788</v>
      </c>
      <c r="L169" s="4">
        <v>54.168537548127098</v>
      </c>
      <c r="M169" s="4">
        <v>9.7227478246257864</v>
      </c>
      <c r="N169" s="4">
        <v>53.253519367164294</v>
      </c>
      <c r="O169" s="4">
        <v>39.439393594447168</v>
      </c>
      <c r="P169" s="4">
        <v>95.928694563882587</v>
      </c>
      <c r="Q169" s="4">
        <v>76.324158823245057</v>
      </c>
      <c r="R169" s="4"/>
      <c r="S169" s="4">
        <v>80.671510540520316</v>
      </c>
      <c r="T169" s="4">
        <v>32.18037405086676</v>
      </c>
      <c r="U169" s="4">
        <v>65.777795366666666</v>
      </c>
    </row>
    <row r="170" spans="1:21" ht="15" x14ac:dyDescent="0.25">
      <c r="A170" t="s">
        <v>291</v>
      </c>
      <c r="B170" t="s">
        <v>292</v>
      </c>
      <c r="C170" s="11">
        <v>51.596382985863897</v>
      </c>
      <c r="D170" s="11">
        <v>144</v>
      </c>
      <c r="E170" s="4">
        <v>18.581267217630852</v>
      </c>
      <c r="F170" s="4">
        <v>53.276198850977174</v>
      </c>
      <c r="G170" s="4">
        <v>42.965582330094023</v>
      </c>
      <c r="H170" s="4">
        <v>61.442909432841589</v>
      </c>
      <c r="I170" s="4">
        <v>40.161712757113051</v>
      </c>
      <c r="J170" s="4">
        <v>46.751809213653139</v>
      </c>
      <c r="K170" s="4">
        <v>15.473832251654949</v>
      </c>
      <c r="L170" s="4">
        <v>71.50623486420929</v>
      </c>
      <c r="M170" s="4">
        <v>14.500377502462539</v>
      </c>
      <c r="N170" s="4">
        <v>39.54254539919571</v>
      </c>
      <c r="O170" s="4">
        <v>38.94257316228687</v>
      </c>
      <c r="P170" s="4">
        <v>95.943232133114932</v>
      </c>
      <c r="Q170" s="4">
        <v>98.616468017709053</v>
      </c>
      <c r="R170" s="4">
        <v>41.882789662921347</v>
      </c>
      <c r="S170" s="4">
        <v>86.324796173730093</v>
      </c>
      <c r="T170" s="4">
        <v>52.326293749744309</v>
      </c>
      <c r="U170" s="4">
        <v>58.899888040347328</v>
      </c>
    </row>
    <row r="171" spans="1:21" ht="15" x14ac:dyDescent="0.25">
      <c r="A171" t="s">
        <v>105</v>
      </c>
      <c r="B171" t="s">
        <v>106</v>
      </c>
      <c r="C171" s="11">
        <v>73.000581096557028</v>
      </c>
      <c r="D171" s="11">
        <v>40</v>
      </c>
      <c r="E171" s="4">
        <v>99.990291262135912</v>
      </c>
      <c r="F171" s="4">
        <v>60.181620952688817</v>
      </c>
      <c r="G171" s="4">
        <v>76.703361335468202</v>
      </c>
      <c r="H171" s="4">
        <v>88.650064209453831</v>
      </c>
      <c r="I171" s="4">
        <v>64.693433094597552</v>
      </c>
      <c r="J171" s="4">
        <v>78.265036632967536</v>
      </c>
      <c r="K171" s="4">
        <v>82.943461130239555</v>
      </c>
      <c r="L171" s="4">
        <v>80.16458656819735</v>
      </c>
      <c r="M171" s="4">
        <v>42.827787318765807</v>
      </c>
      <c r="N171" s="4">
        <v>58.885125710930616</v>
      </c>
      <c r="O171" s="4">
        <v>83.027312330408861</v>
      </c>
      <c r="P171" s="4">
        <v>79.464990099112541</v>
      </c>
      <c r="Q171" s="4">
        <v>93.909633254905103</v>
      </c>
      <c r="R171" s="4">
        <v>54.70084965701956</v>
      </c>
      <c r="S171" s="4">
        <v>66.950496782007903</v>
      </c>
      <c r="T171" s="4">
        <v>70.900403016972433</v>
      </c>
      <c r="U171" s="4">
        <v>58.75142528559789</v>
      </c>
    </row>
    <row r="172" spans="1:21" ht="15" x14ac:dyDescent="0.25">
      <c r="A172" t="s">
        <v>189</v>
      </c>
      <c r="B172" t="s">
        <v>190</v>
      </c>
      <c r="C172" s="11">
        <v>69.22656480898894</v>
      </c>
      <c r="D172" s="11">
        <v>71</v>
      </c>
      <c r="E172" s="4">
        <v>86.317794003583941</v>
      </c>
      <c r="F172" s="4">
        <v>47.212095246911559</v>
      </c>
      <c r="G172" s="4">
        <v>70.154912143291085</v>
      </c>
      <c r="H172" s="4">
        <v>95.956370071040283</v>
      </c>
      <c r="I172" s="4">
        <v>57.047502786055801</v>
      </c>
      <c r="J172" s="4">
        <v>56.801357427484469</v>
      </c>
      <c r="K172" s="4">
        <v>91.935543017699146</v>
      </c>
      <c r="L172" s="4">
        <v>69.743578885741869</v>
      </c>
      <c r="M172" s="4">
        <v>9.55540156630782</v>
      </c>
      <c r="N172" s="4">
        <v>67.924018980751583</v>
      </c>
      <c r="O172" s="4">
        <v>79.33094569079725</v>
      </c>
      <c r="P172" s="4">
        <v>93.161172074555722</v>
      </c>
      <c r="Q172" s="4">
        <v>96.23062421222771</v>
      </c>
      <c r="R172" s="4"/>
      <c r="S172" s="4">
        <v>68.588799788152656</v>
      </c>
      <c r="T172" s="4">
        <v>72.290352399028336</v>
      </c>
      <c r="U172" s="4">
        <v>73.876002900000003</v>
      </c>
    </row>
    <row r="173" spans="1:21" ht="15" x14ac:dyDescent="0.25">
      <c r="A173" t="s">
        <v>201</v>
      </c>
      <c r="B173" t="s">
        <v>202</v>
      </c>
      <c r="C173" s="11">
        <v>64.257747616348666</v>
      </c>
      <c r="D173" s="11">
        <v>101</v>
      </c>
      <c r="E173" s="4">
        <v>99.561863114819857</v>
      </c>
      <c r="F173" s="4">
        <v>55.995476894707679</v>
      </c>
      <c r="G173" s="4">
        <v>67.769326829495384</v>
      </c>
      <c r="H173" s="4">
        <v>99.635036496350367</v>
      </c>
      <c r="I173" s="4">
        <v>59.387225270401636</v>
      </c>
      <c r="J173" s="4">
        <v>56.180133557255601</v>
      </c>
      <c r="K173" s="4">
        <v>81.339340558064222</v>
      </c>
      <c r="L173" s="4">
        <v>70.576534249777524</v>
      </c>
      <c r="M173" s="4">
        <v>10.294894001795544</v>
      </c>
      <c r="N173" s="4"/>
      <c r="O173" s="4">
        <v>72.451617991753793</v>
      </c>
      <c r="P173" s="4">
        <v>87.757493510349946</v>
      </c>
      <c r="Q173" s="4">
        <v>51.499627630112684</v>
      </c>
      <c r="R173" s="4">
        <v>25.791520000000002</v>
      </c>
      <c r="S173" s="4">
        <v>50.576014613129693</v>
      </c>
      <c r="T173" s="4">
        <v>71.077348918666857</v>
      </c>
      <c r="U173" s="4">
        <v>64.419131133333337</v>
      </c>
    </row>
    <row r="174" spans="1:21" ht="15" x14ac:dyDescent="0.25">
      <c r="A174" t="s">
        <v>395</v>
      </c>
      <c r="B174" t="s">
        <v>396</v>
      </c>
      <c r="C174" s="11"/>
      <c r="D174" s="11"/>
      <c r="E174" s="4"/>
      <c r="F174" s="4"/>
      <c r="G174" s="4"/>
      <c r="H174" s="4"/>
      <c r="I174" s="4"/>
      <c r="J174" s="4"/>
      <c r="K174" s="4"/>
      <c r="L174" s="4"/>
      <c r="M174" s="4"/>
      <c r="N174" s="4"/>
      <c r="O174" s="4"/>
      <c r="P174" s="4"/>
      <c r="Q174" s="4"/>
      <c r="R174" s="4"/>
      <c r="S174" s="4"/>
      <c r="T174" s="4"/>
      <c r="U174" s="4"/>
    </row>
    <row r="175" spans="1:21" ht="15" x14ac:dyDescent="0.25">
      <c r="A175" t="s">
        <v>397</v>
      </c>
      <c r="B175" t="s">
        <v>398</v>
      </c>
      <c r="C175" s="11"/>
      <c r="D175" s="11"/>
      <c r="E175" s="4"/>
      <c r="F175" s="4"/>
      <c r="G175" s="4"/>
      <c r="H175" s="4"/>
      <c r="I175" s="4"/>
      <c r="J175" s="4"/>
      <c r="K175" s="4"/>
      <c r="L175" s="4"/>
      <c r="M175" s="4"/>
      <c r="N175" s="4"/>
      <c r="O175" s="4"/>
      <c r="P175" s="4"/>
      <c r="Q175" s="4"/>
      <c r="R175" s="4"/>
      <c r="S175" s="4"/>
      <c r="T175" s="4"/>
      <c r="U175" s="4"/>
    </row>
    <row r="176" spans="1:21" ht="15" x14ac:dyDescent="0.25">
      <c r="A176" t="s">
        <v>247</v>
      </c>
      <c r="B176" t="s">
        <v>248</v>
      </c>
      <c r="C176" s="11">
        <v>67.556324943250587</v>
      </c>
      <c r="D176" s="11">
        <v>85</v>
      </c>
      <c r="E176" s="4">
        <v>98.439808499826157</v>
      </c>
      <c r="F176" s="4">
        <v>45.298952753710019</v>
      </c>
      <c r="G176" s="4">
        <v>75.95980416174163</v>
      </c>
      <c r="H176" s="4">
        <v>88.554251515639621</v>
      </c>
      <c r="I176" s="4">
        <v>67.923484973224419</v>
      </c>
      <c r="J176" s="4">
        <v>73.425846716476912</v>
      </c>
      <c r="K176" s="4">
        <v>87.115939842306332</v>
      </c>
      <c r="L176" s="4">
        <v>78.263593477980336</v>
      </c>
      <c r="M176" s="4">
        <v>30.511229515588742</v>
      </c>
      <c r="N176" s="4"/>
      <c r="O176" s="4">
        <v>67.570874609921788</v>
      </c>
      <c r="P176" s="4">
        <v>75.184694559726694</v>
      </c>
      <c r="Q176" s="4">
        <v>49.138872037040684</v>
      </c>
      <c r="R176" s="4">
        <v>52.533126707944177</v>
      </c>
      <c r="S176" s="4">
        <v>64.110799902838025</v>
      </c>
      <c r="T176" s="4">
        <v>57.317603056997605</v>
      </c>
      <c r="U176" s="4">
        <v>100</v>
      </c>
    </row>
    <row r="177" spans="1:21" ht="15" x14ac:dyDescent="0.25">
      <c r="A177" t="s">
        <v>135</v>
      </c>
      <c r="B177" t="s">
        <v>136</v>
      </c>
      <c r="C177" s="11">
        <v>69.987997108372554</v>
      </c>
      <c r="D177" s="11">
        <v>63</v>
      </c>
      <c r="E177" s="4">
        <v>97.766415255823901</v>
      </c>
      <c r="F177" s="4">
        <v>52.462873934884165</v>
      </c>
      <c r="G177" s="4">
        <v>77.46621892076007</v>
      </c>
      <c r="H177" s="4">
        <v>84.798843782313085</v>
      </c>
      <c r="I177" s="4">
        <v>52.667784113009233</v>
      </c>
      <c r="J177" s="4">
        <v>61.419734827717754</v>
      </c>
      <c r="K177" s="4">
        <v>91.797827228764049</v>
      </c>
      <c r="L177" s="4">
        <v>63.587594481839417</v>
      </c>
      <c r="M177" s="4">
        <v>31.227115339215327</v>
      </c>
      <c r="N177" s="4">
        <v>61.202520719716247</v>
      </c>
      <c r="O177" s="4">
        <v>62.531823474931173</v>
      </c>
      <c r="P177" s="4">
        <v>86.652880550547195</v>
      </c>
      <c r="Q177" s="4">
        <v>90.704786039773666</v>
      </c>
      <c r="R177" s="4">
        <v>59.437244707856109</v>
      </c>
      <c r="S177" s="4">
        <v>65.558847498744498</v>
      </c>
      <c r="T177" s="4">
        <v>70.327504449396358</v>
      </c>
      <c r="U177" s="4">
        <v>80.18593551704096</v>
      </c>
    </row>
    <row r="178" spans="1:21" ht="15" x14ac:dyDescent="0.25">
      <c r="A178" t="s">
        <v>436</v>
      </c>
      <c r="B178" t="s">
        <v>164</v>
      </c>
      <c r="C178" s="11">
        <v>68.488806979495109</v>
      </c>
      <c r="D178" s="11">
        <v>79</v>
      </c>
      <c r="E178" s="4">
        <v>99.485436893203882</v>
      </c>
      <c r="F178" s="4">
        <v>55.8329515876705</v>
      </c>
      <c r="G178" s="4">
        <v>83.606406541279725</v>
      </c>
      <c r="H178" s="4">
        <v>93.701568662925695</v>
      </c>
      <c r="I178" s="4">
        <v>45.252831811869243</v>
      </c>
      <c r="J178" s="4">
        <v>82.140808309440388</v>
      </c>
      <c r="K178" s="4">
        <v>89.155948351545021</v>
      </c>
      <c r="L178" s="4">
        <v>73.840790664984397</v>
      </c>
      <c r="M178" s="4">
        <v>46.492612787211165</v>
      </c>
      <c r="N178" s="4">
        <v>41.24414047724764</v>
      </c>
      <c r="O178" s="4">
        <v>70.398462693382797</v>
      </c>
      <c r="P178" s="4">
        <v>73.755026838117359</v>
      </c>
      <c r="Q178" s="4">
        <v>89.863706219388121</v>
      </c>
      <c r="R178" s="4">
        <v>27.408992944504732</v>
      </c>
      <c r="S178" s="4">
        <v>53.270642156433077</v>
      </c>
      <c r="T178" s="4">
        <v>68.083265174840207</v>
      </c>
      <c r="U178" s="4">
        <v>70.776126537373003</v>
      </c>
    </row>
    <row r="179" spans="1:21" ht="15" x14ac:dyDescent="0.25">
      <c r="A179" t="s">
        <v>399</v>
      </c>
      <c r="B179" t="s">
        <v>400</v>
      </c>
      <c r="C179" s="11"/>
      <c r="D179" s="11"/>
      <c r="E179" s="4"/>
      <c r="F179" s="4"/>
      <c r="G179" s="4"/>
      <c r="H179" s="4"/>
      <c r="I179" s="4"/>
      <c r="J179" s="4"/>
      <c r="K179" s="4"/>
      <c r="L179" s="4"/>
      <c r="M179" s="4"/>
      <c r="N179" s="4"/>
      <c r="O179" s="4"/>
      <c r="P179" s="4"/>
      <c r="Q179" s="4"/>
      <c r="R179" s="4"/>
      <c r="S179" s="4"/>
      <c r="T179" s="4"/>
      <c r="U179" s="4"/>
    </row>
    <row r="180" spans="1:21" ht="15" x14ac:dyDescent="0.25">
      <c r="A180" t="s">
        <v>287</v>
      </c>
      <c r="B180" t="s">
        <v>288</v>
      </c>
      <c r="C180" s="11">
        <v>55.820685396621982</v>
      </c>
      <c r="D180" s="11">
        <v>128</v>
      </c>
      <c r="E180" s="4">
        <v>21.473829201101925</v>
      </c>
      <c r="F180" s="4">
        <v>48.193756040597961</v>
      </c>
      <c r="G180" s="4">
        <v>45.09180035223995</v>
      </c>
      <c r="H180" s="4">
        <v>47.955949974965201</v>
      </c>
      <c r="I180" s="4">
        <v>70.6803178173476</v>
      </c>
      <c r="J180" s="4">
        <v>46.4722477079318</v>
      </c>
      <c r="K180" s="4">
        <v>31.349282110168598</v>
      </c>
      <c r="L180" s="4">
        <v>73.844813112160566</v>
      </c>
      <c r="M180" s="4">
        <v>15.690257793603584</v>
      </c>
      <c r="N180" s="4">
        <v>60.148626649883433</v>
      </c>
      <c r="O180" s="4">
        <v>66.298060021448137</v>
      </c>
      <c r="P180" s="4">
        <v>97.924132217028912</v>
      </c>
      <c r="Q180" s="4">
        <v>98.215870068841483</v>
      </c>
      <c r="R180" s="4">
        <v>65.028898462655562</v>
      </c>
      <c r="S180" s="4">
        <v>56.88401910502796</v>
      </c>
      <c r="T180" s="4">
        <v>50.52791232830819</v>
      </c>
      <c r="U180" s="4">
        <v>53.17187877926289</v>
      </c>
    </row>
    <row r="181" spans="1:21" ht="15" x14ac:dyDescent="0.25">
      <c r="A181" t="s">
        <v>301</v>
      </c>
      <c r="B181" t="s">
        <v>302</v>
      </c>
      <c r="C181" s="11">
        <v>52.574662975935581</v>
      </c>
      <c r="D181" s="11">
        <v>140</v>
      </c>
      <c r="E181" s="4">
        <v>28.305785123966942</v>
      </c>
      <c r="F181" s="4">
        <v>48.274686309762025</v>
      </c>
      <c r="G181" s="4">
        <v>46.641684030694883</v>
      </c>
      <c r="H181" s="4">
        <v>53.209988962207852</v>
      </c>
      <c r="I181" s="4">
        <v>58.35812840656132</v>
      </c>
      <c r="J181" s="4">
        <v>41.084497856028399</v>
      </c>
      <c r="K181" s="4">
        <v>9.6809680968096803</v>
      </c>
      <c r="L181" s="4">
        <v>72.013084869551534</v>
      </c>
      <c r="M181" s="4">
        <v>17.447775391627733</v>
      </c>
      <c r="N181" s="4">
        <v>62.00543725994271</v>
      </c>
      <c r="O181" s="4">
        <v>46.458080087362987</v>
      </c>
      <c r="P181" s="4">
        <v>95.7633081646715</v>
      </c>
      <c r="Q181" s="4">
        <v>98.64271416893547</v>
      </c>
      <c r="R181" s="4"/>
      <c r="S181" s="4">
        <v>67.177253002141882</v>
      </c>
      <c r="T181" s="4">
        <v>47.546615675108917</v>
      </c>
      <c r="U181" s="4">
        <v>46.64867931194815</v>
      </c>
    </row>
    <row r="182" spans="1:21" ht="15" x14ac:dyDescent="0.25">
      <c r="A182" t="s">
        <v>95</v>
      </c>
      <c r="B182" t="s">
        <v>96</v>
      </c>
      <c r="C182" s="11">
        <v>72.813928779240712</v>
      </c>
      <c r="D182" s="11">
        <v>41</v>
      </c>
      <c r="E182" s="4">
        <v>99.67305892107305</v>
      </c>
      <c r="F182" s="4">
        <v>53.121482029448586</v>
      </c>
      <c r="G182" s="4">
        <v>71.76412250686468</v>
      </c>
      <c r="H182" s="4">
        <v>92.552919780217792</v>
      </c>
      <c r="I182" s="4">
        <v>62.815570836641463</v>
      </c>
      <c r="J182" s="4">
        <v>79.990708336927582</v>
      </c>
      <c r="K182" s="4">
        <v>91.589643063134972</v>
      </c>
      <c r="L182" s="4">
        <v>68.355488319683104</v>
      </c>
      <c r="M182" s="4">
        <v>25.153623065769256</v>
      </c>
      <c r="N182" s="4">
        <v>99.02721693817999</v>
      </c>
      <c r="O182" s="4">
        <v>75.982552236961453</v>
      </c>
      <c r="P182" s="4">
        <v>80.387874042998959</v>
      </c>
      <c r="Q182" s="4">
        <v>95.564877592389394</v>
      </c>
      <c r="R182" s="4">
        <v>38.586411166639444</v>
      </c>
      <c r="S182" s="4">
        <v>63.508684077490173</v>
      </c>
      <c r="T182" s="4">
        <v>61.878904506693857</v>
      </c>
      <c r="U182" s="4">
        <v>77.883651825978419</v>
      </c>
    </row>
    <row r="183" spans="1:21" ht="15" x14ac:dyDescent="0.25">
      <c r="A183" t="s">
        <v>83</v>
      </c>
      <c r="B183" t="s">
        <v>84</v>
      </c>
      <c r="C183" s="11">
        <v>72.551178034290544</v>
      </c>
      <c r="D183" s="11">
        <v>43</v>
      </c>
      <c r="E183" s="4">
        <v>99.876608093289462</v>
      </c>
      <c r="F183" s="4">
        <v>58.680376799151752</v>
      </c>
      <c r="G183" s="4">
        <v>82.615004223128949</v>
      </c>
      <c r="H183" s="4">
        <v>87.415535209800382</v>
      </c>
      <c r="I183" s="4">
        <v>73.757136366628487</v>
      </c>
      <c r="J183" s="4">
        <v>78.755937757182934</v>
      </c>
      <c r="K183" s="4">
        <v>96.532526213406825</v>
      </c>
      <c r="L183" s="4">
        <v>77.587298236683594</v>
      </c>
      <c r="M183" s="4">
        <v>38.305057953877458</v>
      </c>
      <c r="N183" s="4">
        <v>50.128195990978831</v>
      </c>
      <c r="O183" s="4">
        <v>85.271399845668739</v>
      </c>
      <c r="P183" s="4">
        <v>72.384015427191329</v>
      </c>
      <c r="Q183" s="4">
        <v>86.852897709101612</v>
      </c>
      <c r="R183" s="4">
        <v>42.233158823902407</v>
      </c>
      <c r="S183" s="4">
        <v>51.435850788950276</v>
      </c>
      <c r="T183" s="4">
        <v>69.321726810662867</v>
      </c>
      <c r="U183" s="4">
        <v>82.217300333333327</v>
      </c>
    </row>
    <row r="184" spans="1:21" ht="15" x14ac:dyDescent="0.25">
      <c r="A184" t="s">
        <v>97</v>
      </c>
      <c r="B184" t="s">
        <v>98</v>
      </c>
      <c r="C184" s="11">
        <v>74.519610284017503</v>
      </c>
      <c r="D184" s="11">
        <v>35</v>
      </c>
      <c r="E184" s="4">
        <v>98.919361309476045</v>
      </c>
      <c r="F184" s="4">
        <v>66.044971514895281</v>
      </c>
      <c r="G184" s="4">
        <v>89.538751317705973</v>
      </c>
      <c r="H184" s="4">
        <v>89.336038961038966</v>
      </c>
      <c r="I184" s="4">
        <v>73.356813376385148</v>
      </c>
      <c r="J184" s="4">
        <v>84.982341027726548</v>
      </c>
      <c r="K184" s="4">
        <v>93.207177732073021</v>
      </c>
      <c r="L184" s="4">
        <v>85.183977926603717</v>
      </c>
      <c r="M184" s="4">
        <v>83.348529873470696</v>
      </c>
      <c r="N184" s="4">
        <v>47.662360231641316</v>
      </c>
      <c r="O184" s="4">
        <v>82.468820700023741</v>
      </c>
      <c r="P184" s="4">
        <v>36.545485539953575</v>
      </c>
      <c r="Q184" s="4">
        <v>66.124093003516592</v>
      </c>
      <c r="R184" s="4">
        <v>60.854831336903658</v>
      </c>
      <c r="S184" s="4">
        <v>76.944029733797223</v>
      </c>
      <c r="T184" s="4">
        <v>76.137902354197536</v>
      </c>
      <c r="U184" s="4">
        <v>56.17788888888888</v>
      </c>
    </row>
    <row r="185" spans="1:21" ht="15" x14ac:dyDescent="0.25">
      <c r="A185" t="s">
        <v>157</v>
      </c>
      <c r="B185" t="s">
        <v>158</v>
      </c>
      <c r="C185" s="11">
        <v>71.130550538535374</v>
      </c>
      <c r="D185" s="11">
        <v>52</v>
      </c>
      <c r="E185" s="4">
        <v>69.424656984674627</v>
      </c>
      <c r="F185" s="4">
        <v>64.002748711303852</v>
      </c>
      <c r="G185" s="4">
        <v>77.617874283048579</v>
      </c>
      <c r="H185" s="4">
        <v>93.623431404638723</v>
      </c>
      <c r="I185" s="4">
        <v>65.524847220088432</v>
      </c>
      <c r="J185" s="4">
        <v>57.089246636755298</v>
      </c>
      <c r="K185" s="4">
        <v>88.115916587791574</v>
      </c>
      <c r="L185" s="4">
        <v>71.945324528818873</v>
      </c>
      <c r="M185" s="4">
        <v>24.773281184160027</v>
      </c>
      <c r="N185" s="4">
        <v>78.028169014084511</v>
      </c>
      <c r="O185" s="4">
        <v>90.848409748038009</v>
      </c>
      <c r="P185" s="4">
        <v>92.052371568645327</v>
      </c>
      <c r="Q185" s="4">
        <v>93.418660778738953</v>
      </c>
      <c r="R185" s="4"/>
      <c r="S185" s="4">
        <v>62.249045537009877</v>
      </c>
      <c r="T185" s="4">
        <v>70.212020270724665</v>
      </c>
      <c r="U185" s="4">
        <v>69.568224137397308</v>
      </c>
    </row>
    <row r="186" spans="1:21" ht="15" x14ac:dyDescent="0.25">
      <c r="A186" t="s">
        <v>401</v>
      </c>
      <c r="B186" t="s">
        <v>402</v>
      </c>
      <c r="C186" s="11"/>
      <c r="D186" s="11"/>
      <c r="E186" s="4"/>
      <c r="F186" s="4"/>
      <c r="G186" s="4"/>
      <c r="H186" s="4"/>
      <c r="I186" s="4"/>
      <c r="J186" s="4"/>
      <c r="K186" s="4"/>
      <c r="L186" s="4"/>
      <c r="M186" s="4"/>
      <c r="N186" s="4"/>
      <c r="O186" s="4"/>
      <c r="P186" s="4"/>
      <c r="Q186" s="4"/>
      <c r="R186" s="4"/>
      <c r="S186" s="4"/>
      <c r="T186" s="4"/>
      <c r="U186" s="4"/>
    </row>
    <row r="187" spans="1:21" ht="15" x14ac:dyDescent="0.25">
      <c r="A187" t="s">
        <v>253</v>
      </c>
      <c r="B187" t="s">
        <v>254</v>
      </c>
      <c r="C187" s="11">
        <v>63.054390283176978</v>
      </c>
      <c r="D187" s="11">
        <v>108</v>
      </c>
      <c r="E187" s="4">
        <v>35.010150044130626</v>
      </c>
      <c r="F187" s="4">
        <v>47.51542193787423</v>
      </c>
      <c r="G187" s="4">
        <v>66.185609197683604</v>
      </c>
      <c r="H187" s="4">
        <v>76.264600111853795</v>
      </c>
      <c r="I187" s="4">
        <v>69.025504646144952</v>
      </c>
      <c r="J187" s="4">
        <v>79.868312398893352</v>
      </c>
      <c r="K187" s="4">
        <v>91.887476983740612</v>
      </c>
      <c r="L187" s="4">
        <v>78.603004572304627</v>
      </c>
      <c r="M187" s="4">
        <v>24.659208874628082</v>
      </c>
      <c r="N187" s="4">
        <v>25.94690222135732</v>
      </c>
      <c r="O187" s="4">
        <v>62.704166316416917</v>
      </c>
      <c r="P187" s="4">
        <v>78.545819116300365</v>
      </c>
      <c r="Q187" s="4">
        <v>89.0167677791637</v>
      </c>
      <c r="R187" s="4">
        <v>51.390198789669029</v>
      </c>
      <c r="S187" s="4">
        <v>78.881298018917903</v>
      </c>
      <c r="T187" s="4">
        <v>36.768314471596184</v>
      </c>
      <c r="U187" s="4">
        <v>79.651879333333326</v>
      </c>
    </row>
    <row r="188" spans="1:21" ht="15" x14ac:dyDescent="0.25">
      <c r="A188" t="s">
        <v>129</v>
      </c>
      <c r="B188" t="s">
        <v>130</v>
      </c>
      <c r="C188" s="11">
        <v>71.085281250733317</v>
      </c>
      <c r="D188" s="11">
        <v>54</v>
      </c>
      <c r="E188" s="4">
        <v>95.335018320896523</v>
      </c>
      <c r="F188" s="4">
        <v>62.587815698549306</v>
      </c>
      <c r="G188" s="4">
        <v>74.775859688398185</v>
      </c>
      <c r="H188" s="4">
        <v>91.705182853356163</v>
      </c>
      <c r="I188" s="4">
        <v>71.962873513129495</v>
      </c>
      <c r="J188" s="4">
        <v>70.767337340659594</v>
      </c>
      <c r="K188" s="4">
        <v>82.385900380586108</v>
      </c>
      <c r="L188" s="4">
        <v>74.159614589662468</v>
      </c>
      <c r="M188" s="4">
        <v>26.36732966927929</v>
      </c>
      <c r="N188" s="4">
        <v>78.278529476112041</v>
      </c>
      <c r="O188" s="4">
        <v>77.636368373044562</v>
      </c>
      <c r="P188" s="4">
        <v>87.084328133102602</v>
      </c>
      <c r="Q188" s="4">
        <v>94.516968171383155</v>
      </c>
      <c r="R188" s="4">
        <v>45.223764357904564</v>
      </c>
      <c r="S188" s="4">
        <v>48.593026261001683</v>
      </c>
      <c r="T188" s="4">
        <v>61.759973881218585</v>
      </c>
      <c r="U188" s="4">
        <v>65.309890554181933</v>
      </c>
    </row>
    <row r="189" spans="1:21" ht="15" x14ac:dyDescent="0.25">
      <c r="A189" t="s">
        <v>403</v>
      </c>
      <c r="B189" t="s">
        <v>404</v>
      </c>
      <c r="C189" s="11">
        <v>59.874248640183694</v>
      </c>
      <c r="D189" s="11">
        <v>118</v>
      </c>
      <c r="E189" s="4">
        <v>58.695512048998367</v>
      </c>
      <c r="F189" s="4">
        <v>50.327051847667974</v>
      </c>
      <c r="G189" s="4">
        <v>68.562033711654479</v>
      </c>
      <c r="H189" s="4">
        <v>67.751126260442618</v>
      </c>
      <c r="I189" s="4">
        <v>37.083529705269989</v>
      </c>
      <c r="J189" s="4">
        <v>77.547873624888339</v>
      </c>
      <c r="K189" s="4">
        <v>32.191537010843938</v>
      </c>
      <c r="L189" s="4">
        <v>73.992077531599435</v>
      </c>
      <c r="M189" s="4">
        <v>17.743286337400544</v>
      </c>
      <c r="N189" s="4">
        <v>72.313598847725018</v>
      </c>
      <c r="O189" s="4">
        <v>73.346204876238573</v>
      </c>
      <c r="P189" s="4">
        <v>79.351139909517784</v>
      </c>
      <c r="Q189" s="4">
        <v>71.823389629358445</v>
      </c>
      <c r="R189" s="4">
        <v>53.588515041904607</v>
      </c>
      <c r="S189" s="4">
        <v>45.513397451094306</v>
      </c>
      <c r="T189" s="4">
        <v>71.402228015007708</v>
      </c>
      <c r="U189" s="4">
        <v>66.629725033510681</v>
      </c>
    </row>
    <row r="190" spans="1:21" ht="15" x14ac:dyDescent="0.25">
      <c r="A190" t="s">
        <v>405</v>
      </c>
      <c r="B190" t="s">
        <v>406</v>
      </c>
      <c r="C190" s="11"/>
      <c r="D190" s="11"/>
      <c r="E190" s="4"/>
      <c r="F190" s="4"/>
      <c r="G190" s="4"/>
      <c r="H190" s="4"/>
      <c r="I190" s="4"/>
      <c r="J190" s="4"/>
      <c r="K190" s="4"/>
      <c r="L190" s="4"/>
      <c r="M190" s="4"/>
      <c r="N190" s="4"/>
      <c r="O190" s="4"/>
      <c r="P190" s="4"/>
      <c r="Q190" s="4"/>
      <c r="R190" s="4"/>
      <c r="S190" s="4"/>
      <c r="T190" s="4"/>
      <c r="U190" s="4"/>
    </row>
    <row r="191" spans="1:21" ht="15" x14ac:dyDescent="0.25">
      <c r="A191" t="s">
        <v>345</v>
      </c>
      <c r="B191" t="s">
        <v>346</v>
      </c>
      <c r="C191" s="11">
        <v>53.702073192758441</v>
      </c>
      <c r="D191" s="11">
        <v>133</v>
      </c>
      <c r="E191" s="4"/>
      <c r="F191" s="4">
        <v>26.288210435614047</v>
      </c>
      <c r="G191" s="4">
        <v>43.844569519443034</v>
      </c>
      <c r="H191" s="4">
        <v>54.517905115526169</v>
      </c>
      <c r="I191" s="4">
        <v>10.385935942636973</v>
      </c>
      <c r="J191" s="4">
        <v>33.461857067408133</v>
      </c>
      <c r="K191" s="4">
        <v>66.393989766121635</v>
      </c>
      <c r="L191" s="4">
        <v>36.480983525276642</v>
      </c>
      <c r="M191" s="4">
        <v>7.1695976643633186</v>
      </c>
      <c r="N191" s="4">
        <v>74.084507042253506</v>
      </c>
      <c r="O191" s="4">
        <v>50.430771022894625</v>
      </c>
      <c r="P191" s="4">
        <v>95.487957125878282</v>
      </c>
      <c r="Q191" s="4">
        <v>98.428573464761513</v>
      </c>
      <c r="R191" s="4">
        <v>63.740136638431352</v>
      </c>
      <c r="S191" s="4">
        <v>50.993195315393933</v>
      </c>
      <c r="T191" s="4">
        <v>35.760068159679598</v>
      </c>
      <c r="U191" s="4">
        <v>71.901365566666669</v>
      </c>
    </row>
    <row r="192" spans="1:21" ht="15" x14ac:dyDescent="0.25">
      <c r="A192" t="s">
        <v>239</v>
      </c>
      <c r="B192" t="s">
        <v>240</v>
      </c>
      <c r="C192" s="11">
        <v>61.480932717523849</v>
      </c>
      <c r="D192" s="11">
        <v>113</v>
      </c>
      <c r="E192" s="4">
        <v>49.853633421594594</v>
      </c>
      <c r="F192" s="4">
        <v>52.521911956845919</v>
      </c>
      <c r="G192" s="4">
        <v>48.736813636088804</v>
      </c>
      <c r="H192" s="4">
        <v>78.059407640971372</v>
      </c>
      <c r="I192" s="4">
        <v>80.053836082953069</v>
      </c>
      <c r="J192" s="4">
        <v>66.987943358810256</v>
      </c>
      <c r="K192" s="4">
        <v>78.971818596789419</v>
      </c>
      <c r="L192" s="4">
        <v>61.196126327007029</v>
      </c>
      <c r="M192" s="4">
        <v>44.95423462169984</v>
      </c>
      <c r="N192" s="4">
        <v>0</v>
      </c>
      <c r="O192" s="4">
        <v>77.934519644386953</v>
      </c>
      <c r="P192" s="4">
        <v>68.802568812874057</v>
      </c>
      <c r="Q192" s="4">
        <v>87.032995141181431</v>
      </c>
      <c r="R192" s="4">
        <v>56.507995955850404</v>
      </c>
      <c r="S192" s="4">
        <v>59.1001515277989</v>
      </c>
      <c r="T192" s="4">
        <v>54.913539133584138</v>
      </c>
      <c r="U192" s="4">
        <v>79.548360339469355</v>
      </c>
    </row>
    <row r="193" spans="1:21" ht="15" x14ac:dyDescent="0.25">
      <c r="A193" t="s">
        <v>309</v>
      </c>
      <c r="B193" t="s">
        <v>310</v>
      </c>
      <c r="C193" s="11">
        <v>52.615084049841087</v>
      </c>
      <c r="D193" s="11">
        <v>139</v>
      </c>
      <c r="E193" s="4">
        <v>13.464187327823691</v>
      </c>
      <c r="F193" s="4">
        <v>42.939902603285098</v>
      </c>
      <c r="G193" s="4">
        <v>46.532292435878112</v>
      </c>
      <c r="H193" s="4">
        <v>62.676087947945085</v>
      </c>
      <c r="I193" s="4">
        <v>63.63723842913322</v>
      </c>
      <c r="J193" s="4">
        <v>52.573055123117925</v>
      </c>
      <c r="K193" s="4">
        <v>43.478460114262795</v>
      </c>
      <c r="L193" s="4">
        <v>67.224454065821845</v>
      </c>
      <c r="M193" s="4">
        <v>16.603621001050477</v>
      </c>
      <c r="N193" s="4">
        <v>16.619718309859152</v>
      </c>
      <c r="O193" s="4">
        <v>63.409190843760577</v>
      </c>
      <c r="P193" s="4">
        <v>89.736385248873304</v>
      </c>
      <c r="Q193" s="4">
        <v>98.361193678224566</v>
      </c>
      <c r="R193" s="4"/>
      <c r="S193" s="4">
        <v>70.328741734998502</v>
      </c>
      <c r="T193" s="4">
        <v>45.427821119597013</v>
      </c>
      <c r="U193" s="4">
        <v>46.933494990084135</v>
      </c>
    </row>
    <row r="194" spans="1:21" ht="15" x14ac:dyDescent="0.25">
      <c r="A194" t="s">
        <v>295</v>
      </c>
      <c r="B194" t="s">
        <v>296</v>
      </c>
      <c r="C194" s="11">
        <v>59.673524005366545</v>
      </c>
      <c r="D194" s="11">
        <v>121</v>
      </c>
      <c r="E194" s="4"/>
      <c r="F194" s="4">
        <v>38.897043919353948</v>
      </c>
      <c r="G194" s="4">
        <v>43.246980906248893</v>
      </c>
      <c r="H194" s="4">
        <v>68.799659370094034</v>
      </c>
      <c r="I194" s="4">
        <v>76.422173456142858</v>
      </c>
      <c r="J194" s="4">
        <v>52.418993422557378</v>
      </c>
      <c r="K194" s="4">
        <v>46.0946458278612</v>
      </c>
      <c r="L194" s="4">
        <v>68.940492400120959</v>
      </c>
      <c r="M194" s="4">
        <v>11.348853287714027</v>
      </c>
      <c r="N194" s="4">
        <v>55.960955418331523</v>
      </c>
      <c r="O194" s="4">
        <v>80.602152999331906</v>
      </c>
      <c r="P194" s="4">
        <v>93.687691783420632</v>
      </c>
      <c r="Q194" s="4">
        <v>96.351509564374339</v>
      </c>
      <c r="R194" s="4"/>
      <c r="S194" s="4">
        <v>77.682690896233936</v>
      </c>
      <c r="T194" s="4">
        <v>51.133470313369948</v>
      </c>
      <c r="U194" s="4">
        <v>65.685445556316154</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U194"/>
  <sheetViews>
    <sheetView workbookViewId="0">
      <selection activeCell="E36" sqref="E36"/>
    </sheetView>
  </sheetViews>
  <sheetFormatPr defaultRowHeight="12.75" x14ac:dyDescent="0.2"/>
  <cols>
    <col min="1" max="2" width="15.140625" style="12" customWidth="1"/>
    <col min="3" max="3" width="8.7109375" style="11" customWidth="1"/>
    <col min="4" max="4" width="8" style="3" customWidth="1"/>
    <col min="5" max="21" width="11.28515625" style="12" customWidth="1"/>
  </cols>
  <sheetData>
    <row r="1" spans="1:21" x14ac:dyDescent="0.2">
      <c r="A1" t="s">
        <v>0</v>
      </c>
      <c r="B1" t="s">
        <v>442</v>
      </c>
      <c r="C1" t="s">
        <v>443</v>
      </c>
      <c r="D1" t="s">
        <v>444</v>
      </c>
      <c r="E1" t="s">
        <v>445</v>
      </c>
      <c r="F1" t="s">
        <v>446</v>
      </c>
      <c r="G1" t="s">
        <v>447</v>
      </c>
      <c r="H1" t="s">
        <v>448</v>
      </c>
      <c r="I1" t="s">
        <v>449</v>
      </c>
      <c r="J1" t="s">
        <v>450</v>
      </c>
      <c r="K1" t="s">
        <v>451</v>
      </c>
      <c r="L1" t="s">
        <v>452</v>
      </c>
      <c r="M1" t="s">
        <v>453</v>
      </c>
      <c r="N1" t="s">
        <v>454</v>
      </c>
      <c r="O1" t="s">
        <v>455</v>
      </c>
      <c r="P1" t="s">
        <v>456</v>
      </c>
      <c r="Q1" t="s">
        <v>457</v>
      </c>
      <c r="R1" t="s">
        <v>458</v>
      </c>
      <c r="S1" t="s">
        <v>459</v>
      </c>
      <c r="T1" t="s">
        <v>460</v>
      </c>
      <c r="U1" t="s">
        <v>461</v>
      </c>
    </row>
    <row r="2" spans="1:21" x14ac:dyDescent="0.2">
      <c r="A2" s="12" t="s">
        <v>335</v>
      </c>
      <c r="B2" s="12" t="s">
        <v>336</v>
      </c>
      <c r="C2" s="11">
        <v>46.238884490124335</v>
      </c>
      <c r="D2" s="3">
        <v>151</v>
      </c>
      <c r="E2" s="12">
        <v>63.790200920672518</v>
      </c>
      <c r="F2" s="12">
        <v>40.261773152661817</v>
      </c>
      <c r="G2" s="12">
        <v>37.863264948035408</v>
      </c>
      <c r="H2" s="12">
        <v>6.9369359463699833</v>
      </c>
      <c r="I2" s="12">
        <v>24.607205372952926</v>
      </c>
      <c r="J2" s="12">
        <v>49.261908680927441</v>
      </c>
      <c r="K2" s="12">
        <v>52.030877983445869</v>
      </c>
      <c r="L2" s="12">
        <v>31.177987606623248</v>
      </c>
      <c r="M2" s="12">
        <v>3.7929953135930696</v>
      </c>
      <c r="N2" s="12">
        <v>65.436978001358511</v>
      </c>
      <c r="O2" s="12">
        <v>39.359421365445407</v>
      </c>
      <c r="P2" s="12">
        <v>82.073902425858606</v>
      </c>
      <c r="Q2" s="12">
        <v>87.666331466375581</v>
      </c>
      <c r="R2" s="12">
        <v>48.422883381021848</v>
      </c>
      <c r="S2" s="12">
        <v>50.829360519125622</v>
      </c>
      <c r="T2" s="12">
        <v>47.577309298357044</v>
      </c>
      <c r="U2" s="12">
        <v>54.971699949288812</v>
      </c>
    </row>
    <row r="3" spans="1:21" x14ac:dyDescent="0.2">
      <c r="A3" s="12" t="s">
        <v>127</v>
      </c>
      <c r="B3" s="12" t="s">
        <v>128</v>
      </c>
      <c r="C3" s="11">
        <v>68.907867242780057</v>
      </c>
      <c r="D3" s="3">
        <v>62</v>
      </c>
      <c r="E3" s="12">
        <v>99.666638664992107</v>
      </c>
      <c r="F3" s="12">
        <v>48.788959817000027</v>
      </c>
      <c r="G3" s="12">
        <v>80.958839831340001</v>
      </c>
      <c r="H3" s="12">
        <v>84.832714114860252</v>
      </c>
      <c r="I3" s="12">
        <v>73.484866260859803</v>
      </c>
      <c r="J3" s="12">
        <v>93.130988345904171</v>
      </c>
      <c r="K3" s="12">
        <v>82.270938167265669</v>
      </c>
      <c r="L3" s="12">
        <v>55.599510777994873</v>
      </c>
      <c r="M3" s="12">
        <v>27.304683940597467</v>
      </c>
      <c r="N3" s="12">
        <v>59.897823277516707</v>
      </c>
      <c r="O3" s="12">
        <v>75.380649930158029</v>
      </c>
      <c r="P3" s="12">
        <v>74.443452149888344</v>
      </c>
      <c r="Q3" s="12">
        <v>75.358445503905955</v>
      </c>
      <c r="R3" s="12">
        <v>38.785861652203906</v>
      </c>
      <c r="S3" s="12">
        <v>75.099822362188803</v>
      </c>
      <c r="T3" s="12">
        <v>65.812036056222212</v>
      </c>
      <c r="U3" s="12">
        <v>60.61751227436249</v>
      </c>
    </row>
    <row r="4" spans="1:21" x14ac:dyDescent="0.2">
      <c r="A4" s="12" t="s">
        <v>161</v>
      </c>
      <c r="B4" s="12" t="s">
        <v>162</v>
      </c>
      <c r="C4" s="11">
        <v>67.880406829376625</v>
      </c>
      <c r="D4" s="3">
        <v>68</v>
      </c>
      <c r="E4" s="12">
        <v>99.537810280281818</v>
      </c>
      <c r="F4" s="12">
        <v>50.724514578640573</v>
      </c>
      <c r="G4" s="12">
        <v>76.591204368374108</v>
      </c>
      <c r="H4" s="12">
        <v>77.802115199556852</v>
      </c>
      <c r="I4" s="12">
        <v>49.333780956622647</v>
      </c>
      <c r="J4" s="12">
        <v>61.866938511925731</v>
      </c>
      <c r="K4" s="12">
        <v>79.802064432424046</v>
      </c>
      <c r="L4" s="12">
        <v>53.663517176789647</v>
      </c>
      <c r="M4" s="12">
        <v>28.77928306748592</v>
      </c>
      <c r="N4" s="12">
        <v>88.864923093765697</v>
      </c>
      <c r="O4" s="12">
        <v>68.70856299219183</v>
      </c>
      <c r="P4" s="12">
        <v>81.64687004565063</v>
      </c>
      <c r="Q4" s="12">
        <v>90.754169038314174</v>
      </c>
      <c r="R4" s="12">
        <v>44.423361082378563</v>
      </c>
      <c r="S4" s="12">
        <v>62.227519694019485</v>
      </c>
      <c r="T4" s="12">
        <v>65.217889402927241</v>
      </c>
      <c r="U4" s="12">
        <v>74.022392178053394</v>
      </c>
    </row>
    <row r="5" spans="1:21" x14ac:dyDescent="0.2">
      <c r="A5" s="12" t="s">
        <v>353</v>
      </c>
      <c r="B5" s="12" t="s">
        <v>354</v>
      </c>
    </row>
    <row r="6" spans="1:21" x14ac:dyDescent="0.2">
      <c r="A6" s="12" t="s">
        <v>329</v>
      </c>
      <c r="B6" s="12" t="s">
        <v>330</v>
      </c>
      <c r="C6" s="11">
        <v>49.556540671962182</v>
      </c>
      <c r="D6" s="3">
        <v>144</v>
      </c>
      <c r="E6" s="12">
        <v>60.426317749664307</v>
      </c>
      <c r="F6" s="12">
        <v>44.120671200078569</v>
      </c>
      <c r="G6" s="12">
        <v>31.425596071769544</v>
      </c>
      <c r="H6" s="12">
        <v>44.809150421996684</v>
      </c>
      <c r="I6" s="12">
        <v>61.830478337358805</v>
      </c>
      <c r="J6" s="12">
        <v>57.473871026398903</v>
      </c>
      <c r="K6" s="12">
        <v>35.568152214343705</v>
      </c>
      <c r="L6" s="12">
        <v>48.857665395582409</v>
      </c>
      <c r="M6" s="12">
        <v>7.6718787139892823</v>
      </c>
      <c r="N6" s="12">
        <v>45.198308549028702</v>
      </c>
      <c r="O6" s="12">
        <v>44.190386176732432</v>
      </c>
      <c r="P6" s="12">
        <v>80.602608571632118</v>
      </c>
      <c r="Q6" s="12">
        <v>87.376357387719708</v>
      </c>
      <c r="R6" s="12">
        <v>43.094054337351821</v>
      </c>
      <c r="S6" s="12">
        <v>63.75280643243277</v>
      </c>
      <c r="T6" s="12">
        <v>38.789490686472526</v>
      </c>
      <c r="U6" s="12">
        <v>47.273398150804837</v>
      </c>
    </row>
    <row r="7" spans="1:21" x14ac:dyDescent="0.2">
      <c r="A7" s="12" t="s">
        <v>355</v>
      </c>
      <c r="B7" s="12" t="s">
        <v>356</v>
      </c>
    </row>
    <row r="8" spans="1:21" x14ac:dyDescent="0.2">
      <c r="A8" s="12" t="s">
        <v>121</v>
      </c>
      <c r="B8" s="12" t="s">
        <v>122</v>
      </c>
      <c r="C8" s="11">
        <v>70.281629479397566</v>
      </c>
      <c r="D8" s="3">
        <v>53</v>
      </c>
      <c r="E8" s="12">
        <v>99.820619406879359</v>
      </c>
      <c r="F8" s="12">
        <v>69.138945943091684</v>
      </c>
      <c r="G8" s="12">
        <v>80.831152325778632</v>
      </c>
      <c r="H8" s="12">
        <v>88.608457160235957</v>
      </c>
      <c r="I8" s="12">
        <v>78.466868987286773</v>
      </c>
      <c r="J8" s="12">
        <v>99.952518495946066</v>
      </c>
      <c r="K8" s="12">
        <v>85.618282730346891</v>
      </c>
      <c r="L8" s="12">
        <v>61.496385465359722</v>
      </c>
      <c r="M8" s="12">
        <v>38.252948214115996</v>
      </c>
      <c r="N8" s="12">
        <v>39.772207261656078</v>
      </c>
      <c r="O8" s="12">
        <v>83.593280460822641</v>
      </c>
      <c r="P8" s="12">
        <v>69.855796909006742</v>
      </c>
      <c r="Q8" s="12">
        <v>89.052317483371183</v>
      </c>
      <c r="R8" s="12">
        <v>44.465084547970314</v>
      </c>
      <c r="S8" s="12">
        <v>50.535332312252095</v>
      </c>
      <c r="T8" s="12">
        <v>58.76855050713089</v>
      </c>
      <c r="U8" s="12">
        <v>56.558952938507645</v>
      </c>
    </row>
    <row r="9" spans="1:21" x14ac:dyDescent="0.2">
      <c r="A9" s="12" t="s">
        <v>131</v>
      </c>
      <c r="B9" s="12" t="s">
        <v>132</v>
      </c>
      <c r="C9" s="11">
        <v>69.272212479544038</v>
      </c>
      <c r="D9" s="3">
        <v>58</v>
      </c>
      <c r="E9" s="12">
        <v>98.890158976060121</v>
      </c>
      <c r="F9" s="12">
        <v>54.088787381913924</v>
      </c>
      <c r="G9" s="12">
        <v>76.855259880989479</v>
      </c>
      <c r="H9" s="12">
        <v>88.241649429624673</v>
      </c>
      <c r="I9" s="12">
        <v>69.892578864335448</v>
      </c>
      <c r="J9" s="12">
        <v>73.371734016072921</v>
      </c>
      <c r="K9" s="12">
        <v>93.622738801085291</v>
      </c>
      <c r="L9" s="12">
        <v>55.547039500383789</v>
      </c>
      <c r="M9" s="12">
        <v>29.244496374704095</v>
      </c>
      <c r="N9" s="12">
        <v>50.173225736845325</v>
      </c>
      <c r="O9" s="12">
        <v>75.724660287229938</v>
      </c>
      <c r="P9" s="12">
        <v>80.859502288862629</v>
      </c>
      <c r="Q9" s="12">
        <v>92.172393413824139</v>
      </c>
      <c r="R9" s="12">
        <v>48.422883381021848</v>
      </c>
      <c r="S9" s="12">
        <v>59.899090257133466</v>
      </c>
      <c r="T9" s="12">
        <v>71.087777953558259</v>
      </c>
      <c r="U9" s="12">
        <v>59.533635608603369</v>
      </c>
    </row>
    <row r="10" spans="1:21" x14ac:dyDescent="0.2">
      <c r="A10" s="12" t="s">
        <v>99</v>
      </c>
      <c r="B10" s="12" t="s">
        <v>100</v>
      </c>
      <c r="C10" s="11">
        <v>72.88894143359083</v>
      </c>
      <c r="D10" s="3">
        <v>37</v>
      </c>
      <c r="E10" s="12">
        <v>99.873074108906081</v>
      </c>
      <c r="F10" s="12">
        <v>59.644305676916112</v>
      </c>
      <c r="G10" s="12">
        <v>95.26539354753065</v>
      </c>
      <c r="H10" s="12">
        <v>96.172524899016167</v>
      </c>
      <c r="I10" s="12">
        <v>79.901007481354441</v>
      </c>
      <c r="J10" s="12">
        <v>86.679126457596951</v>
      </c>
      <c r="K10" s="12">
        <v>84.038902755367118</v>
      </c>
      <c r="L10" s="12">
        <v>86.807042641325154</v>
      </c>
      <c r="M10" s="12">
        <v>81.540455803587264</v>
      </c>
      <c r="N10" s="12">
        <v>77.08529753224478</v>
      </c>
      <c r="O10" s="12">
        <v>84.521568883215963</v>
      </c>
      <c r="P10" s="12">
        <v>50.735104628266107</v>
      </c>
      <c r="Q10" s="12">
        <v>23.301871711727479</v>
      </c>
      <c r="R10" s="12">
        <v>54.964581589894259</v>
      </c>
      <c r="S10" s="12">
        <v>37.65498417856417</v>
      </c>
      <c r="T10" s="12">
        <v>81.894455764196749</v>
      </c>
      <c r="U10" s="12">
        <v>59.032306711334918</v>
      </c>
    </row>
    <row r="11" spans="1:21" x14ac:dyDescent="0.2">
      <c r="A11" s="12" t="s">
        <v>29</v>
      </c>
      <c r="B11" s="12" t="s">
        <v>30</v>
      </c>
      <c r="C11" s="11">
        <v>79.953619679476162</v>
      </c>
      <c r="D11" s="3">
        <v>9</v>
      </c>
      <c r="E11" s="12">
        <v>99.58613088222161</v>
      </c>
      <c r="F11" s="12">
        <v>80.20301230499976</v>
      </c>
      <c r="G11" s="12">
        <v>93.675393911561528</v>
      </c>
      <c r="H11" s="12">
        <v>82.160244783417966</v>
      </c>
      <c r="I11" s="12">
        <v>77.149403023550619</v>
      </c>
      <c r="J11" s="12">
        <v>94.371047649720907</v>
      </c>
      <c r="K11" s="12">
        <v>89.064188871887822</v>
      </c>
      <c r="L11" s="12">
        <v>87.579675882362778</v>
      </c>
      <c r="M11" s="12">
        <v>79.54309240159327</v>
      </c>
      <c r="N11" s="12">
        <v>87.530187420456812</v>
      </c>
      <c r="O11" s="12">
        <v>83.94687270337468</v>
      </c>
      <c r="P11" s="12">
        <v>51.466356344569796</v>
      </c>
      <c r="Q11" s="12">
        <v>83.189957779035922</v>
      </c>
      <c r="R11" s="12">
        <v>52.397336317923852</v>
      </c>
      <c r="S11" s="12">
        <v>64.641603130898005</v>
      </c>
      <c r="T11" s="12">
        <v>86.668525354795747</v>
      </c>
      <c r="U11" s="12">
        <v>66.038505788723668</v>
      </c>
    </row>
    <row r="12" spans="1:21" x14ac:dyDescent="0.2">
      <c r="A12" s="12" t="s">
        <v>125</v>
      </c>
      <c r="B12" s="12" t="s">
        <v>126</v>
      </c>
      <c r="C12" s="11">
        <v>70.795791447298839</v>
      </c>
      <c r="D12" s="3">
        <v>45</v>
      </c>
      <c r="E12" s="12">
        <v>99.997760099761379</v>
      </c>
      <c r="F12" s="12">
        <v>57.888001929132322</v>
      </c>
      <c r="G12" s="12">
        <v>74.278537966432978</v>
      </c>
      <c r="H12" s="12">
        <v>90.054286079629733</v>
      </c>
      <c r="I12" s="12">
        <v>68.151671253414293</v>
      </c>
      <c r="J12" s="12">
        <v>76.379612916327559</v>
      </c>
      <c r="K12" s="12">
        <v>85.71363783730537</v>
      </c>
      <c r="L12" s="12">
        <v>61.181765809040343</v>
      </c>
      <c r="M12" s="12">
        <v>38.652657375384671</v>
      </c>
      <c r="N12" s="12">
        <v>68.427042386016339</v>
      </c>
      <c r="O12" s="12">
        <v>79.031112161602948</v>
      </c>
      <c r="P12" s="12">
        <v>77.247392159151858</v>
      </c>
      <c r="Q12" s="12">
        <v>82.287943444202128</v>
      </c>
      <c r="R12" s="12">
        <v>48.422883381021848</v>
      </c>
      <c r="S12" s="12">
        <v>66.272458191529878</v>
      </c>
      <c r="T12" s="12">
        <v>72.328989065377968</v>
      </c>
      <c r="U12" s="12">
        <v>57.21270254874846</v>
      </c>
    </row>
    <row r="13" spans="1:21" x14ac:dyDescent="0.2">
      <c r="A13" s="12" t="s">
        <v>267</v>
      </c>
      <c r="B13" s="12" t="s">
        <v>268</v>
      </c>
    </row>
    <row r="14" spans="1:21" x14ac:dyDescent="0.2">
      <c r="A14" s="12" t="s">
        <v>241</v>
      </c>
      <c r="B14" s="12" t="s">
        <v>242</v>
      </c>
      <c r="C14" s="11">
        <v>65.897906107996093</v>
      </c>
      <c r="D14" s="3">
        <v>80</v>
      </c>
      <c r="E14" s="12">
        <v>99.896370955919025</v>
      </c>
      <c r="F14" s="12">
        <v>66.871661733923787</v>
      </c>
      <c r="G14" s="12">
        <v>88.863638713715574</v>
      </c>
      <c r="H14" s="12">
        <v>84.438320455650214</v>
      </c>
      <c r="I14" s="12">
        <v>58.111454465313429</v>
      </c>
      <c r="J14" s="12">
        <v>32.863873799739146</v>
      </c>
      <c r="K14" s="12">
        <v>88.749044608874684</v>
      </c>
      <c r="L14" s="12">
        <v>85.962842255287953</v>
      </c>
      <c r="M14" s="12">
        <v>50.243316110289058</v>
      </c>
      <c r="N14" s="12">
        <v>62.484379277144349</v>
      </c>
      <c r="O14" s="12">
        <v>61.752803434558011</v>
      </c>
      <c r="P14" s="12">
        <v>73.856544289934916</v>
      </c>
      <c r="Q14" s="12">
        <v>55.94594711611574</v>
      </c>
      <c r="R14" s="12">
        <v>40.640057549756513</v>
      </c>
      <c r="S14" s="12">
        <v>53.394674762407909</v>
      </c>
      <c r="T14" s="12">
        <v>68.709914005515827</v>
      </c>
      <c r="U14" s="12">
        <v>47.479560301787345</v>
      </c>
    </row>
    <row r="15" spans="1:21" x14ac:dyDescent="0.2">
      <c r="A15" s="12" t="s">
        <v>221</v>
      </c>
      <c r="B15" s="12" t="s">
        <v>222</v>
      </c>
      <c r="C15" s="11">
        <v>59.346448989912034</v>
      </c>
      <c r="D15" s="3">
        <v>111</v>
      </c>
      <c r="E15" s="12">
        <v>96.971137203956175</v>
      </c>
      <c r="F15" s="12">
        <v>46.807137375623959</v>
      </c>
      <c r="G15" s="12">
        <v>60.287661844539123</v>
      </c>
      <c r="H15" s="12">
        <v>63.85442933041562</v>
      </c>
      <c r="I15" s="12">
        <v>57.03155534251502</v>
      </c>
      <c r="J15" s="12">
        <v>77.319647255110922</v>
      </c>
      <c r="K15" s="12">
        <v>42.908767182781013</v>
      </c>
      <c r="L15" s="12">
        <v>63.066022514156487</v>
      </c>
      <c r="M15" s="12">
        <v>17.999726690974146</v>
      </c>
      <c r="N15" s="12">
        <v>76.506688685681837</v>
      </c>
      <c r="O15" s="12">
        <v>39.443962270616574</v>
      </c>
      <c r="P15" s="12">
        <v>77.49248992923512</v>
      </c>
      <c r="Q15" s="12">
        <v>81.108998025545134</v>
      </c>
      <c r="R15" s="12">
        <v>51.028880893586745</v>
      </c>
      <c r="S15" s="12">
        <v>54.663260674809088</v>
      </c>
      <c r="T15" s="12">
        <v>60.671359509754261</v>
      </c>
      <c r="U15" s="12">
        <v>41.727908099203283</v>
      </c>
    </row>
    <row r="16" spans="1:21" x14ac:dyDescent="0.2">
      <c r="A16" s="12" t="s">
        <v>187</v>
      </c>
      <c r="B16" s="12" t="s">
        <v>188</v>
      </c>
    </row>
    <row r="17" spans="1:21" x14ac:dyDescent="0.2">
      <c r="A17" s="12" t="s">
        <v>87</v>
      </c>
      <c r="B17" s="12" t="s">
        <v>88</v>
      </c>
      <c r="C17" s="11">
        <v>75.990731427636447</v>
      </c>
      <c r="D17" s="3">
        <v>23</v>
      </c>
      <c r="E17" s="12">
        <v>99.904216476477743</v>
      </c>
      <c r="F17" s="12">
        <v>59.53591765412758</v>
      </c>
      <c r="G17" s="12">
        <v>81.355243663364035</v>
      </c>
      <c r="H17" s="12">
        <v>93.307090824134221</v>
      </c>
      <c r="I17" s="12">
        <v>82.137149523666608</v>
      </c>
      <c r="J17" s="12">
        <v>95.436538712993439</v>
      </c>
      <c r="K17" s="12">
        <v>83.365283871701919</v>
      </c>
      <c r="L17" s="12">
        <v>79.063114059824386</v>
      </c>
      <c r="M17" s="12">
        <v>31.519541449775364</v>
      </c>
      <c r="N17" s="12">
        <v>85.933054675957806</v>
      </c>
      <c r="O17" s="12">
        <v>81.106987695861733</v>
      </c>
      <c r="P17" s="12">
        <v>82.086506649904507</v>
      </c>
      <c r="Q17" s="12">
        <v>91.133873572860324</v>
      </c>
      <c r="R17" s="12">
        <v>48.422883381021848</v>
      </c>
      <c r="S17" s="12">
        <v>70.159586235443882</v>
      </c>
      <c r="T17" s="12">
        <v>67.85769429697703</v>
      </c>
      <c r="U17" s="12">
        <v>59.517751525727419</v>
      </c>
    </row>
    <row r="18" spans="1:21" x14ac:dyDescent="0.2">
      <c r="A18" s="12" t="s">
        <v>57</v>
      </c>
      <c r="B18" s="12" t="s">
        <v>58</v>
      </c>
      <c r="C18" s="11">
        <v>79.000740580806522</v>
      </c>
      <c r="D18" s="3">
        <v>12</v>
      </c>
      <c r="E18" s="12">
        <v>99.672728353479016</v>
      </c>
      <c r="F18" s="12">
        <v>80.839939499341398</v>
      </c>
      <c r="G18" s="12">
        <v>93.105649753243156</v>
      </c>
      <c r="H18" s="12">
        <v>89.444666172387684</v>
      </c>
      <c r="I18" s="12">
        <v>84.02649974989076</v>
      </c>
      <c r="J18" s="12">
        <v>76.965139804106059</v>
      </c>
      <c r="K18" s="12">
        <v>85.901225358006741</v>
      </c>
      <c r="L18" s="12">
        <v>85.4638239701288</v>
      </c>
      <c r="M18" s="12">
        <v>73.416463795162343</v>
      </c>
      <c r="N18" s="12">
        <v>93.550959392388322</v>
      </c>
      <c r="O18" s="12">
        <v>84.455170459561089</v>
      </c>
      <c r="P18" s="12">
        <v>51.895762242806406</v>
      </c>
      <c r="Q18" s="12">
        <v>78.98480918006203</v>
      </c>
      <c r="R18" s="12">
        <v>47.216577143057314</v>
      </c>
      <c r="S18" s="12">
        <v>75.249196695171264</v>
      </c>
      <c r="T18" s="12">
        <v>83.94334089646334</v>
      </c>
      <c r="U18" s="12">
        <v>58.880637408455222</v>
      </c>
    </row>
    <row r="19" spans="1:21" x14ac:dyDescent="0.2">
      <c r="A19" s="12" t="s">
        <v>233</v>
      </c>
      <c r="B19" s="12" t="s">
        <v>234</v>
      </c>
      <c r="C19" s="11">
        <v>62.321156134643104</v>
      </c>
      <c r="D19" s="3">
        <v>103</v>
      </c>
      <c r="E19" s="12">
        <v>84.698727088619222</v>
      </c>
      <c r="F19" s="12">
        <v>58.468199031502706</v>
      </c>
      <c r="G19" s="12">
        <v>74.451165010893831</v>
      </c>
      <c r="H19" s="12">
        <v>83.138266649072904</v>
      </c>
      <c r="I19" s="12">
        <v>60.70595015945122</v>
      </c>
      <c r="J19" s="12">
        <v>90.389701422381975</v>
      </c>
      <c r="K19" s="12">
        <v>89.317369779742478</v>
      </c>
      <c r="L19" s="12">
        <v>56.293803355727015</v>
      </c>
      <c r="M19" s="12">
        <v>18.659099130553059</v>
      </c>
      <c r="N19" s="12">
        <v>36.501007236918774</v>
      </c>
      <c r="O19" s="12">
        <v>70.90001742991042</v>
      </c>
      <c r="P19" s="12">
        <v>63.783181665844303</v>
      </c>
      <c r="Q19" s="12">
        <v>84.995039101946887</v>
      </c>
      <c r="R19" s="12">
        <v>24.64189157100116</v>
      </c>
      <c r="S19" s="12">
        <v>41.622518272586298</v>
      </c>
      <c r="T19" s="12">
        <v>47.126946754359949</v>
      </c>
      <c r="U19" s="12">
        <v>73.76677062842063</v>
      </c>
    </row>
    <row r="20" spans="1:21" x14ac:dyDescent="0.2">
      <c r="A20" s="12" t="s">
        <v>299</v>
      </c>
      <c r="B20" s="12" t="s">
        <v>300</v>
      </c>
      <c r="C20" s="11">
        <v>48.980806958792449</v>
      </c>
      <c r="D20" s="3">
        <v>147</v>
      </c>
      <c r="E20" s="12">
        <v>45.828997412838703</v>
      </c>
      <c r="F20" s="12">
        <v>49.292454773928405</v>
      </c>
      <c r="G20" s="12">
        <v>46.895181385296034</v>
      </c>
      <c r="H20" s="12">
        <v>38.682895978790313</v>
      </c>
      <c r="I20" s="12">
        <v>43.10813943175436</v>
      </c>
      <c r="J20" s="12">
        <v>58.311860004003051</v>
      </c>
      <c r="K20" s="12">
        <v>10.708459135962947</v>
      </c>
      <c r="L20" s="12">
        <v>64.462911760627406</v>
      </c>
      <c r="M20" s="12">
        <v>7.5833820668744698</v>
      </c>
      <c r="N20" s="12">
        <v>36.320835472946513</v>
      </c>
      <c r="O20" s="12">
        <v>50.172913055029625</v>
      </c>
      <c r="P20" s="12">
        <v>81.331856418179399</v>
      </c>
      <c r="Q20" s="12">
        <v>84.2540177733826</v>
      </c>
      <c r="R20" s="12">
        <v>41.536714278945055</v>
      </c>
      <c r="S20" s="12">
        <v>62.152730919771841</v>
      </c>
      <c r="T20" s="12">
        <v>54.548156383829586</v>
      </c>
      <c r="U20" s="12">
        <v>57.482212047311407</v>
      </c>
    </row>
    <row r="21" spans="1:21" x14ac:dyDescent="0.2">
      <c r="A21" s="12" t="s">
        <v>141</v>
      </c>
      <c r="B21" s="12" t="s">
        <v>142</v>
      </c>
      <c r="C21" s="11">
        <v>65.391512720042059</v>
      </c>
      <c r="D21" s="3">
        <v>83</v>
      </c>
      <c r="E21" s="12">
        <v>99.93807607993665</v>
      </c>
      <c r="F21" s="12">
        <v>49.3317047169989</v>
      </c>
      <c r="G21" s="12">
        <v>69.56610894654402</v>
      </c>
      <c r="H21" s="12">
        <v>47.56921357951645</v>
      </c>
      <c r="I21" s="12">
        <v>45.740654214285023</v>
      </c>
      <c r="J21" s="12">
        <v>74.030818939027512</v>
      </c>
      <c r="K21" s="12">
        <v>83.694141629878033</v>
      </c>
      <c r="L21" s="12">
        <v>64.237959749544089</v>
      </c>
      <c r="M21" s="12">
        <v>28.773922531734076</v>
      </c>
      <c r="N21" s="12">
        <v>68.325812291725214</v>
      </c>
      <c r="O21" s="12">
        <v>75.12138098755112</v>
      </c>
      <c r="P21" s="12">
        <v>74.47420293779858</v>
      </c>
      <c r="Q21" s="12">
        <v>93.369137596792342</v>
      </c>
      <c r="R21" s="12">
        <v>45.165834529827535</v>
      </c>
      <c r="S21" s="12">
        <v>57.589835684576045</v>
      </c>
      <c r="T21" s="12">
        <v>78.559327907104233</v>
      </c>
      <c r="U21" s="12">
        <v>56.167583917875106</v>
      </c>
    </row>
    <row r="22" spans="1:21" x14ac:dyDescent="0.2">
      <c r="A22" s="12" t="s">
        <v>193</v>
      </c>
      <c r="B22" s="12" t="s">
        <v>194</v>
      </c>
      <c r="C22" s="11">
        <v>68.075263580068494</v>
      </c>
      <c r="D22" s="3">
        <v>66</v>
      </c>
      <c r="E22" s="12">
        <v>94.5366932339914</v>
      </c>
      <c r="F22" s="12">
        <v>49.583566804929184</v>
      </c>
      <c r="G22" s="12">
        <v>68.949779740737313</v>
      </c>
      <c r="H22" s="12">
        <v>76.891722197637591</v>
      </c>
      <c r="I22" s="12">
        <v>77.90574813314808</v>
      </c>
      <c r="J22" s="12">
        <v>95.794915810666325</v>
      </c>
      <c r="K22" s="12">
        <v>66.824239769247797</v>
      </c>
      <c r="L22" s="12">
        <v>72.45499134910682</v>
      </c>
      <c r="M22" s="12">
        <v>19.620727097773283</v>
      </c>
      <c r="N22" s="12">
        <v>48.70581767017233</v>
      </c>
      <c r="O22" s="12">
        <v>79.456834870420039</v>
      </c>
      <c r="P22" s="12">
        <v>75.320811569300631</v>
      </c>
      <c r="Q22" s="12">
        <v>88.391308346587692</v>
      </c>
      <c r="R22" s="12">
        <v>48.491790164654567</v>
      </c>
      <c r="S22" s="12">
        <v>71.143625743680488</v>
      </c>
      <c r="T22" s="12">
        <v>45.928205165914058</v>
      </c>
      <c r="U22" s="12">
        <v>77.278703193196321</v>
      </c>
    </row>
    <row r="23" spans="1:21" x14ac:dyDescent="0.2">
      <c r="A23" s="12" t="s">
        <v>113</v>
      </c>
      <c r="B23" s="12" t="s">
        <v>114</v>
      </c>
      <c r="C23" s="11">
        <v>67.309423047177887</v>
      </c>
      <c r="D23" s="3">
        <v>71</v>
      </c>
      <c r="E23" s="12">
        <v>99.918591736224016</v>
      </c>
      <c r="F23" s="12">
        <v>66.308864786776908</v>
      </c>
      <c r="G23" s="12">
        <v>78.845831515581082</v>
      </c>
      <c r="H23" s="12">
        <v>80.234481452438388</v>
      </c>
      <c r="I23" s="12">
        <v>54.279784218045918</v>
      </c>
      <c r="J23" s="12">
        <v>100</v>
      </c>
      <c r="K23" s="12">
        <v>64.621713531003238</v>
      </c>
      <c r="L23" s="12">
        <v>51.343851430714992</v>
      </c>
      <c r="M23" s="12">
        <v>24.807486516894976</v>
      </c>
      <c r="N23" s="12">
        <v>82.327864204069527</v>
      </c>
      <c r="O23" s="12">
        <v>61.299619857123446</v>
      </c>
      <c r="P23" s="12">
        <v>72.265239972441478</v>
      </c>
      <c r="Q23" s="12">
        <v>89.089237148498952</v>
      </c>
      <c r="R23" s="12">
        <v>11.461707805929546</v>
      </c>
      <c r="S23" s="12">
        <v>60.76797914981438</v>
      </c>
      <c r="T23" s="12">
        <v>64.747794842836839</v>
      </c>
      <c r="U23" s="12">
        <v>81.940143633630512</v>
      </c>
    </row>
    <row r="24" spans="1:21" x14ac:dyDescent="0.2">
      <c r="A24" s="12" t="s">
        <v>255</v>
      </c>
      <c r="B24" s="12" t="s">
        <v>256</v>
      </c>
      <c r="C24" s="11">
        <v>58.462531582798157</v>
      </c>
      <c r="D24" s="3">
        <v>116</v>
      </c>
      <c r="E24" s="12">
        <v>80.779796845216396</v>
      </c>
      <c r="F24" s="12">
        <v>36.381092842709521</v>
      </c>
      <c r="G24" s="12">
        <v>61.741881870318203</v>
      </c>
      <c r="H24" s="12">
        <v>76.061234363108838</v>
      </c>
      <c r="I24" s="12">
        <v>67.04159228396253</v>
      </c>
      <c r="J24" s="12">
        <v>75.507164700447447</v>
      </c>
      <c r="K24" s="12">
        <v>45.949301430563821</v>
      </c>
      <c r="L24" s="12">
        <v>49.527064511294618</v>
      </c>
      <c r="M24" s="12">
        <v>30.229611108819167</v>
      </c>
      <c r="N24" s="12">
        <v>0</v>
      </c>
      <c r="O24" s="12">
        <v>84.55537561179905</v>
      </c>
      <c r="P24" s="12">
        <v>57.534525825407457</v>
      </c>
      <c r="Q24" s="12">
        <v>68.024457524938271</v>
      </c>
      <c r="R24" s="12">
        <v>48.160238987946016</v>
      </c>
      <c r="S24" s="12">
        <v>69.787926051594383</v>
      </c>
      <c r="T24" s="12">
        <v>63.478448541585735</v>
      </c>
      <c r="U24" s="12">
        <v>79.103324407857116</v>
      </c>
    </row>
    <row r="25" spans="1:21" x14ac:dyDescent="0.2">
      <c r="A25" s="12" t="s">
        <v>119</v>
      </c>
      <c r="B25" s="12" t="s">
        <v>120</v>
      </c>
      <c r="C25" s="11">
        <v>69.6855692548435</v>
      </c>
      <c r="D25" s="3">
        <v>56</v>
      </c>
      <c r="E25" s="12">
        <v>96.854783489427433</v>
      </c>
      <c r="F25" s="12">
        <v>67.749019134615764</v>
      </c>
      <c r="G25" s="12">
        <v>78.235060012527683</v>
      </c>
      <c r="H25" s="12">
        <v>77.393826921343802</v>
      </c>
      <c r="I25" s="12">
        <v>68.331517519482162</v>
      </c>
      <c r="J25" s="12">
        <v>98.29925685072692</v>
      </c>
      <c r="K25" s="12">
        <v>89.595292073618808</v>
      </c>
      <c r="L25" s="12">
        <v>67.55987180816625</v>
      </c>
      <c r="M25" s="12">
        <v>45.268787220275122</v>
      </c>
      <c r="N25" s="12">
        <v>25.669177196519627</v>
      </c>
      <c r="O25" s="12">
        <v>79.364369389212854</v>
      </c>
      <c r="P25" s="12">
        <v>70.25912300846646</v>
      </c>
      <c r="Q25" s="12">
        <v>90.099677668088773</v>
      </c>
      <c r="R25" s="12">
        <v>59.884138200793053</v>
      </c>
      <c r="S25" s="12">
        <v>56.376498303627898</v>
      </c>
      <c r="T25" s="12">
        <v>47.276637487354925</v>
      </c>
      <c r="U25" s="12">
        <v>66.437641048091976</v>
      </c>
    </row>
    <row r="26" spans="1:21" x14ac:dyDescent="0.2">
      <c r="A26" s="12" t="s">
        <v>223</v>
      </c>
      <c r="B26" s="12" t="s">
        <v>224</v>
      </c>
    </row>
    <row r="27" spans="1:21" x14ac:dyDescent="0.2">
      <c r="A27" s="12" t="s">
        <v>107</v>
      </c>
      <c r="B27" s="12" t="s">
        <v>108</v>
      </c>
      <c r="C27" s="11">
        <v>73.126258130836518</v>
      </c>
      <c r="D27" s="3">
        <v>34</v>
      </c>
      <c r="E27" s="12">
        <v>98.222209631363341</v>
      </c>
      <c r="F27" s="12">
        <v>62.145045728855699</v>
      </c>
      <c r="G27" s="12">
        <v>80.088037692427648</v>
      </c>
      <c r="H27" s="12">
        <v>84.88122139847178</v>
      </c>
      <c r="I27" s="12">
        <v>73.93547195283746</v>
      </c>
      <c r="J27" s="12">
        <v>75.549614737324873</v>
      </c>
      <c r="K27" s="12">
        <v>83.420205348530246</v>
      </c>
      <c r="L27" s="12">
        <v>74.770417315649951</v>
      </c>
      <c r="M27" s="12">
        <v>38.606316401043934</v>
      </c>
      <c r="N27" s="12">
        <v>61.920191282048151</v>
      </c>
      <c r="O27" s="12">
        <v>77.417688668648836</v>
      </c>
      <c r="P27" s="12">
        <v>65.560209865120299</v>
      </c>
      <c r="Q27" s="12">
        <v>85.970214136230965</v>
      </c>
      <c r="R27" s="12">
        <v>57.729750557815962</v>
      </c>
      <c r="S27" s="12">
        <v>90.714347546047946</v>
      </c>
      <c r="T27" s="12">
        <v>62.785628606305465</v>
      </c>
      <c r="U27" s="12">
        <v>69.429817355498329</v>
      </c>
    </row>
    <row r="28" spans="1:21" x14ac:dyDescent="0.2">
      <c r="A28" s="12" t="s">
        <v>325</v>
      </c>
      <c r="B28" s="12" t="s">
        <v>326</v>
      </c>
      <c r="C28" s="11">
        <v>50.882511914614</v>
      </c>
      <c r="D28" s="3">
        <v>136</v>
      </c>
      <c r="E28" s="12">
        <v>71.073951252295032</v>
      </c>
      <c r="F28" s="12">
        <v>34.944428653861294</v>
      </c>
      <c r="G28" s="12">
        <v>47.097481843142077</v>
      </c>
      <c r="H28" s="12">
        <v>18.406580839852509</v>
      </c>
      <c r="I28" s="12">
        <v>36.026584446726815</v>
      </c>
      <c r="J28" s="12">
        <v>55.202112206801381</v>
      </c>
      <c r="K28" s="12">
        <v>8.0652756565191979</v>
      </c>
      <c r="L28" s="12">
        <v>54.32224505694257</v>
      </c>
      <c r="M28" s="12">
        <v>11.889811871154942</v>
      </c>
      <c r="N28" s="12">
        <v>78.201801479135099</v>
      </c>
      <c r="O28" s="12">
        <v>51.733208465170435</v>
      </c>
      <c r="P28" s="12">
        <v>80.424636795925792</v>
      </c>
      <c r="Q28" s="12">
        <v>89.726991329883091</v>
      </c>
      <c r="R28" s="12">
        <v>48.160238987946016</v>
      </c>
      <c r="S28" s="12">
        <v>65.612156764971843</v>
      </c>
      <c r="T28" s="12">
        <v>55.105014290459991</v>
      </c>
      <c r="U28" s="12">
        <v>59.010182607649959</v>
      </c>
    </row>
    <row r="29" spans="1:21" x14ac:dyDescent="0.2">
      <c r="A29" s="12" t="s">
        <v>313</v>
      </c>
      <c r="B29" s="12" t="s">
        <v>314</v>
      </c>
      <c r="C29" s="11">
        <v>49.820583498784707</v>
      </c>
      <c r="D29" s="3">
        <v>141</v>
      </c>
      <c r="E29" s="12">
        <v>0</v>
      </c>
      <c r="F29" s="12">
        <v>41.390699649920123</v>
      </c>
      <c r="G29" s="12">
        <v>46.385588188959083</v>
      </c>
      <c r="H29" s="12">
        <v>54.014533731690399</v>
      </c>
      <c r="I29" s="12">
        <v>69.235016041723071</v>
      </c>
      <c r="J29" s="12">
        <v>67.882813880930101</v>
      </c>
      <c r="K29" s="12">
        <v>5.5572207011550238E-2</v>
      </c>
      <c r="L29" s="12">
        <v>43.646874313147393</v>
      </c>
      <c r="M29" s="12">
        <v>4.7445829851141861</v>
      </c>
      <c r="N29" s="12">
        <v>67.18972409231398</v>
      </c>
      <c r="O29" s="12">
        <v>52.31142916169123</v>
      </c>
      <c r="P29" s="12">
        <v>83.093212868293548</v>
      </c>
      <c r="Q29" s="12">
        <v>83.777697923850894</v>
      </c>
      <c r="R29" s="12">
        <v>48.160238987946016</v>
      </c>
      <c r="S29" s="12">
        <v>71.87997178119511</v>
      </c>
      <c r="T29" s="12">
        <v>49.698363984639833</v>
      </c>
      <c r="U29" s="12">
        <v>63.483599680913564</v>
      </c>
    </row>
    <row r="30" spans="1:21" x14ac:dyDescent="0.2">
      <c r="A30" s="12" t="s">
        <v>197</v>
      </c>
      <c r="B30" s="12" t="s">
        <v>198</v>
      </c>
      <c r="C30" s="11">
        <v>64.675379580030821</v>
      </c>
      <c r="D30" s="3">
        <v>88</v>
      </c>
      <c r="E30" s="12">
        <v>83.4698443193343</v>
      </c>
      <c r="F30" s="12">
        <v>46.553097920879075</v>
      </c>
      <c r="G30" s="12">
        <v>75.251712371233381</v>
      </c>
      <c r="H30" s="12">
        <v>63.070889348676566</v>
      </c>
      <c r="I30" s="12">
        <v>61.727837794173013</v>
      </c>
      <c r="J30" s="12">
        <v>81.595341815721341</v>
      </c>
      <c r="K30" s="12">
        <v>79.731422338615744</v>
      </c>
      <c r="L30" s="12">
        <v>64.645059507800383</v>
      </c>
      <c r="M30" s="12">
        <v>26.452379640946191</v>
      </c>
      <c r="N30" s="12">
        <v>36.685344433674224</v>
      </c>
      <c r="O30" s="12">
        <v>78.044050925520025</v>
      </c>
      <c r="P30" s="12">
        <v>79.732538566155384</v>
      </c>
      <c r="Q30" s="12">
        <v>87.033089551041414</v>
      </c>
      <c r="R30" s="12">
        <v>45.976559925922295</v>
      </c>
      <c r="S30" s="12">
        <v>61.698109929245057</v>
      </c>
      <c r="T30" s="12">
        <v>66.039941989020775</v>
      </c>
      <c r="U30" s="12">
        <v>61.774232482564663</v>
      </c>
    </row>
    <row r="31" spans="1:21" x14ac:dyDescent="0.2">
      <c r="A31" s="12" t="s">
        <v>225</v>
      </c>
      <c r="B31" s="12" t="s">
        <v>226</v>
      </c>
      <c r="C31" s="11">
        <v>60.381247465027521</v>
      </c>
      <c r="D31" s="3">
        <v>109</v>
      </c>
      <c r="E31" s="12">
        <v>99.938781341991842</v>
      </c>
      <c r="F31" s="12">
        <v>51.760917648368071</v>
      </c>
      <c r="G31" s="12">
        <v>61.012891478207358</v>
      </c>
      <c r="H31" s="12">
        <v>60.855510821158596</v>
      </c>
      <c r="I31" s="12">
        <v>62.869210979591898</v>
      </c>
      <c r="J31" s="12">
        <v>81.085904483704823</v>
      </c>
      <c r="K31" s="12">
        <v>35.495605396719611</v>
      </c>
      <c r="L31" s="12">
        <v>46.986301790695833</v>
      </c>
      <c r="M31" s="12">
        <v>20.308149132472131</v>
      </c>
      <c r="N31" s="12">
        <v>90.982760130311533</v>
      </c>
      <c r="O31" s="12">
        <v>73.772195165140033</v>
      </c>
      <c r="P31" s="12">
        <v>80.838684346783594</v>
      </c>
      <c r="Q31" s="12">
        <v>73.228549467326019</v>
      </c>
      <c r="R31" s="12">
        <v>34.493253163553881</v>
      </c>
      <c r="S31" s="12">
        <v>43.23646403727605</v>
      </c>
      <c r="T31" s="12">
        <v>55.137045849789814</v>
      </c>
      <c r="U31" s="12">
        <v>54.478981672376811</v>
      </c>
    </row>
    <row r="32" spans="1:21" x14ac:dyDescent="0.2">
      <c r="A32" s="12" t="s">
        <v>297</v>
      </c>
      <c r="B32" s="12" t="s">
        <v>298</v>
      </c>
      <c r="C32" s="11">
        <v>55.78373887250131</v>
      </c>
      <c r="D32" s="3">
        <v>121</v>
      </c>
      <c r="E32" s="12">
        <v>75.423623115369196</v>
      </c>
      <c r="F32" s="12">
        <v>49.670931438378489</v>
      </c>
      <c r="G32" s="12">
        <v>43.482190022812794</v>
      </c>
      <c r="H32" s="12">
        <v>62.936608287096455</v>
      </c>
      <c r="I32" s="12">
        <v>58.681273073245748</v>
      </c>
      <c r="J32" s="12">
        <v>65.683284480568588</v>
      </c>
      <c r="K32" s="12">
        <v>47.005712579237972</v>
      </c>
      <c r="L32" s="12">
        <v>55.627141319578783</v>
      </c>
      <c r="M32" s="12">
        <v>10.013014149682398</v>
      </c>
      <c r="N32" s="12">
        <v>43.301294604751739</v>
      </c>
      <c r="O32" s="12">
        <v>39.512871787589567</v>
      </c>
      <c r="P32" s="12">
        <v>81.368557040103454</v>
      </c>
      <c r="Q32" s="12">
        <v>94.773424258893954</v>
      </c>
      <c r="R32" s="12">
        <v>47.270127111350803</v>
      </c>
      <c r="S32" s="12">
        <v>67.581195210207696</v>
      </c>
      <c r="T32" s="12">
        <v>48.914567778798101</v>
      </c>
      <c r="U32" s="12">
        <v>57.077744574856496</v>
      </c>
    </row>
    <row r="33" spans="1:21" x14ac:dyDescent="0.2">
      <c r="A33" s="12" t="s">
        <v>71</v>
      </c>
      <c r="B33" s="12" t="s">
        <v>72</v>
      </c>
      <c r="C33" s="11">
        <v>76.794907926584756</v>
      </c>
      <c r="D33" s="3">
        <v>20</v>
      </c>
      <c r="E33" s="12">
        <v>99.422795628531105</v>
      </c>
      <c r="F33" s="12">
        <v>65.569457295563325</v>
      </c>
      <c r="G33" s="12">
        <v>94.314133008615769</v>
      </c>
      <c r="H33" s="12">
        <v>99.285917865846756</v>
      </c>
      <c r="I33" s="12">
        <v>81.125358002042731</v>
      </c>
      <c r="J33" s="12">
        <v>75.378693422343702</v>
      </c>
      <c r="K33" s="12">
        <v>91.494450005433848</v>
      </c>
      <c r="L33" s="12">
        <v>85.574620928366613</v>
      </c>
      <c r="M33" s="12">
        <v>75.79205440779144</v>
      </c>
      <c r="N33" s="12">
        <v>78.970869700878765</v>
      </c>
      <c r="O33" s="12">
        <v>81.923017281039279</v>
      </c>
      <c r="P33" s="12">
        <v>52.943653487696871</v>
      </c>
      <c r="Q33" s="12">
        <v>66.414247326645267</v>
      </c>
      <c r="R33" s="12">
        <v>54.040336960330485</v>
      </c>
      <c r="S33" s="12">
        <v>51.50015935265202</v>
      </c>
      <c r="T33" s="12">
        <v>88.349090439830022</v>
      </c>
      <c r="U33" s="12">
        <v>63.414579638332917</v>
      </c>
    </row>
    <row r="34" spans="1:21" x14ac:dyDescent="0.2">
      <c r="A34" s="12" t="s">
        <v>349</v>
      </c>
      <c r="B34" s="12" t="s">
        <v>350</v>
      </c>
      <c r="C34" s="11">
        <v>37.655090041198029</v>
      </c>
      <c r="D34" s="3">
        <v>156</v>
      </c>
      <c r="E34" s="12">
        <v>0</v>
      </c>
      <c r="F34" s="12">
        <v>32.40690089913582</v>
      </c>
      <c r="G34" s="12">
        <v>21.753239661681704</v>
      </c>
      <c r="H34" s="12">
        <v>16.013987987145544</v>
      </c>
      <c r="I34" s="12">
        <v>36.174595501671327</v>
      </c>
      <c r="J34" s="12">
        <v>60.014965647786362</v>
      </c>
      <c r="K34" s="12">
        <v>1.7607925687019355</v>
      </c>
      <c r="L34" s="12">
        <v>21.944405223497778</v>
      </c>
      <c r="M34" s="12">
        <v>0.8450806686636263</v>
      </c>
      <c r="N34" s="12">
        <v>19.384362135604626</v>
      </c>
      <c r="O34" s="12">
        <v>31.962190811554922</v>
      </c>
      <c r="P34" s="12">
        <v>77.270434204270401</v>
      </c>
      <c r="Q34" s="12">
        <v>76.516019273994203</v>
      </c>
      <c r="R34" s="12">
        <v>48.160238987946016</v>
      </c>
      <c r="S34" s="12">
        <v>89.254983441206903</v>
      </c>
      <c r="T34" s="12">
        <v>56.674333687505367</v>
      </c>
      <c r="U34" s="12">
        <v>50</v>
      </c>
    </row>
    <row r="35" spans="1:21" x14ac:dyDescent="0.2">
      <c r="A35" s="12" t="s">
        <v>347</v>
      </c>
      <c r="B35" s="12" t="s">
        <v>348</v>
      </c>
      <c r="C35" s="11">
        <v>42.807073850170397</v>
      </c>
      <c r="D35" s="3">
        <v>155</v>
      </c>
      <c r="E35" s="12">
        <v>43.19901790559036</v>
      </c>
      <c r="F35" s="12">
        <v>31.266232648093524</v>
      </c>
      <c r="G35" s="12">
        <v>25.797906971649972</v>
      </c>
      <c r="H35" s="12">
        <v>18.100466524043931</v>
      </c>
      <c r="I35" s="12">
        <v>28.164206381879421</v>
      </c>
      <c r="J35" s="12">
        <v>51.056363616059784</v>
      </c>
      <c r="K35" s="12">
        <v>0.79730942205877509</v>
      </c>
      <c r="L35" s="12">
        <v>46.287289896380614</v>
      </c>
      <c r="M35" s="12">
        <v>3.2008395579464803</v>
      </c>
      <c r="N35" s="12">
        <v>53.368860107987835</v>
      </c>
      <c r="O35" s="12">
        <v>49.242224131941782</v>
      </c>
      <c r="P35" s="12">
        <v>76.841249654914179</v>
      </c>
      <c r="Q35" s="12">
        <v>85.562244270379566</v>
      </c>
      <c r="R35" s="12">
        <v>48.160238987946016</v>
      </c>
      <c r="S35" s="12">
        <v>76.310256537108586</v>
      </c>
      <c r="T35" s="12">
        <v>36.674792746139353</v>
      </c>
      <c r="U35" s="12">
        <v>53.690756092776468</v>
      </c>
    </row>
    <row r="36" spans="1:21" x14ac:dyDescent="0.2">
      <c r="A36" s="12" t="s">
        <v>79</v>
      </c>
      <c r="B36" s="12" t="s">
        <v>80</v>
      </c>
      <c r="C36" s="11">
        <v>72.791514733871395</v>
      </c>
      <c r="D36" s="3">
        <v>38</v>
      </c>
      <c r="E36" s="12">
        <v>99.544123125206724</v>
      </c>
      <c r="F36" s="12">
        <v>68.634452695651319</v>
      </c>
      <c r="G36" s="12">
        <v>86.880237633970296</v>
      </c>
      <c r="H36" s="12">
        <v>84.083742202216484</v>
      </c>
      <c r="I36" s="12">
        <v>66.583674631766357</v>
      </c>
      <c r="J36" s="12">
        <v>94.153954518540161</v>
      </c>
      <c r="K36" s="12">
        <v>87.529260401015222</v>
      </c>
      <c r="L36" s="12">
        <v>78.100208875129908</v>
      </c>
      <c r="M36" s="12">
        <v>43.555471383835318</v>
      </c>
      <c r="N36" s="12">
        <v>27.421934204940069</v>
      </c>
      <c r="O36" s="12">
        <v>79.558164220269617</v>
      </c>
      <c r="P36" s="12">
        <v>73.954837234124483</v>
      </c>
      <c r="Q36" s="12">
        <v>92.444072496084587</v>
      </c>
      <c r="R36" s="12">
        <v>62.89650121292302</v>
      </c>
      <c r="S36" s="12">
        <v>49.965885412335112</v>
      </c>
      <c r="T36" s="12">
        <v>68.348863067876962</v>
      </c>
      <c r="U36" s="12">
        <v>73.800367159927859</v>
      </c>
    </row>
    <row r="37" spans="1:21" x14ac:dyDescent="0.2">
      <c r="A37" s="12" t="s">
        <v>145</v>
      </c>
      <c r="B37" s="12" t="s">
        <v>146</v>
      </c>
      <c r="C37" s="11">
        <v>70.053265611916316</v>
      </c>
      <c r="D37" s="3">
        <v>54</v>
      </c>
      <c r="E37" s="12">
        <v>99.666720743406358</v>
      </c>
      <c r="F37" s="12">
        <v>71.5424606814572</v>
      </c>
      <c r="G37" s="12">
        <v>79.96585548663019</v>
      </c>
      <c r="H37" s="12">
        <v>73.80203373071285</v>
      </c>
      <c r="I37" s="12">
        <v>75.612200492337934</v>
      </c>
      <c r="J37" s="12">
        <v>89.941602388580066</v>
      </c>
      <c r="K37" s="12">
        <v>69.136613473722591</v>
      </c>
      <c r="L37" s="12">
        <v>83.059168260960377</v>
      </c>
      <c r="M37" s="12">
        <v>58.65482754390132</v>
      </c>
      <c r="N37" s="12">
        <v>59.634040528082146</v>
      </c>
      <c r="O37" s="12">
        <v>69.210675482555402</v>
      </c>
      <c r="P37" s="12">
        <v>73.152985986189464</v>
      </c>
      <c r="Q37" s="12">
        <v>69.32204287231886</v>
      </c>
      <c r="R37" s="12">
        <v>33.495936549859948</v>
      </c>
      <c r="S37" s="12">
        <v>58.594888513120658</v>
      </c>
      <c r="T37" s="12">
        <v>72.468165468477167</v>
      </c>
      <c r="U37" s="12">
        <v>53.645297200264785</v>
      </c>
    </row>
    <row r="38" spans="1:21" x14ac:dyDescent="0.2">
      <c r="A38" s="12" t="s">
        <v>171</v>
      </c>
      <c r="B38" s="12" t="s">
        <v>172</v>
      </c>
      <c r="C38" s="11">
        <v>66.608160939795781</v>
      </c>
      <c r="D38" s="3">
        <v>74</v>
      </c>
      <c r="E38" s="12">
        <v>95.547559075353007</v>
      </c>
      <c r="F38" s="12">
        <v>56.736664453473509</v>
      </c>
      <c r="G38" s="12">
        <v>80.82679878252786</v>
      </c>
      <c r="H38" s="12">
        <v>75.513946220787972</v>
      </c>
      <c r="I38" s="12">
        <v>71.997875362345809</v>
      </c>
      <c r="J38" s="12">
        <v>97.593123083609498</v>
      </c>
      <c r="K38" s="12">
        <v>85.418118089425477</v>
      </c>
      <c r="L38" s="12">
        <v>56.941490249317255</v>
      </c>
      <c r="M38" s="12">
        <v>28.230522310082456</v>
      </c>
      <c r="N38" s="12">
        <v>21.766788134381766</v>
      </c>
      <c r="O38" s="12">
        <v>80.787438554382234</v>
      </c>
      <c r="P38" s="12">
        <v>74.690445096297296</v>
      </c>
      <c r="Q38" s="12">
        <v>86.629860346209711</v>
      </c>
      <c r="R38" s="12">
        <v>54.194179961720245</v>
      </c>
      <c r="S38" s="12">
        <v>53.553638776642266</v>
      </c>
      <c r="T38" s="12">
        <v>50.630829366847443</v>
      </c>
      <c r="U38" s="12">
        <v>61.279458113124747</v>
      </c>
    </row>
    <row r="39" spans="1:21" x14ac:dyDescent="0.2">
      <c r="A39" s="12" t="s">
        <v>327</v>
      </c>
      <c r="B39" s="12" t="s">
        <v>328</v>
      </c>
    </row>
    <row r="40" spans="1:21" x14ac:dyDescent="0.2">
      <c r="A40" s="12" t="s">
        <v>337</v>
      </c>
      <c r="B40" s="12" t="s">
        <v>338</v>
      </c>
      <c r="C40" s="11">
        <v>43.388347519357943</v>
      </c>
      <c r="D40" s="3">
        <v>154</v>
      </c>
      <c r="E40" s="12">
        <v>6.702361200737764</v>
      </c>
      <c r="F40" s="12">
        <v>34.802069947442668</v>
      </c>
      <c r="G40" s="12">
        <v>38.311199695921808</v>
      </c>
      <c r="H40" s="12">
        <v>53.549176196956324</v>
      </c>
      <c r="I40" s="12">
        <v>40.532695979539739</v>
      </c>
      <c r="J40" s="12">
        <v>53.344733357045698</v>
      </c>
      <c r="K40" s="12">
        <v>33.173704728967614</v>
      </c>
      <c r="L40" s="12">
        <v>39.564470054787932</v>
      </c>
      <c r="M40" s="12">
        <v>3.532471212859829</v>
      </c>
      <c r="N40" s="12">
        <v>59.051476199985188</v>
      </c>
      <c r="O40" s="12">
        <v>47.731800998884694</v>
      </c>
      <c r="P40" s="12">
        <v>79.959646904416445</v>
      </c>
      <c r="Q40" s="12">
        <v>92.563302363010465</v>
      </c>
      <c r="R40" s="12">
        <v>10.665242736907045</v>
      </c>
      <c r="S40" s="12">
        <v>60.939996451264093</v>
      </c>
      <c r="T40" s="12">
        <v>39.266917088421074</v>
      </c>
      <c r="U40" s="12">
        <v>43.910642711936568</v>
      </c>
    </row>
    <row r="41" spans="1:21" x14ac:dyDescent="0.2">
      <c r="A41" s="12" t="s">
        <v>321</v>
      </c>
      <c r="B41" s="12" t="s">
        <v>322</v>
      </c>
      <c r="C41" s="11">
        <v>52.384909210843709</v>
      </c>
      <c r="D41" s="3">
        <v>130</v>
      </c>
      <c r="E41" s="12">
        <v>19.742885837671984</v>
      </c>
      <c r="F41" s="12">
        <v>40.338157566385782</v>
      </c>
      <c r="G41" s="12">
        <v>51.150541097871319</v>
      </c>
      <c r="H41" s="12">
        <v>56.951771345447924</v>
      </c>
      <c r="I41" s="12">
        <v>61.162519713671415</v>
      </c>
      <c r="J41" s="12">
        <v>52.943127021106939</v>
      </c>
      <c r="K41" s="12">
        <v>34.983404215089713</v>
      </c>
      <c r="L41" s="12">
        <v>45.121550535479365</v>
      </c>
      <c r="M41" s="12">
        <v>12.387121230064924</v>
      </c>
      <c r="N41" s="12">
        <v>29.472738006656662</v>
      </c>
      <c r="O41" s="12">
        <v>58.506831601701265</v>
      </c>
      <c r="P41" s="12">
        <v>78.123203015803043</v>
      </c>
      <c r="Q41" s="12">
        <v>93.27365132831568</v>
      </c>
      <c r="R41" s="12">
        <v>52.743178694159809</v>
      </c>
      <c r="S41" s="12">
        <v>90.369661276491854</v>
      </c>
      <c r="T41" s="12">
        <v>63.521599977418013</v>
      </c>
      <c r="U41" s="12">
        <v>49.75151412100724</v>
      </c>
    </row>
    <row r="42" spans="1:21" x14ac:dyDescent="0.2">
      <c r="A42" s="12" t="s">
        <v>123</v>
      </c>
      <c r="B42" s="12" t="s">
        <v>124</v>
      </c>
      <c r="C42" s="11">
        <v>73.151881009115257</v>
      </c>
      <c r="D42" s="3">
        <v>33</v>
      </c>
      <c r="E42" s="12">
        <v>100</v>
      </c>
      <c r="F42" s="12">
        <v>56.989916400116726</v>
      </c>
      <c r="G42" s="12">
        <v>87.010398178155768</v>
      </c>
      <c r="H42" s="12">
        <v>83.139813216517581</v>
      </c>
      <c r="I42" s="12">
        <v>78.06667349261636</v>
      </c>
      <c r="J42" s="12">
        <v>91.232191117609432</v>
      </c>
      <c r="K42" s="12">
        <v>91.911723999382772</v>
      </c>
      <c r="L42" s="12">
        <v>71.333757008857958</v>
      </c>
      <c r="M42" s="12">
        <v>36.227609179255545</v>
      </c>
      <c r="N42" s="12">
        <v>34.847615955696995</v>
      </c>
      <c r="O42" s="12">
        <v>89.893713793261057</v>
      </c>
      <c r="P42" s="12">
        <v>72.905497047638903</v>
      </c>
      <c r="Q42" s="12">
        <v>90.863452285546714</v>
      </c>
      <c r="R42" s="12">
        <v>62.084680050430244</v>
      </c>
      <c r="S42" s="12">
        <v>61.509858740242649</v>
      </c>
      <c r="T42" s="12">
        <v>64.194846634156875</v>
      </c>
      <c r="U42" s="12">
        <v>71.370230055473911</v>
      </c>
    </row>
    <row r="43" spans="1:21" x14ac:dyDescent="0.2">
      <c r="A43" s="12" t="s">
        <v>259</v>
      </c>
      <c r="B43" s="12" t="s">
        <v>260</v>
      </c>
      <c r="C43" s="11">
        <v>55.17761649437761</v>
      </c>
      <c r="D43" s="3">
        <v>122</v>
      </c>
      <c r="E43" s="12">
        <v>78.24443759574865</v>
      </c>
      <c r="F43" s="12">
        <v>45.088509214948317</v>
      </c>
      <c r="G43" s="12">
        <v>36.343028709515494</v>
      </c>
      <c r="H43" s="12">
        <v>34.589448596697487</v>
      </c>
      <c r="I43" s="12">
        <v>39.862484536299966</v>
      </c>
      <c r="J43" s="12">
        <v>67.935890957797383</v>
      </c>
      <c r="K43" s="12">
        <v>46.57063678005904</v>
      </c>
      <c r="L43" s="12">
        <v>63.878210204675334</v>
      </c>
      <c r="M43" s="12">
        <v>24.755020217704672</v>
      </c>
      <c r="N43" s="12">
        <v>46.775357924469652</v>
      </c>
      <c r="O43" s="12">
        <v>56.54079308083508</v>
      </c>
      <c r="P43" s="12">
        <v>77.39042873359152</v>
      </c>
      <c r="Q43" s="12">
        <v>95.612178727929773</v>
      </c>
      <c r="R43" s="12">
        <v>36.258640427638767</v>
      </c>
      <c r="S43" s="12">
        <v>71.192197788500152</v>
      </c>
      <c r="T43" s="12">
        <v>56.385432916190801</v>
      </c>
      <c r="U43" s="12">
        <v>60.596783991817382</v>
      </c>
    </row>
    <row r="44" spans="1:21" x14ac:dyDescent="0.2">
      <c r="A44" s="12" t="s">
        <v>43</v>
      </c>
      <c r="B44" s="12" t="s">
        <v>44</v>
      </c>
      <c r="C44" s="11">
        <v>76.519228638448183</v>
      </c>
      <c r="D44" s="3">
        <v>21</v>
      </c>
      <c r="E44" s="12">
        <v>98.967037737540124</v>
      </c>
      <c r="F44" s="12">
        <v>72.609916392178363</v>
      </c>
      <c r="G44" s="12">
        <v>86.099624584812204</v>
      </c>
      <c r="H44" s="12">
        <v>84.532838797824525</v>
      </c>
      <c r="I44" s="12">
        <v>71.535255214243648</v>
      </c>
      <c r="J44" s="12">
        <v>82.500301968650717</v>
      </c>
      <c r="K44" s="12">
        <v>83.811724426541005</v>
      </c>
      <c r="L44" s="12">
        <v>72.524123306642508</v>
      </c>
      <c r="M44" s="12">
        <v>51.028854890669855</v>
      </c>
      <c r="N44" s="12">
        <v>69.967034798546152</v>
      </c>
      <c r="O44" s="12">
        <v>80.683362603868972</v>
      </c>
      <c r="P44" s="12">
        <v>68.424617390265411</v>
      </c>
      <c r="Q44" s="12">
        <v>91.605498195708805</v>
      </c>
      <c r="R44" s="12">
        <v>67.935431248217952</v>
      </c>
      <c r="S44" s="12">
        <v>79.170992287338777</v>
      </c>
      <c r="T44" s="12">
        <v>66.034429929829102</v>
      </c>
      <c r="U44" s="12">
        <v>73.395843080740804</v>
      </c>
    </row>
    <row r="45" spans="1:21" x14ac:dyDescent="0.2">
      <c r="A45" s="12" t="s">
        <v>111</v>
      </c>
      <c r="B45" s="12" t="s">
        <v>112</v>
      </c>
      <c r="C45" s="11">
        <v>71.338618917306434</v>
      </c>
      <c r="D45" s="3">
        <v>42</v>
      </c>
      <c r="E45" s="12">
        <v>98.400328665113889</v>
      </c>
      <c r="F45" s="12">
        <v>65.350812752081481</v>
      </c>
      <c r="G45" s="12">
        <v>85.386005614899858</v>
      </c>
      <c r="H45" s="12">
        <v>92.157284219309034</v>
      </c>
      <c r="I45" s="12">
        <v>82.346895948397389</v>
      </c>
      <c r="J45" s="12">
        <v>90.345174510657372</v>
      </c>
      <c r="K45" s="12">
        <v>79.998232689846574</v>
      </c>
      <c r="L45" s="12">
        <v>85.944362953550694</v>
      </c>
      <c r="M45" s="12">
        <v>12.424755977566038</v>
      </c>
      <c r="N45" s="12">
        <v>36.501007236918774</v>
      </c>
      <c r="O45" s="12">
        <v>56.807932287971447</v>
      </c>
      <c r="P45" s="12">
        <v>74.233123360060219</v>
      </c>
      <c r="Q45" s="12">
        <v>81.973520216750103</v>
      </c>
      <c r="R45" s="12">
        <v>51.039539200040828</v>
      </c>
      <c r="S45" s="12">
        <v>59.058413912883793</v>
      </c>
      <c r="T45" s="12">
        <v>60.789132048161974</v>
      </c>
      <c r="U45" s="12">
        <v>100</v>
      </c>
    </row>
    <row r="46" spans="1:21" x14ac:dyDescent="0.2">
      <c r="A46" s="12" t="s">
        <v>137</v>
      </c>
      <c r="B46" s="12" t="s">
        <v>138</v>
      </c>
      <c r="C46" s="11">
        <v>70.364129823152155</v>
      </c>
      <c r="D46" s="3">
        <v>50</v>
      </c>
      <c r="E46" s="12">
        <v>99.878851948773232</v>
      </c>
      <c r="F46" s="12">
        <v>56.974278980385144</v>
      </c>
      <c r="G46" s="12">
        <v>91.541867681745131</v>
      </c>
      <c r="H46" s="12">
        <v>93.268361056949132</v>
      </c>
      <c r="I46" s="12">
        <v>70.68097218394189</v>
      </c>
      <c r="J46" s="12">
        <v>76.913900083977992</v>
      </c>
      <c r="K46" s="12">
        <v>86.19859883361346</v>
      </c>
      <c r="L46" s="12">
        <v>70.595639444393498</v>
      </c>
      <c r="M46" s="12">
        <v>54.136262598717273</v>
      </c>
      <c r="N46" s="12">
        <v>77.482122189241963</v>
      </c>
      <c r="O46" s="12">
        <v>76.867346080883195</v>
      </c>
      <c r="P46" s="12">
        <v>39.619400561152524</v>
      </c>
      <c r="Q46" s="12">
        <v>76.203265324380553</v>
      </c>
      <c r="R46" s="12">
        <v>45.240351281709266</v>
      </c>
      <c r="S46" s="12">
        <v>74.760070150050765</v>
      </c>
      <c r="T46" s="12">
        <v>80.550580079125112</v>
      </c>
      <c r="U46" s="12">
        <v>25.278338514546316</v>
      </c>
    </row>
    <row r="47" spans="1:21" x14ac:dyDescent="0.2">
      <c r="A47" s="12" t="s">
        <v>435</v>
      </c>
      <c r="B47" s="12" t="s">
        <v>36</v>
      </c>
      <c r="C47" s="11">
        <v>78.723282378999656</v>
      </c>
      <c r="D47" s="3">
        <v>13</v>
      </c>
      <c r="E47" s="12">
        <v>99.589496818058166</v>
      </c>
      <c r="F47" s="12">
        <v>69.100770969740282</v>
      </c>
      <c r="G47" s="12">
        <v>91.552465794437651</v>
      </c>
      <c r="H47" s="12">
        <v>91.323182264796145</v>
      </c>
      <c r="I47" s="12">
        <v>72.594303178521642</v>
      </c>
      <c r="J47" s="12">
        <v>87.374223560679667</v>
      </c>
      <c r="K47" s="12">
        <v>87.179751211498569</v>
      </c>
      <c r="L47" s="12">
        <v>81.022815437851818</v>
      </c>
      <c r="M47" s="12">
        <v>62.69936180470993</v>
      </c>
      <c r="N47" s="12">
        <v>92.400577711934829</v>
      </c>
      <c r="O47" s="12">
        <v>86.906456104964377</v>
      </c>
      <c r="P47" s="12">
        <v>71.087504578137768</v>
      </c>
      <c r="Q47" s="12">
        <v>87.936254010491695</v>
      </c>
      <c r="R47" s="12">
        <v>52.397336317923852</v>
      </c>
      <c r="S47" s="12">
        <v>83.834322734632494</v>
      </c>
      <c r="T47" s="12">
        <v>71.965627484012245</v>
      </c>
      <c r="U47" s="12">
        <v>49.331350460603119</v>
      </c>
    </row>
    <row r="48" spans="1:21" x14ac:dyDescent="0.2">
      <c r="A48" s="12" t="s">
        <v>25</v>
      </c>
      <c r="B48" s="12" t="s">
        <v>26</v>
      </c>
      <c r="C48" s="11">
        <v>84.608247317044928</v>
      </c>
      <c r="D48" s="3">
        <v>2</v>
      </c>
      <c r="E48" s="12">
        <v>99.468818911725322</v>
      </c>
      <c r="F48" s="12">
        <v>78.065557417396036</v>
      </c>
      <c r="G48" s="12">
        <v>95.144416598562202</v>
      </c>
      <c r="H48" s="12">
        <v>96.080943533095706</v>
      </c>
      <c r="I48" s="12">
        <v>84.995110190994978</v>
      </c>
      <c r="J48" s="12">
        <v>89.006918041564546</v>
      </c>
      <c r="K48" s="12">
        <v>88.714962445949027</v>
      </c>
      <c r="L48" s="12">
        <v>86.932367671696881</v>
      </c>
      <c r="M48" s="12">
        <v>87.386451543145895</v>
      </c>
      <c r="N48" s="12">
        <v>96.616600348105891</v>
      </c>
      <c r="O48" s="12">
        <v>88.525511926004597</v>
      </c>
      <c r="P48" s="12">
        <v>55.019349111065786</v>
      </c>
      <c r="Q48" s="12">
        <v>87.382894821422838</v>
      </c>
      <c r="R48" s="12">
        <v>51.386019972881627</v>
      </c>
      <c r="S48" s="12">
        <v>76.243794390934127</v>
      </c>
      <c r="T48" s="12">
        <v>90.207494021548413</v>
      </c>
      <c r="U48" s="12">
        <v>87.162993443670004</v>
      </c>
    </row>
    <row r="49" spans="1:21" x14ac:dyDescent="0.2">
      <c r="A49" s="12" t="s">
        <v>319</v>
      </c>
      <c r="B49" s="12" t="s">
        <v>320</v>
      </c>
      <c r="C49" s="11">
        <v>50.628627350087164</v>
      </c>
      <c r="D49" s="3">
        <v>139</v>
      </c>
      <c r="E49" s="12">
        <v>86.513916645466963</v>
      </c>
      <c r="F49" s="12">
        <v>37.20256278922335</v>
      </c>
      <c r="G49" s="12">
        <v>55.196326781869736</v>
      </c>
      <c r="H49" s="12">
        <v>13.813439608958372</v>
      </c>
      <c r="I49" s="12">
        <v>41.289792577237819</v>
      </c>
      <c r="J49" s="12">
        <v>51.923697080127937</v>
      </c>
      <c r="K49" s="12">
        <v>24.845356133228883</v>
      </c>
      <c r="L49" s="12">
        <v>44.591678608109156</v>
      </c>
      <c r="M49" s="12">
        <v>8.4126340022700212</v>
      </c>
      <c r="N49" s="12">
        <v>45.198308549028702</v>
      </c>
      <c r="O49" s="12">
        <v>68.218240223324301</v>
      </c>
      <c r="P49" s="12">
        <v>79.153711693534547</v>
      </c>
      <c r="Q49" s="12">
        <v>71.786373465602949</v>
      </c>
      <c r="R49" s="12">
        <v>31.187499844981343</v>
      </c>
      <c r="S49" s="12">
        <v>48.377834322551635</v>
      </c>
      <c r="T49" s="12">
        <v>76.652641702165027</v>
      </c>
      <c r="U49" s="12">
        <v>76.322650923801149</v>
      </c>
    </row>
    <row r="50" spans="1:21" x14ac:dyDescent="0.2">
      <c r="A50" s="12" t="s">
        <v>357</v>
      </c>
      <c r="B50" s="12" t="s">
        <v>358</v>
      </c>
    </row>
    <row r="51" spans="1:21" x14ac:dyDescent="0.2">
      <c r="A51" s="12" t="s">
        <v>143</v>
      </c>
      <c r="B51" s="12" t="s">
        <v>144</v>
      </c>
      <c r="C51" s="11">
        <v>66.424266330794367</v>
      </c>
      <c r="D51" s="3">
        <v>75</v>
      </c>
      <c r="E51" s="12">
        <v>99.626587628415848</v>
      </c>
      <c r="F51" s="12">
        <v>52.876006248216754</v>
      </c>
      <c r="G51" s="12">
        <v>68.944371320885253</v>
      </c>
      <c r="H51" s="12">
        <v>71.579533958358653</v>
      </c>
      <c r="I51" s="12">
        <v>74.216962961610733</v>
      </c>
      <c r="J51" s="12">
        <v>80.309785281376733</v>
      </c>
      <c r="K51" s="12">
        <v>83.018024406769484</v>
      </c>
      <c r="L51" s="12">
        <v>65.491415489286908</v>
      </c>
      <c r="M51" s="12">
        <v>27.922222524669106</v>
      </c>
      <c r="N51" s="12">
        <v>32.907473258383426</v>
      </c>
      <c r="O51" s="12">
        <v>79.945200634513284</v>
      </c>
      <c r="P51" s="12">
        <v>78.753650023578203</v>
      </c>
      <c r="Q51" s="12">
        <v>90.644562965822402</v>
      </c>
      <c r="R51" s="12">
        <v>57.695785614751571</v>
      </c>
      <c r="S51" s="12">
        <v>67.459390573138478</v>
      </c>
      <c r="T51" s="12">
        <v>47.74339637709155</v>
      </c>
      <c r="U51" s="12">
        <v>50.078158356635981</v>
      </c>
    </row>
    <row r="52" spans="1:21" x14ac:dyDescent="0.2">
      <c r="A52" s="12" t="s">
        <v>167</v>
      </c>
      <c r="B52" s="12" t="s">
        <v>168</v>
      </c>
      <c r="C52" s="11">
        <v>70.76907602814201</v>
      </c>
      <c r="D52" s="3">
        <v>46</v>
      </c>
      <c r="E52" s="12">
        <v>95.904104148811427</v>
      </c>
      <c r="F52" s="12">
        <v>49.743026808330576</v>
      </c>
      <c r="G52" s="12">
        <v>76.662635767360129</v>
      </c>
      <c r="H52" s="12">
        <v>78.077253581052275</v>
      </c>
      <c r="I52" s="12">
        <v>80.473669888695142</v>
      </c>
      <c r="J52" s="12">
        <v>97.498403474331695</v>
      </c>
      <c r="K52" s="12">
        <v>83.892462667896567</v>
      </c>
      <c r="L52" s="12">
        <v>67.505559002174678</v>
      </c>
      <c r="M52" s="12">
        <v>28.770586266017649</v>
      </c>
      <c r="N52" s="12">
        <v>35.56553165509726</v>
      </c>
      <c r="O52" s="12">
        <v>90.252280537320758</v>
      </c>
      <c r="P52" s="12">
        <v>73.359896115893207</v>
      </c>
      <c r="Q52" s="12">
        <v>88.857267676314265</v>
      </c>
      <c r="R52" s="12">
        <v>62.626188135514155</v>
      </c>
      <c r="S52" s="12">
        <v>56.934139461300923</v>
      </c>
      <c r="T52" s="12">
        <v>57.145829028760694</v>
      </c>
      <c r="U52" s="12">
        <v>79.805458263542832</v>
      </c>
    </row>
    <row r="53" spans="1:21" x14ac:dyDescent="0.2">
      <c r="A53" s="12" t="s">
        <v>181</v>
      </c>
      <c r="B53" s="12" t="s">
        <v>182</v>
      </c>
      <c r="C53" s="11">
        <v>63.474294839065671</v>
      </c>
      <c r="D53" s="3">
        <v>97</v>
      </c>
      <c r="E53" s="12">
        <v>99.438594805939459</v>
      </c>
      <c r="F53" s="12">
        <v>53.338270613774235</v>
      </c>
      <c r="G53" s="12">
        <v>72.486164869091994</v>
      </c>
      <c r="H53" s="12">
        <v>74.530810746525276</v>
      </c>
      <c r="I53" s="12">
        <v>46.78884729315309</v>
      </c>
      <c r="J53" s="12">
        <v>63.671864313227026</v>
      </c>
      <c r="K53" s="12">
        <v>88.3418613442268</v>
      </c>
      <c r="L53" s="12">
        <v>47.873286609710206</v>
      </c>
      <c r="M53" s="12">
        <v>33.940535574374699</v>
      </c>
      <c r="N53" s="12">
        <v>37.504288674166425</v>
      </c>
      <c r="O53" s="12">
        <v>55.330048015555043</v>
      </c>
      <c r="P53" s="12">
        <v>73.097148169476682</v>
      </c>
      <c r="Q53" s="12">
        <v>91.785860050972317</v>
      </c>
      <c r="R53" s="12">
        <v>51.573220447096354</v>
      </c>
      <c r="S53" s="12">
        <v>67.250531593080993</v>
      </c>
      <c r="T53" s="12">
        <v>68.652605230337883</v>
      </c>
      <c r="U53" s="12">
        <v>53.459073913408055</v>
      </c>
    </row>
    <row r="54" spans="1:21" x14ac:dyDescent="0.2">
      <c r="A54" s="12" t="s">
        <v>165</v>
      </c>
      <c r="B54" s="12" t="s">
        <v>166</v>
      </c>
      <c r="C54" s="11">
        <v>64.093181842041702</v>
      </c>
      <c r="D54" s="3">
        <v>92</v>
      </c>
      <c r="E54" s="12">
        <v>98.869664703456934</v>
      </c>
      <c r="F54" s="12">
        <v>49.460416671323891</v>
      </c>
      <c r="G54" s="12">
        <v>79.265846051822777</v>
      </c>
      <c r="H54" s="12">
        <v>67.192616709054903</v>
      </c>
      <c r="I54" s="12">
        <v>69.56747638709092</v>
      </c>
      <c r="J54" s="12">
        <v>89.72312916538192</v>
      </c>
      <c r="K54" s="12">
        <v>81.366975145592249</v>
      </c>
      <c r="L54" s="12">
        <v>62.232789865331966</v>
      </c>
      <c r="M54" s="12">
        <v>15.691780131169182</v>
      </c>
      <c r="N54" s="12">
        <v>39.035866240630234</v>
      </c>
      <c r="O54" s="12">
        <v>79.352960085664222</v>
      </c>
      <c r="P54" s="12">
        <v>74.938231273864474</v>
      </c>
      <c r="Q54" s="12">
        <v>90.743064114451414</v>
      </c>
      <c r="R54" s="12">
        <v>32.528466676686513</v>
      </c>
      <c r="S54" s="12">
        <v>60.12820617313406</v>
      </c>
      <c r="T54" s="12">
        <v>38.886642537676735</v>
      </c>
      <c r="U54" s="12">
        <v>60.599959382376511</v>
      </c>
    </row>
    <row r="55" spans="1:21" x14ac:dyDescent="0.2">
      <c r="A55" s="12" t="s">
        <v>365</v>
      </c>
      <c r="B55" s="12" t="s">
        <v>366</v>
      </c>
    </row>
    <row r="56" spans="1:21" x14ac:dyDescent="0.2">
      <c r="A56" s="12" t="s">
        <v>359</v>
      </c>
      <c r="B56" s="12" t="s">
        <v>360</v>
      </c>
    </row>
    <row r="57" spans="1:21" x14ac:dyDescent="0.2">
      <c r="A57" s="12" t="s">
        <v>39</v>
      </c>
      <c r="B57" s="12" t="s">
        <v>40</v>
      </c>
      <c r="C57" s="11">
        <v>78.31570590521919</v>
      </c>
      <c r="D57" s="3">
        <v>16</v>
      </c>
      <c r="E57" s="12">
        <v>99.411505994554304</v>
      </c>
      <c r="F57" s="12">
        <v>64.167103721838586</v>
      </c>
      <c r="G57" s="12">
        <v>88.72609512630406</v>
      </c>
      <c r="H57" s="12">
        <v>92.877079087913444</v>
      </c>
      <c r="I57" s="12">
        <v>77.27976839475987</v>
      </c>
      <c r="J57" s="12">
        <v>87.285473095760025</v>
      </c>
      <c r="K57" s="12">
        <v>81.434836742597966</v>
      </c>
      <c r="L57" s="12">
        <v>81.820714423151642</v>
      </c>
      <c r="M57" s="12">
        <v>64.7073682697348</v>
      </c>
      <c r="N57" s="12">
        <v>72.371060581836048</v>
      </c>
      <c r="O57" s="12">
        <v>88.541902506244767</v>
      </c>
      <c r="P57" s="12">
        <v>60.884136013227092</v>
      </c>
      <c r="Q57" s="12">
        <v>81.532912985446345</v>
      </c>
      <c r="R57" s="12">
        <v>81.54411346505951</v>
      </c>
      <c r="S57" s="12">
        <v>77.147110094904718</v>
      </c>
      <c r="T57" s="12">
        <v>80.470898999266794</v>
      </c>
      <c r="U57" s="12">
        <v>51.164920886125884</v>
      </c>
    </row>
    <row r="58" spans="1:21" x14ac:dyDescent="0.2">
      <c r="A58" s="12" t="s">
        <v>307</v>
      </c>
      <c r="B58" s="12" t="s">
        <v>308</v>
      </c>
      <c r="C58" s="11">
        <v>53.23430661738189</v>
      </c>
      <c r="D58" s="3">
        <v>128</v>
      </c>
      <c r="E58" s="12">
        <v>87.487050987385544</v>
      </c>
      <c r="F58" s="12">
        <v>40.861617948597711</v>
      </c>
      <c r="G58" s="12">
        <v>47.367798058492561</v>
      </c>
      <c r="H58" s="12">
        <v>29.573604213579014</v>
      </c>
      <c r="I58" s="12">
        <v>55.358215987870267</v>
      </c>
      <c r="J58" s="12">
        <v>65.749779221604243</v>
      </c>
      <c r="K58" s="12">
        <v>30.077624091757588</v>
      </c>
      <c r="L58" s="12">
        <v>65.977745443118451</v>
      </c>
      <c r="M58" s="12">
        <v>12.05997941604485</v>
      </c>
      <c r="N58" s="12">
        <v>45.198308549028702</v>
      </c>
      <c r="O58" s="12">
        <v>60.363631628485031</v>
      </c>
      <c r="P58" s="12">
        <v>78.621985909810491</v>
      </c>
      <c r="Q58" s="12">
        <v>80.957751542025804</v>
      </c>
      <c r="R58" s="12">
        <v>48.160238987946016</v>
      </c>
      <c r="S58" s="12">
        <v>54.835435653184291</v>
      </c>
      <c r="T58" s="12">
        <v>50.818541619854066</v>
      </c>
      <c r="U58" s="12">
        <v>51.513903236707542</v>
      </c>
    </row>
    <row r="59" spans="1:21" x14ac:dyDescent="0.2">
      <c r="A59" s="12" t="s">
        <v>133</v>
      </c>
      <c r="B59" s="12" t="s">
        <v>134</v>
      </c>
    </row>
    <row r="60" spans="1:21" x14ac:dyDescent="0.2">
      <c r="A60" s="12" t="s">
        <v>21</v>
      </c>
      <c r="B60" s="12" t="s">
        <v>22</v>
      </c>
      <c r="C60" s="11">
        <v>82.998732121636863</v>
      </c>
      <c r="D60" s="3">
        <v>3</v>
      </c>
      <c r="E60" s="12">
        <v>99.900512529181469</v>
      </c>
      <c r="F60" s="12">
        <v>66.961886338126703</v>
      </c>
      <c r="G60" s="12">
        <v>96.536500055313539</v>
      </c>
      <c r="H60" s="12">
        <v>89.604003581778755</v>
      </c>
      <c r="I60" s="12">
        <v>89.403650526983938</v>
      </c>
      <c r="J60" s="12">
        <v>93.610738244575984</v>
      </c>
      <c r="K60" s="12">
        <v>93.650110376238743</v>
      </c>
      <c r="L60" s="12">
        <v>83.046530674170214</v>
      </c>
      <c r="M60" s="12">
        <v>85.75432724212763</v>
      </c>
      <c r="N60" s="12">
        <v>97.991722243701645</v>
      </c>
      <c r="O60" s="12">
        <v>91.11266064270427</v>
      </c>
      <c r="P60" s="12">
        <v>52.435127482913778</v>
      </c>
      <c r="Q60" s="12">
        <v>76.611522218316608</v>
      </c>
      <c r="R60" s="12">
        <v>62.558780180902779</v>
      </c>
      <c r="S60" s="12">
        <v>68.841644640541858</v>
      </c>
      <c r="T60" s="12">
        <v>92.948553165118426</v>
      </c>
      <c r="U60" s="12">
        <v>70.010175925130412</v>
      </c>
    </row>
    <row r="61" spans="1:21" x14ac:dyDescent="0.2">
      <c r="A61" s="12" t="s">
        <v>462</v>
      </c>
      <c r="B61" s="12" t="s">
        <v>140</v>
      </c>
      <c r="C61" s="11">
        <v>68.952649284570768</v>
      </c>
      <c r="D61" s="3">
        <v>61</v>
      </c>
      <c r="E61" s="12">
        <v>95.614905793657925</v>
      </c>
      <c r="F61" s="12">
        <v>62.901844351402708</v>
      </c>
      <c r="G61" s="12">
        <v>79.49570143495248</v>
      </c>
      <c r="H61" s="12">
        <v>81.506803682345165</v>
      </c>
      <c r="I61" s="12">
        <v>69.009096568077553</v>
      </c>
      <c r="J61" s="12">
        <v>93.38396982186039</v>
      </c>
      <c r="K61" s="12">
        <v>74.959216212263243</v>
      </c>
      <c r="L61" s="12">
        <v>52.753619527236218</v>
      </c>
      <c r="M61" s="12">
        <v>33.440178338727819</v>
      </c>
      <c r="N61" s="12">
        <v>48.947555538445933</v>
      </c>
      <c r="O61" s="12">
        <v>67.65484207272317</v>
      </c>
      <c r="P61" s="12">
        <v>66.296776719454328</v>
      </c>
      <c r="Q61" s="12">
        <v>85.530883466216451</v>
      </c>
      <c r="R61" s="12">
        <v>48.422883381021848</v>
      </c>
      <c r="S61" s="12">
        <v>68.403337873195085</v>
      </c>
      <c r="T61" s="12">
        <v>67.737976284911667</v>
      </c>
      <c r="U61" s="12">
        <v>76.135446771211008</v>
      </c>
    </row>
    <row r="62" spans="1:21" x14ac:dyDescent="0.2">
      <c r="A62" s="12" t="s">
        <v>31</v>
      </c>
      <c r="B62" s="12" t="s">
        <v>32</v>
      </c>
      <c r="C62" s="11">
        <v>81.218437650483452</v>
      </c>
      <c r="D62" s="3">
        <v>5</v>
      </c>
      <c r="E62" s="12">
        <v>99.802991997925545</v>
      </c>
      <c r="F62" s="12">
        <v>76.108071733394127</v>
      </c>
      <c r="G62" s="12">
        <v>92.923348251404022</v>
      </c>
      <c r="H62" s="12">
        <v>91.069497639392551</v>
      </c>
      <c r="I62" s="12">
        <v>86.812549921972789</v>
      </c>
      <c r="J62" s="12">
        <v>89.500494594390844</v>
      </c>
      <c r="K62" s="12">
        <v>94.610901050250462</v>
      </c>
      <c r="L62" s="12">
        <v>81.227654647093104</v>
      </c>
      <c r="M62" s="12">
        <v>75.568958764101282</v>
      </c>
      <c r="N62" s="12">
        <v>85.772845076754905</v>
      </c>
      <c r="O62" s="12">
        <v>89.594264592338675</v>
      </c>
      <c r="P62" s="12">
        <v>54.806237170222524</v>
      </c>
      <c r="Q62" s="12">
        <v>84.799062011468493</v>
      </c>
      <c r="R62" s="12">
        <v>61.297388224453009</v>
      </c>
      <c r="S62" s="12">
        <v>70.889445005746168</v>
      </c>
      <c r="T62" s="12">
        <v>74.671409562808151</v>
      </c>
      <c r="U62" s="12">
        <v>71.258319814502045</v>
      </c>
    </row>
    <row r="63" spans="1:21" x14ac:dyDescent="0.2">
      <c r="A63" s="12" t="s">
        <v>245</v>
      </c>
      <c r="B63" s="12" t="s">
        <v>246</v>
      </c>
      <c r="C63" s="11">
        <v>62.836404740311401</v>
      </c>
      <c r="D63" s="3">
        <v>100</v>
      </c>
      <c r="E63" s="12">
        <v>97.76494885046921</v>
      </c>
      <c r="F63" s="12">
        <v>51.885340259235853</v>
      </c>
      <c r="G63" s="12">
        <v>53.415517648364357</v>
      </c>
      <c r="H63" s="12">
        <v>65.921610405490355</v>
      </c>
      <c r="I63" s="12">
        <v>53.95106661708995</v>
      </c>
      <c r="J63" s="12">
        <v>77.1377261949402</v>
      </c>
      <c r="K63" s="12">
        <v>71.115801529787902</v>
      </c>
      <c r="L63" s="12">
        <v>56.022604189062612</v>
      </c>
      <c r="M63" s="12">
        <v>25.839748614103481</v>
      </c>
      <c r="N63" s="12">
        <v>47.074488066211437</v>
      </c>
      <c r="O63" s="12">
        <v>53.556305461963156</v>
      </c>
      <c r="P63" s="12">
        <v>78.223451042354014</v>
      </c>
      <c r="Q63" s="12">
        <v>90.067617079844709</v>
      </c>
      <c r="R63" s="12">
        <v>53.691920645509732</v>
      </c>
      <c r="S63" s="12">
        <v>85.185970843207912</v>
      </c>
      <c r="T63" s="12">
        <v>54.198567515327582</v>
      </c>
      <c r="U63" s="12">
        <v>53.1661956223316</v>
      </c>
    </row>
    <row r="64" spans="1:21" x14ac:dyDescent="0.2">
      <c r="A64" s="12" t="s">
        <v>277</v>
      </c>
      <c r="B64" s="12" t="s">
        <v>278</v>
      </c>
      <c r="C64" s="11">
        <v>51.576833772879013</v>
      </c>
      <c r="D64" s="3">
        <v>133</v>
      </c>
      <c r="E64" s="12">
        <v>50.398172230198441</v>
      </c>
      <c r="F64" s="12">
        <v>42.857877472470825</v>
      </c>
      <c r="G64" s="12">
        <v>48.389375836993359</v>
      </c>
      <c r="H64" s="12">
        <v>29.586084209857734</v>
      </c>
      <c r="I64" s="12">
        <v>35.509025177463258</v>
      </c>
      <c r="J64" s="12">
        <v>59.968047405548418</v>
      </c>
      <c r="K64" s="12">
        <v>21.949699988523268</v>
      </c>
      <c r="L64" s="12">
        <v>52.543096429563526</v>
      </c>
      <c r="M64" s="12">
        <v>15.153276081951484</v>
      </c>
      <c r="N64" s="12">
        <v>44.368627969090674</v>
      </c>
      <c r="O64" s="12">
        <v>60.316178325092118</v>
      </c>
      <c r="P64" s="12">
        <v>93.690593152097733</v>
      </c>
      <c r="Q64" s="12">
        <v>83.429787619687659</v>
      </c>
      <c r="R64" s="12">
        <v>48.39095381760135</v>
      </c>
      <c r="S64" s="12">
        <v>62.472873334946442</v>
      </c>
      <c r="T64" s="12">
        <v>64.494794641364649</v>
      </c>
      <c r="U64" s="12">
        <v>63.28771044649222</v>
      </c>
    </row>
    <row r="65" spans="1:21" x14ac:dyDescent="0.2">
      <c r="A65" s="12" t="s">
        <v>103</v>
      </c>
      <c r="B65" s="12" t="s">
        <v>104</v>
      </c>
      <c r="C65" s="11">
        <v>70.652156877519346</v>
      </c>
      <c r="D65" s="3">
        <v>47</v>
      </c>
      <c r="E65" s="12">
        <v>98.151743165104165</v>
      </c>
      <c r="F65" s="12">
        <v>52.91475534737959</v>
      </c>
      <c r="G65" s="12">
        <v>74.258070173260464</v>
      </c>
      <c r="H65" s="12">
        <v>96.298941239363032</v>
      </c>
      <c r="I65" s="12">
        <v>67.330522202517557</v>
      </c>
      <c r="J65" s="12">
        <v>90.364206105873208</v>
      </c>
      <c r="K65" s="12">
        <v>76.766433234965547</v>
      </c>
      <c r="L65" s="12">
        <v>68.048404521567647</v>
      </c>
      <c r="M65" s="12">
        <v>30.126252511781647</v>
      </c>
      <c r="N65" s="12">
        <v>32.707112582292702</v>
      </c>
      <c r="O65" s="12">
        <v>87.87531662652124</v>
      </c>
      <c r="P65" s="12">
        <v>73.81563284789739</v>
      </c>
      <c r="Q65" s="12">
        <v>86.885531372529243</v>
      </c>
      <c r="R65" s="12">
        <v>62.894545501661995</v>
      </c>
      <c r="S65" s="12">
        <v>59.69541730448077</v>
      </c>
      <c r="T65" s="12">
        <v>72.645651842352137</v>
      </c>
      <c r="U65" s="12">
        <v>70.30813033827998</v>
      </c>
    </row>
    <row r="66" spans="1:21" x14ac:dyDescent="0.2">
      <c r="A66" s="12" t="s">
        <v>27</v>
      </c>
      <c r="B66" s="12" t="s">
        <v>28</v>
      </c>
      <c r="C66" s="11">
        <v>82.284100448269484</v>
      </c>
      <c r="D66" s="3">
        <v>4</v>
      </c>
      <c r="E66" s="12">
        <v>99.877713854116791</v>
      </c>
      <c r="F66" s="12">
        <v>77.951624584727824</v>
      </c>
      <c r="G66" s="12">
        <v>94.107900730843227</v>
      </c>
      <c r="H66" s="12">
        <v>98.370358123882369</v>
      </c>
      <c r="I66" s="12">
        <v>82.211348466355389</v>
      </c>
      <c r="J66" s="12">
        <v>86.306743261238566</v>
      </c>
      <c r="K66" s="12">
        <v>88.01566738781942</v>
      </c>
      <c r="L66" s="12">
        <v>89.654328612852282</v>
      </c>
      <c r="M66" s="12">
        <v>81.44026759300634</v>
      </c>
      <c r="N66" s="12">
        <v>83.534084518747477</v>
      </c>
      <c r="O66" s="12">
        <v>91.077215938996986</v>
      </c>
      <c r="P66" s="12">
        <v>55.187581376607874</v>
      </c>
      <c r="Q66" s="12">
        <v>88.0807344896633</v>
      </c>
      <c r="R66" s="12">
        <v>44.251010538668801</v>
      </c>
      <c r="S66" s="12">
        <v>77.975449168787037</v>
      </c>
      <c r="T66" s="12">
        <v>83.578441817680016</v>
      </c>
      <c r="U66" s="12">
        <v>77.209237156587747</v>
      </c>
    </row>
    <row r="67" spans="1:21" x14ac:dyDescent="0.2">
      <c r="A67" s="12" t="s">
        <v>263</v>
      </c>
      <c r="B67" s="12" t="s">
        <v>264</v>
      </c>
      <c r="C67" s="11">
        <v>62.811685072956003</v>
      </c>
      <c r="D67" s="3">
        <v>101</v>
      </c>
      <c r="E67" s="12">
        <v>90.953367077004685</v>
      </c>
      <c r="F67" s="12">
        <v>55.064427696612803</v>
      </c>
      <c r="G67" s="12">
        <v>55.391103328733706</v>
      </c>
      <c r="H67" s="12">
        <v>60.804357933302668</v>
      </c>
      <c r="I67" s="12">
        <v>53.768752283971793</v>
      </c>
      <c r="J67" s="12">
        <v>66.642378742435653</v>
      </c>
      <c r="K67" s="12">
        <v>52.396382288446922</v>
      </c>
      <c r="L67" s="12">
        <v>72.499704011462484</v>
      </c>
      <c r="M67" s="12">
        <v>29.075917185505837</v>
      </c>
      <c r="N67" s="12">
        <v>58.751363486397366</v>
      </c>
      <c r="O67" s="12">
        <v>54.958623755502082</v>
      </c>
      <c r="P67" s="12">
        <v>78.142858677829537</v>
      </c>
      <c r="Q67" s="12">
        <v>90.935034583738172</v>
      </c>
      <c r="R67" s="12">
        <v>56.797045726604736</v>
      </c>
      <c r="S67" s="12">
        <v>69.393771763890996</v>
      </c>
      <c r="T67" s="12">
        <v>64.954223405075581</v>
      </c>
      <c r="U67" s="12">
        <v>57.269334293736783</v>
      </c>
    </row>
    <row r="68" spans="1:21" x14ac:dyDescent="0.2">
      <c r="A68" s="12" t="s">
        <v>75</v>
      </c>
      <c r="B68" s="12" t="s">
        <v>76</v>
      </c>
      <c r="C68" s="11">
        <v>70.642451910254636</v>
      </c>
      <c r="D68" s="3">
        <v>48</v>
      </c>
      <c r="E68" s="12">
        <v>98.180387140669239</v>
      </c>
      <c r="F68" s="12">
        <v>66.863134593908441</v>
      </c>
      <c r="G68" s="12">
        <v>89.186720082920075</v>
      </c>
      <c r="H68" s="12">
        <v>86.182750901605701</v>
      </c>
      <c r="I68" s="12">
        <v>70.345803694048584</v>
      </c>
      <c r="J68" s="12">
        <v>85.769586424725361</v>
      </c>
      <c r="K68" s="12">
        <v>86.867126565635203</v>
      </c>
      <c r="L68" s="12">
        <v>59.787451878677693</v>
      </c>
      <c r="M68" s="12">
        <v>49.374537424000842</v>
      </c>
      <c r="N68" s="12">
        <v>51.021218832170192</v>
      </c>
      <c r="O68" s="12">
        <v>78.30840282393774</v>
      </c>
      <c r="P68" s="12">
        <v>46.845206642625605</v>
      </c>
      <c r="Q68" s="12">
        <v>78.100984243437381</v>
      </c>
      <c r="R68" s="12">
        <v>59.380207469073127</v>
      </c>
      <c r="S68" s="12">
        <v>73.037188933012004</v>
      </c>
      <c r="T68" s="12">
        <v>67.828048617447877</v>
      </c>
      <c r="U68" s="12">
        <v>53.842926206433795</v>
      </c>
    </row>
    <row r="69" spans="1:21" x14ac:dyDescent="0.2">
      <c r="A69" s="12" t="s">
        <v>367</v>
      </c>
      <c r="B69" s="12" t="s">
        <v>368</v>
      </c>
    </row>
    <row r="70" spans="1:21" x14ac:dyDescent="0.2">
      <c r="A70" s="12" t="s">
        <v>273</v>
      </c>
      <c r="B70" s="12" t="s">
        <v>274</v>
      </c>
      <c r="C70" s="11">
        <v>58.237910444636654</v>
      </c>
      <c r="D70" s="3">
        <v>117</v>
      </c>
      <c r="E70" s="12">
        <v>91.150805551303051</v>
      </c>
      <c r="F70" s="12">
        <v>39.564663508047211</v>
      </c>
      <c r="G70" s="12">
        <v>70.791885129698855</v>
      </c>
      <c r="H70" s="12">
        <v>64.237616738047436</v>
      </c>
      <c r="I70" s="12">
        <v>58.677603141794464</v>
      </c>
      <c r="J70" s="12">
        <v>83.012334068073542</v>
      </c>
      <c r="K70" s="12">
        <v>58.860465790602177</v>
      </c>
      <c r="L70" s="12">
        <v>60.079471512745982</v>
      </c>
      <c r="M70" s="12">
        <v>13.886122408530927</v>
      </c>
      <c r="N70" s="12">
        <v>20.347593272564033</v>
      </c>
      <c r="O70" s="12">
        <v>79.114694762111384</v>
      </c>
      <c r="P70" s="12">
        <v>74.826563316221808</v>
      </c>
      <c r="Q70" s="12">
        <v>91.005512722392723</v>
      </c>
      <c r="R70" s="12">
        <v>43.292006909532176</v>
      </c>
      <c r="S70" s="12">
        <v>40.575805746617434</v>
      </c>
      <c r="T70" s="12">
        <v>48.420162927824208</v>
      </c>
      <c r="U70" s="12">
        <v>52.201170052715611</v>
      </c>
    </row>
    <row r="71" spans="1:21" x14ac:dyDescent="0.2">
      <c r="A71" s="12" t="s">
        <v>303</v>
      </c>
      <c r="B71" s="12" t="s">
        <v>304</v>
      </c>
      <c r="C71" s="11">
        <v>52.118980310640708</v>
      </c>
      <c r="D71" s="3">
        <v>131</v>
      </c>
      <c r="E71" s="12">
        <v>67.738776765443632</v>
      </c>
      <c r="F71" s="12">
        <v>45.028503931363616</v>
      </c>
      <c r="G71" s="12">
        <v>36.730184410204238</v>
      </c>
      <c r="H71" s="12">
        <v>18.824446258185471</v>
      </c>
      <c r="I71" s="12">
        <v>37.374934150782408</v>
      </c>
      <c r="J71" s="12">
        <v>54.294456012632502</v>
      </c>
      <c r="K71" s="12">
        <v>12.042376141099679</v>
      </c>
      <c r="L71" s="12">
        <v>51.108717953925378</v>
      </c>
      <c r="M71" s="12">
        <v>6.6604591187575162</v>
      </c>
      <c r="N71" s="12">
        <v>82.626566045263033</v>
      </c>
      <c r="O71" s="12">
        <v>55.782665259119248</v>
      </c>
      <c r="P71" s="12">
        <v>79.132488649611219</v>
      </c>
      <c r="Q71" s="12">
        <v>94.529632257354038</v>
      </c>
      <c r="R71" s="12">
        <v>53.602214723811663</v>
      </c>
      <c r="S71" s="12">
        <v>75.350146039709202</v>
      </c>
      <c r="T71" s="12">
        <v>53.210389261271843</v>
      </c>
      <c r="U71" s="12">
        <v>61.98570830235721</v>
      </c>
    </row>
    <row r="72" spans="1:21" x14ac:dyDescent="0.2">
      <c r="A72" s="12" t="s">
        <v>363</v>
      </c>
      <c r="B72" s="12" t="s">
        <v>364</v>
      </c>
    </row>
    <row r="73" spans="1:21" x14ac:dyDescent="0.2">
      <c r="A73" s="12" t="s">
        <v>211</v>
      </c>
      <c r="B73" s="12" t="s">
        <v>212</v>
      </c>
      <c r="C73" s="11">
        <v>61.904222472084228</v>
      </c>
      <c r="D73" s="3">
        <v>104</v>
      </c>
      <c r="E73" s="12">
        <v>95.247898451660149</v>
      </c>
      <c r="F73" s="12">
        <v>59.774263527084244</v>
      </c>
      <c r="G73" s="12">
        <v>64.889458449319477</v>
      </c>
      <c r="H73" s="12">
        <v>77.054029801098991</v>
      </c>
      <c r="I73" s="12">
        <v>64.553358355048786</v>
      </c>
      <c r="J73" s="12">
        <v>91.580310005518129</v>
      </c>
      <c r="K73" s="12">
        <v>72.947880319584058</v>
      </c>
      <c r="L73" s="12">
        <v>58.253802829796086</v>
      </c>
      <c r="M73" s="12">
        <v>15.144370652447071</v>
      </c>
      <c r="N73" s="12">
        <v>36.501007236918774</v>
      </c>
      <c r="O73" s="12">
        <v>84.82544686354008</v>
      </c>
      <c r="P73" s="12">
        <v>43.669527896995703</v>
      </c>
      <c r="Q73" s="12">
        <v>62.961624558369387</v>
      </c>
      <c r="R73" s="12">
        <v>50.820953288988349</v>
      </c>
      <c r="S73" s="12">
        <v>58.735444138931825</v>
      </c>
      <c r="T73" s="12">
        <v>50.525810549230741</v>
      </c>
      <c r="U73" s="12">
        <v>64.886595100900124</v>
      </c>
    </row>
    <row r="74" spans="1:21" x14ac:dyDescent="0.2">
      <c r="A74" s="12" t="s">
        <v>323</v>
      </c>
      <c r="B74" s="12" t="s">
        <v>324</v>
      </c>
      <c r="C74" s="11">
        <v>49.16124359357881</v>
      </c>
      <c r="D74" s="3">
        <v>145</v>
      </c>
      <c r="E74" s="12">
        <v>73.398462880314071</v>
      </c>
      <c r="F74" s="12">
        <v>33.527878093419488</v>
      </c>
      <c r="G74" s="12">
        <v>46.977585458907704</v>
      </c>
      <c r="H74" s="12">
        <v>37.880686524018394</v>
      </c>
      <c r="I74" s="12">
        <v>41.576902546186304</v>
      </c>
      <c r="J74" s="12">
        <v>61.433464729248541</v>
      </c>
      <c r="K74" s="12">
        <v>13.347051169485772</v>
      </c>
      <c r="L74" s="12">
        <v>42.662699842040695</v>
      </c>
      <c r="M74" s="12">
        <v>3.1814743829073606</v>
      </c>
      <c r="N74" s="12">
        <v>62.399426003362478</v>
      </c>
      <c r="O74" s="12">
        <v>31.979870253314271</v>
      </c>
      <c r="P74" s="12">
        <v>77.67370218747179</v>
      </c>
      <c r="Q74" s="12">
        <v>93.483895558127671</v>
      </c>
      <c r="R74" s="12">
        <v>32.943390419811024</v>
      </c>
      <c r="S74" s="12">
        <v>37.701479760350281</v>
      </c>
      <c r="T74" s="12">
        <v>45.573171281873861</v>
      </c>
      <c r="U74" s="12">
        <v>100</v>
      </c>
    </row>
    <row r="75" spans="1:21" x14ac:dyDescent="0.2">
      <c r="A75" s="12" t="s">
        <v>251</v>
      </c>
      <c r="B75" s="12" t="s">
        <v>252</v>
      </c>
      <c r="C75" s="11">
        <v>63.636000783241329</v>
      </c>
      <c r="D75" s="3">
        <v>96</v>
      </c>
      <c r="E75" s="12">
        <v>80.303089885704537</v>
      </c>
      <c r="F75" s="12">
        <v>45.522984955891353</v>
      </c>
      <c r="G75" s="12">
        <v>74.833748215157541</v>
      </c>
      <c r="H75" s="12">
        <v>63.625070106917711</v>
      </c>
      <c r="I75" s="12">
        <v>70.922991733969567</v>
      </c>
      <c r="J75" s="12">
        <v>87.483768319810338</v>
      </c>
      <c r="K75" s="12">
        <v>67.457813104220676</v>
      </c>
      <c r="L75" s="12">
        <v>65.442673769880088</v>
      </c>
      <c r="M75" s="12">
        <v>14.356512080780657</v>
      </c>
      <c r="N75" s="12">
        <v>26.765744172790484</v>
      </c>
      <c r="O75" s="12">
        <v>82.629686157563398</v>
      </c>
      <c r="P75" s="12">
        <v>76.308653361670366</v>
      </c>
      <c r="Q75" s="12">
        <v>90.775593224775278</v>
      </c>
      <c r="R75" s="12">
        <v>58.838857204254793</v>
      </c>
      <c r="S75" s="12">
        <v>55.850728349570502</v>
      </c>
      <c r="T75" s="12">
        <v>47.771874693582006</v>
      </c>
      <c r="U75" s="12">
        <v>72.922223978563082</v>
      </c>
    </row>
    <row r="76" spans="1:21" x14ac:dyDescent="0.2">
      <c r="A76" s="12" t="s">
        <v>63</v>
      </c>
      <c r="B76" s="12" t="s">
        <v>64</v>
      </c>
      <c r="C76" s="11">
        <v>74.956526523692986</v>
      </c>
      <c r="D76" s="3">
        <v>26</v>
      </c>
      <c r="E76" s="12">
        <v>99.276891694594013</v>
      </c>
      <c r="F76" s="12">
        <v>70.717326995960562</v>
      </c>
      <c r="G76" s="12">
        <v>85.591893057295096</v>
      </c>
      <c r="H76" s="12">
        <v>84.974353235254853</v>
      </c>
      <c r="I76" s="12">
        <v>68.118137881364262</v>
      </c>
      <c r="J76" s="12">
        <v>85.965028638983597</v>
      </c>
      <c r="K76" s="12">
        <v>85.171296456712383</v>
      </c>
      <c r="L76" s="12">
        <v>76.861357087935261</v>
      </c>
      <c r="M76" s="12">
        <v>50.207279749427279</v>
      </c>
      <c r="N76" s="12">
        <v>75.72662741653258</v>
      </c>
      <c r="O76" s="12">
        <v>83.012973836345395</v>
      </c>
      <c r="P76" s="12">
        <v>69.434594312598847</v>
      </c>
      <c r="Q76" s="12">
        <v>94.066635401527407</v>
      </c>
      <c r="R76" s="12">
        <v>52.397336317923852</v>
      </c>
      <c r="S76" s="12">
        <v>78.276232564681493</v>
      </c>
      <c r="T76" s="12">
        <v>64.877212182451984</v>
      </c>
      <c r="U76" s="12">
        <v>49.585774073191629</v>
      </c>
    </row>
    <row r="77" spans="1:21" x14ac:dyDescent="0.2">
      <c r="A77" s="12" t="s">
        <v>77</v>
      </c>
      <c r="B77" s="12" t="s">
        <v>78</v>
      </c>
      <c r="C77" s="11">
        <v>79.74761064988877</v>
      </c>
      <c r="D77" s="3">
        <v>10</v>
      </c>
      <c r="E77" s="12">
        <v>99.775552001701101</v>
      </c>
      <c r="F77" s="12">
        <v>74.683546348643858</v>
      </c>
      <c r="G77" s="12">
        <v>96.421860715165849</v>
      </c>
      <c r="H77" s="12">
        <v>93.653330714015723</v>
      </c>
      <c r="I77" s="12">
        <v>91.893685147577074</v>
      </c>
      <c r="J77" s="12">
        <v>85.010975921553893</v>
      </c>
      <c r="K77" s="12">
        <v>98.891106016694081</v>
      </c>
      <c r="L77" s="12">
        <v>91.402809965989562</v>
      </c>
      <c r="M77" s="12">
        <v>75.808599206399848</v>
      </c>
      <c r="N77" s="12">
        <v>99.343354793542261</v>
      </c>
      <c r="O77" s="12">
        <v>89.320016079220252</v>
      </c>
      <c r="P77" s="12">
        <v>51.798943866239611</v>
      </c>
      <c r="Q77" s="12">
        <v>88.907393122671081</v>
      </c>
      <c r="R77" s="12">
        <v>28.027676150677763</v>
      </c>
      <c r="S77" s="12">
        <v>33.379355467052775</v>
      </c>
      <c r="T77" s="12">
        <v>92.159610789264093</v>
      </c>
      <c r="U77" s="12">
        <v>65.231564741700481</v>
      </c>
    </row>
    <row r="78" spans="1:21" x14ac:dyDescent="0.2">
      <c r="A78" s="12" t="s">
        <v>243</v>
      </c>
      <c r="B78" s="12" t="s">
        <v>244</v>
      </c>
      <c r="C78" s="11">
        <v>59.050229978879813</v>
      </c>
      <c r="D78" s="3">
        <v>112</v>
      </c>
      <c r="E78" s="12">
        <v>96.310296211576627</v>
      </c>
      <c r="F78" s="12">
        <v>39.561089214845182</v>
      </c>
      <c r="G78" s="12">
        <v>58.851014263127233</v>
      </c>
      <c r="H78" s="12">
        <v>64.757870957102995</v>
      </c>
      <c r="I78" s="12">
        <v>36.394326942063515</v>
      </c>
      <c r="J78" s="12">
        <v>70.191410488293883</v>
      </c>
      <c r="K78" s="12">
        <v>53.971200086429228</v>
      </c>
      <c r="L78" s="12">
        <v>61.098366959344609</v>
      </c>
      <c r="M78" s="12">
        <v>33.097888529669781</v>
      </c>
      <c r="N78" s="12">
        <v>49.071628328644785</v>
      </c>
      <c r="O78" s="12">
        <v>56.117629652586288</v>
      </c>
      <c r="P78" s="12">
        <v>81.55620199498432</v>
      </c>
      <c r="Q78" s="12">
        <v>80.647465248238092</v>
      </c>
      <c r="R78" s="12">
        <v>53.000563261084665</v>
      </c>
      <c r="S78" s="12">
        <v>46.066175293305136</v>
      </c>
      <c r="T78" s="12">
        <v>71.893971411724451</v>
      </c>
      <c r="U78" s="12">
        <v>51.266810797935847</v>
      </c>
    </row>
    <row r="79" spans="1:21" x14ac:dyDescent="0.2">
      <c r="A79" s="12" t="s">
        <v>169</v>
      </c>
      <c r="B79" s="12" t="s">
        <v>170</v>
      </c>
      <c r="C79" s="11">
        <v>62.836892165477984</v>
      </c>
      <c r="D79" s="3">
        <v>99</v>
      </c>
      <c r="E79" s="12">
        <v>96.297196991902325</v>
      </c>
      <c r="F79" s="12">
        <v>50.40106034840867</v>
      </c>
      <c r="G79" s="12">
        <v>61.628881270763245</v>
      </c>
      <c r="H79" s="12">
        <v>76.889678390520359</v>
      </c>
      <c r="I79" s="12">
        <v>62.094881843191416</v>
      </c>
      <c r="J79" s="12">
        <v>85.930040016259753</v>
      </c>
      <c r="K79" s="12">
        <v>64.145550990157986</v>
      </c>
      <c r="L79" s="12">
        <v>71.102337247119621</v>
      </c>
      <c r="M79" s="12">
        <v>23.715910340930467</v>
      </c>
      <c r="N79" s="12">
        <v>34.873448357392654</v>
      </c>
      <c r="O79" s="12">
        <v>64.533777269252184</v>
      </c>
      <c r="P79" s="12">
        <v>79.263181694700876</v>
      </c>
      <c r="Q79" s="12">
        <v>89.095075638652744</v>
      </c>
      <c r="R79" s="12">
        <v>46.65099051825851</v>
      </c>
      <c r="S79" s="12">
        <v>41.809112670328183</v>
      </c>
      <c r="T79" s="12">
        <v>74.104265506706099</v>
      </c>
      <c r="U79" s="12">
        <v>45.69177771858066</v>
      </c>
    </row>
    <row r="80" spans="1:21" x14ac:dyDescent="0.2">
      <c r="A80" s="12" t="s">
        <v>191</v>
      </c>
      <c r="B80" s="12" t="s">
        <v>192</v>
      </c>
      <c r="C80" s="11">
        <v>65.53513830040275</v>
      </c>
      <c r="D80" s="3">
        <v>82</v>
      </c>
      <c r="E80" s="12">
        <v>99.911869986158976</v>
      </c>
      <c r="F80" s="12">
        <v>52.785077650710342</v>
      </c>
      <c r="G80" s="12">
        <v>78.607660659785068</v>
      </c>
      <c r="H80" s="12">
        <v>84.684011981776834</v>
      </c>
      <c r="I80" s="12">
        <v>48.002575206750898</v>
      </c>
      <c r="J80" s="12">
        <v>51.483628349395282</v>
      </c>
      <c r="K80" s="12">
        <v>78.873991291768846</v>
      </c>
      <c r="L80" s="12">
        <v>63.818582817979134</v>
      </c>
      <c r="M80" s="12">
        <v>33.577504238341561</v>
      </c>
      <c r="N80" s="12">
        <v>64.856703821487287</v>
      </c>
      <c r="O80" s="12">
        <v>75.097147992063839</v>
      </c>
      <c r="P80" s="12">
        <v>68.293269588243447</v>
      </c>
      <c r="Q80" s="12">
        <v>73.026294382880849</v>
      </c>
      <c r="R80" s="12">
        <v>61.659477421534881</v>
      </c>
      <c r="S80" s="12">
        <v>67.282669598870825</v>
      </c>
      <c r="T80" s="12">
        <v>61.909502873433667</v>
      </c>
      <c r="U80" s="12">
        <v>50.227383245664605</v>
      </c>
    </row>
    <row r="81" spans="1:21" x14ac:dyDescent="0.2">
      <c r="A81" s="12" t="s">
        <v>229</v>
      </c>
      <c r="B81" s="12" t="s">
        <v>230</v>
      </c>
      <c r="C81" s="11">
        <v>53.749966129235339</v>
      </c>
      <c r="D81" s="3">
        <v>127</v>
      </c>
      <c r="E81" s="12">
        <v>98.585499212438918</v>
      </c>
      <c r="F81" s="12">
        <v>34.431845454616322</v>
      </c>
      <c r="G81" s="12">
        <v>64.145918748042632</v>
      </c>
      <c r="H81" s="12">
        <v>26.005689621098249</v>
      </c>
      <c r="I81" s="12">
        <v>44.728048331166121</v>
      </c>
      <c r="J81" s="12">
        <v>47.048855037040369</v>
      </c>
      <c r="K81" s="12">
        <v>78.530496695635236</v>
      </c>
      <c r="L81" s="12">
        <v>40.828486657696146</v>
      </c>
      <c r="M81" s="12">
        <v>6.6926827679105152</v>
      </c>
      <c r="N81" s="12">
        <v>62.484379277144349</v>
      </c>
      <c r="O81" s="12">
        <v>63.552336235951572</v>
      </c>
      <c r="P81" s="12">
        <v>76.339959626668588</v>
      </c>
      <c r="Q81" s="12">
        <v>85.797544655670862</v>
      </c>
      <c r="R81" s="12">
        <v>26.520788777977394</v>
      </c>
      <c r="S81" s="12">
        <v>50.276509057951372</v>
      </c>
      <c r="T81" s="12">
        <v>56.853495593644091</v>
      </c>
      <c r="U81" s="12">
        <v>50.926888446348073</v>
      </c>
    </row>
    <row r="82" spans="1:21" x14ac:dyDescent="0.2">
      <c r="A82" s="12" t="s">
        <v>53</v>
      </c>
      <c r="B82" s="12" t="s">
        <v>54</v>
      </c>
      <c r="C82" s="11">
        <v>77.470472151937315</v>
      </c>
      <c r="D82" s="3">
        <v>18</v>
      </c>
      <c r="E82" s="12">
        <v>99.881956914717449</v>
      </c>
      <c r="F82" s="12">
        <v>78.577197002633724</v>
      </c>
      <c r="G82" s="12">
        <v>94.474913146938903</v>
      </c>
      <c r="H82" s="12">
        <v>90.781803577962577</v>
      </c>
      <c r="I82" s="12">
        <v>74.860664275541026</v>
      </c>
      <c r="J82" s="12">
        <v>85.022190185486693</v>
      </c>
      <c r="K82" s="12">
        <v>86.715482829807328</v>
      </c>
      <c r="L82" s="12">
        <v>92.927487627530184</v>
      </c>
      <c r="M82" s="12">
        <v>69.595524580081673</v>
      </c>
      <c r="N82" s="12">
        <v>84.892082790462382</v>
      </c>
      <c r="O82" s="12">
        <v>83.206947639218299</v>
      </c>
      <c r="P82" s="12">
        <v>45.994164855978404</v>
      </c>
      <c r="Q82" s="12">
        <v>89.696543472102377</v>
      </c>
      <c r="R82" s="12">
        <v>52.502414061236088</v>
      </c>
      <c r="S82" s="12">
        <v>69.366938815332432</v>
      </c>
      <c r="T82" s="12">
        <v>86.52160657791913</v>
      </c>
      <c r="U82" s="12">
        <v>31.980108229985998</v>
      </c>
    </row>
    <row r="83" spans="1:21" x14ac:dyDescent="0.2">
      <c r="A83" s="12" t="s">
        <v>115</v>
      </c>
      <c r="B83" s="12" t="s">
        <v>116</v>
      </c>
      <c r="C83" s="11">
        <v>71.849847261043763</v>
      </c>
      <c r="D83" s="3">
        <v>41</v>
      </c>
      <c r="E83" s="12">
        <v>99.545093505585726</v>
      </c>
      <c r="F83" s="12">
        <v>64.226571019080055</v>
      </c>
      <c r="G83" s="12">
        <v>94.865037759906812</v>
      </c>
      <c r="H83" s="12">
        <v>94.421028120492906</v>
      </c>
      <c r="I83" s="12">
        <v>80.753523831423507</v>
      </c>
      <c r="J83" s="12">
        <v>66.921006152232664</v>
      </c>
      <c r="K83" s="12">
        <v>89.674518311930498</v>
      </c>
      <c r="L83" s="12">
        <v>88.432437581456043</v>
      </c>
      <c r="M83" s="12">
        <v>75.371520753735339</v>
      </c>
      <c r="N83" s="12">
        <v>50.29615639224879</v>
      </c>
      <c r="O83" s="12">
        <v>82.200794978354978</v>
      </c>
      <c r="P83" s="12">
        <v>47.320627957991597</v>
      </c>
      <c r="Q83" s="12">
        <v>88.387171748165414</v>
      </c>
      <c r="R83" s="12">
        <v>35.849288139244884</v>
      </c>
      <c r="S83" s="12">
        <v>41.379082605400434</v>
      </c>
      <c r="T83" s="12">
        <v>69.378914956654654</v>
      </c>
      <c r="U83" s="12">
        <v>52.424629623839671</v>
      </c>
    </row>
    <row r="84" spans="1:21" x14ac:dyDescent="0.2">
      <c r="A84" s="12" t="s">
        <v>67</v>
      </c>
      <c r="B84" s="12" t="s">
        <v>68</v>
      </c>
      <c r="C84" s="11">
        <v>74.21225979431874</v>
      </c>
      <c r="D84" s="3">
        <v>29</v>
      </c>
      <c r="E84" s="12">
        <v>98.456276101102702</v>
      </c>
      <c r="F84" s="12">
        <v>72.227237431637448</v>
      </c>
      <c r="G84" s="12">
        <v>92.370730789669466</v>
      </c>
      <c r="H84" s="12">
        <v>90.821828768732914</v>
      </c>
      <c r="I84" s="12">
        <v>74.083680164337551</v>
      </c>
      <c r="J84" s="12">
        <v>83.174656674732347</v>
      </c>
      <c r="K84" s="12">
        <v>87.676826407333124</v>
      </c>
      <c r="L84" s="12">
        <v>73.346074351477256</v>
      </c>
      <c r="M84" s="12">
        <v>61.699402248640709</v>
      </c>
      <c r="N84" s="12">
        <v>69.979665465695135</v>
      </c>
      <c r="O84" s="12">
        <v>71.887676898512481</v>
      </c>
      <c r="P84" s="12">
        <v>56.526186593052429</v>
      </c>
      <c r="Q84" s="12">
        <v>82.076848903147024</v>
      </c>
      <c r="R84" s="12">
        <v>43.306678582564494</v>
      </c>
      <c r="S84" s="12">
        <v>80.548065896332531</v>
      </c>
      <c r="T84" s="12">
        <v>64.876616172234719</v>
      </c>
      <c r="U84" s="12">
        <v>58.549965054216194</v>
      </c>
    </row>
    <row r="85" spans="1:21" x14ac:dyDescent="0.2">
      <c r="A85" s="12" t="s">
        <v>183</v>
      </c>
      <c r="B85" s="12" t="s">
        <v>184</v>
      </c>
      <c r="C85" s="11">
        <v>65.895897293183907</v>
      </c>
      <c r="D85" s="3">
        <v>81</v>
      </c>
      <c r="E85" s="12">
        <v>99.50018220790146</v>
      </c>
      <c r="F85" s="12">
        <v>48.764491360148817</v>
      </c>
      <c r="G85" s="12">
        <v>81.635440438620961</v>
      </c>
      <c r="H85" s="12">
        <v>66.583251065075061</v>
      </c>
      <c r="I85" s="12">
        <v>71.370534264711722</v>
      </c>
      <c r="J85" s="12">
        <v>88.758412383839499</v>
      </c>
      <c r="K85" s="12">
        <v>78.668529021841152</v>
      </c>
      <c r="L85" s="12">
        <v>66.032659969672054</v>
      </c>
      <c r="M85" s="12">
        <v>24.511123567820107</v>
      </c>
      <c r="N85" s="12">
        <v>36.501007236918774</v>
      </c>
      <c r="O85" s="12">
        <v>87.340619729601144</v>
      </c>
      <c r="P85" s="12">
        <v>77.909871309098619</v>
      </c>
      <c r="Q85" s="12">
        <v>83.838820993863976</v>
      </c>
      <c r="R85" s="12">
        <v>23.692388231523523</v>
      </c>
      <c r="S85" s="12">
        <v>49.778141319348713</v>
      </c>
      <c r="T85" s="12">
        <v>60.26816457645392</v>
      </c>
      <c r="U85" s="12">
        <v>75.076616307686834</v>
      </c>
    </row>
    <row r="86" spans="1:21" x14ac:dyDescent="0.2">
      <c r="A86" s="12" t="s">
        <v>61</v>
      </c>
      <c r="B86" s="12" t="s">
        <v>62</v>
      </c>
      <c r="C86" s="11">
        <v>78.521350162872025</v>
      </c>
      <c r="D86" s="3">
        <v>15</v>
      </c>
      <c r="E86" s="12">
        <v>99.275215986347291</v>
      </c>
      <c r="F86" s="12">
        <v>75.618667830578417</v>
      </c>
      <c r="G86" s="12">
        <v>93.969826595473904</v>
      </c>
      <c r="H86" s="12">
        <v>95.279676145931887</v>
      </c>
      <c r="I86" s="12">
        <v>61.708277435961676</v>
      </c>
      <c r="J86" s="12">
        <v>90.728630862506009</v>
      </c>
      <c r="K86" s="12">
        <v>88.284522149772954</v>
      </c>
      <c r="L86" s="12">
        <v>85.803641212688973</v>
      </c>
      <c r="M86" s="12">
        <v>82.437500881971189</v>
      </c>
      <c r="N86" s="12">
        <v>76.898046212151101</v>
      </c>
      <c r="O86" s="12">
        <v>74.05087348034246</v>
      </c>
      <c r="P86" s="12">
        <v>55.693473873937428</v>
      </c>
      <c r="Q86" s="12">
        <v>85.200740898216551</v>
      </c>
      <c r="R86" s="12">
        <v>56.379275354347804</v>
      </c>
      <c r="S86" s="12">
        <v>66.643388178761313</v>
      </c>
      <c r="T86" s="12">
        <v>89.566918549770293</v>
      </c>
      <c r="U86" s="12">
        <v>57.324277120064956</v>
      </c>
    </row>
    <row r="87" spans="1:21" x14ac:dyDescent="0.2">
      <c r="A87" s="12" t="s">
        <v>173</v>
      </c>
      <c r="B87" s="12" t="s">
        <v>174</v>
      </c>
      <c r="C87" s="11">
        <v>64.358778522926499</v>
      </c>
      <c r="D87" s="3">
        <v>91</v>
      </c>
      <c r="E87" s="12">
        <v>99.966589900470694</v>
      </c>
      <c r="F87" s="12">
        <v>46.491124937518606</v>
      </c>
      <c r="G87" s="12">
        <v>77.744721373998104</v>
      </c>
      <c r="H87" s="12">
        <v>84.765719535855979</v>
      </c>
      <c r="I87" s="12">
        <v>48.733310316364722</v>
      </c>
      <c r="J87" s="12">
        <v>30.611083629890818</v>
      </c>
      <c r="K87" s="12">
        <v>86.673607067171545</v>
      </c>
      <c r="L87" s="12">
        <v>43.934006807199566</v>
      </c>
      <c r="M87" s="12">
        <v>42.685616658858521</v>
      </c>
      <c r="N87" s="12">
        <v>55.990126647800274</v>
      </c>
      <c r="O87" s="12">
        <v>72.027078902898765</v>
      </c>
      <c r="P87" s="12">
        <v>75.480089837548391</v>
      </c>
      <c r="Q87" s="12">
        <v>90.17361281095063</v>
      </c>
      <c r="R87" s="12">
        <v>31.880711578518063</v>
      </c>
      <c r="S87" s="12">
        <v>57.961532858603604</v>
      </c>
      <c r="T87" s="12">
        <v>75.099452943669974</v>
      </c>
      <c r="U87" s="12">
        <v>73.880849082432135</v>
      </c>
    </row>
    <row r="88" spans="1:21" x14ac:dyDescent="0.2">
      <c r="A88" s="12" t="s">
        <v>151</v>
      </c>
      <c r="B88" s="12" t="s">
        <v>152</v>
      </c>
      <c r="C88" s="11">
        <v>68.134465330367803</v>
      </c>
      <c r="D88" s="3">
        <v>65</v>
      </c>
      <c r="E88" s="12">
        <v>99.981298461112729</v>
      </c>
      <c r="F88" s="12">
        <v>52.181382743447358</v>
      </c>
      <c r="G88" s="12">
        <v>73.150052864782509</v>
      </c>
      <c r="H88" s="12">
        <v>85.292520062855047</v>
      </c>
      <c r="I88" s="12">
        <v>77.449966252273356</v>
      </c>
      <c r="J88" s="12">
        <v>89.637781769310934</v>
      </c>
      <c r="K88" s="12">
        <v>74.791533629721826</v>
      </c>
      <c r="L88" s="12">
        <v>72.224570386520114</v>
      </c>
      <c r="M88" s="12">
        <v>40.193108491460166</v>
      </c>
      <c r="N88" s="12">
        <v>62.204263720200757</v>
      </c>
      <c r="O88" s="12">
        <v>83.962844154088927</v>
      </c>
      <c r="P88" s="12">
        <v>54.992056548180308</v>
      </c>
      <c r="Q88" s="12">
        <v>72.978132635330141</v>
      </c>
      <c r="R88" s="12">
        <v>48.422883381021848</v>
      </c>
      <c r="S88" s="12">
        <v>56.789056107029523</v>
      </c>
      <c r="T88" s="12">
        <v>66.520787956429928</v>
      </c>
      <c r="U88" s="12">
        <v>47.513671452487209</v>
      </c>
    </row>
    <row r="89" spans="1:21" x14ac:dyDescent="0.2">
      <c r="A89" s="12" t="s">
        <v>265</v>
      </c>
      <c r="B89" s="12" t="s">
        <v>266</v>
      </c>
      <c r="C89" s="11">
        <v>56.825980078280075</v>
      </c>
      <c r="D89" s="3">
        <v>119</v>
      </c>
      <c r="E89" s="12">
        <v>69.899839634347728</v>
      </c>
      <c r="F89" s="12">
        <v>49.443825329908066</v>
      </c>
      <c r="G89" s="12">
        <v>48.881648985471706</v>
      </c>
      <c r="H89" s="12">
        <v>57.472938232249589</v>
      </c>
      <c r="I89" s="12">
        <v>69.260291282121898</v>
      </c>
      <c r="J89" s="12">
        <v>54.774489121757732</v>
      </c>
      <c r="K89" s="12">
        <v>29.804914421231175</v>
      </c>
      <c r="L89" s="12">
        <v>68.905125461838395</v>
      </c>
      <c r="M89" s="12">
        <v>29.165768701838328</v>
      </c>
      <c r="N89" s="12">
        <v>36.395737680593975</v>
      </c>
      <c r="O89" s="12">
        <v>68.860492169094258</v>
      </c>
      <c r="P89" s="12">
        <v>79.866074753812356</v>
      </c>
      <c r="Q89" s="12">
        <v>79.23831401404459</v>
      </c>
      <c r="R89" s="12">
        <v>49.615764393668876</v>
      </c>
      <c r="S89" s="12">
        <v>53.563471380975237</v>
      </c>
      <c r="T89" s="12">
        <v>58.395924445752016</v>
      </c>
      <c r="U89" s="12">
        <v>62.497041322055459</v>
      </c>
    </row>
    <row r="90" spans="1:21" x14ac:dyDescent="0.2">
      <c r="A90" s="12" t="s">
        <v>369</v>
      </c>
      <c r="B90" s="12" t="s">
        <v>370</v>
      </c>
    </row>
    <row r="91" spans="1:21" x14ac:dyDescent="0.2">
      <c r="A91" s="12" t="s">
        <v>387</v>
      </c>
      <c r="B91" s="12" t="s">
        <v>388</v>
      </c>
    </row>
    <row r="92" spans="1:21" x14ac:dyDescent="0.2">
      <c r="A92" s="12" t="s">
        <v>81</v>
      </c>
      <c r="B92" s="12" t="s">
        <v>82</v>
      </c>
      <c r="C92" s="11">
        <v>77.405206837757149</v>
      </c>
      <c r="D92" s="3">
        <v>19</v>
      </c>
      <c r="E92" s="12">
        <v>99.308866759777857</v>
      </c>
      <c r="F92" s="12">
        <v>83.230132851846051</v>
      </c>
      <c r="G92" s="12">
        <v>91.314679017045066</v>
      </c>
      <c r="H92" s="12">
        <v>91.739488087126489</v>
      </c>
      <c r="I92" s="12">
        <v>67.363369093929776</v>
      </c>
      <c r="J92" s="12">
        <v>79.861522662122326</v>
      </c>
      <c r="K92" s="12">
        <v>88.629251827917685</v>
      </c>
      <c r="L92" s="12">
        <v>83.448090833216668</v>
      </c>
      <c r="M92" s="12">
        <v>83.417103631841982</v>
      </c>
      <c r="N92" s="12">
        <v>86.596886933576513</v>
      </c>
      <c r="O92" s="12">
        <v>79.974761061652117</v>
      </c>
      <c r="P92" s="12">
        <v>65.166643868800364</v>
      </c>
      <c r="Q92" s="12">
        <v>85.353107338116203</v>
      </c>
      <c r="R92" s="12">
        <v>56.018099518921701</v>
      </c>
      <c r="S92" s="12">
        <v>52.863224055867917</v>
      </c>
      <c r="T92" s="12">
        <v>71.793713994858678</v>
      </c>
      <c r="U92" s="12">
        <v>49.809574705253965</v>
      </c>
    </row>
    <row r="93" spans="1:21" x14ac:dyDescent="0.2">
      <c r="A93" s="12" t="s">
        <v>235</v>
      </c>
      <c r="B93" s="12" t="s">
        <v>236</v>
      </c>
      <c r="C93" s="11">
        <v>61.136972155393259</v>
      </c>
      <c r="D93" s="3">
        <v>105</v>
      </c>
      <c r="E93" s="12">
        <v>99.972742380977166</v>
      </c>
      <c r="F93" s="12">
        <v>65.194885282474743</v>
      </c>
      <c r="G93" s="12">
        <v>84.822120614817763</v>
      </c>
      <c r="H93" s="12">
        <v>74.678045835381539</v>
      </c>
      <c r="I93" s="12">
        <v>55.762800954278553</v>
      </c>
      <c r="J93" s="12">
        <v>50</v>
      </c>
      <c r="K93" s="12">
        <v>86.602064959755921</v>
      </c>
      <c r="L93" s="12">
        <v>77.643294286718884</v>
      </c>
      <c r="M93" s="12">
        <v>45.675141904731205</v>
      </c>
      <c r="N93" s="12">
        <v>62.484379277144349</v>
      </c>
      <c r="O93" s="12">
        <v>44.590525014000875</v>
      </c>
      <c r="P93" s="12">
        <v>28.862660944206009</v>
      </c>
      <c r="Q93" s="12">
        <v>43.78378378378379</v>
      </c>
      <c r="R93" s="12">
        <v>37.396211269614625</v>
      </c>
      <c r="S93" s="12">
        <v>55.049635180600959</v>
      </c>
      <c r="T93" s="12">
        <v>73.937203619471305</v>
      </c>
      <c r="U93" s="12">
        <v>52.87303133372771</v>
      </c>
    </row>
    <row r="94" spans="1:21" x14ac:dyDescent="0.2">
      <c r="A94" s="12" t="s">
        <v>109</v>
      </c>
      <c r="B94" s="12" t="s">
        <v>110</v>
      </c>
      <c r="C94" s="11">
        <v>70.333800671645747</v>
      </c>
      <c r="D94" s="3">
        <v>51</v>
      </c>
      <c r="E94" s="12">
        <v>98.616350876103638</v>
      </c>
      <c r="F94" s="12">
        <v>61.690560234052839</v>
      </c>
      <c r="G94" s="12">
        <v>71.465748426112256</v>
      </c>
      <c r="H94" s="12">
        <v>84.699775538746948</v>
      </c>
      <c r="I94" s="12">
        <v>64.59651582047087</v>
      </c>
      <c r="J94" s="12">
        <v>85.520691490650577</v>
      </c>
      <c r="K94" s="12">
        <v>84.170790972359427</v>
      </c>
      <c r="L94" s="12">
        <v>61.583278682888931</v>
      </c>
      <c r="M94" s="12">
        <v>16.284182673394334</v>
      </c>
      <c r="N94" s="12">
        <v>79.428286288381216</v>
      </c>
      <c r="O94" s="12">
        <v>88.606276306727565</v>
      </c>
      <c r="P94" s="12">
        <v>74.249769116818939</v>
      </c>
      <c r="Q94" s="12">
        <v>87.295652374390798</v>
      </c>
      <c r="R94" s="12">
        <v>48.422883381021848</v>
      </c>
      <c r="S94" s="12">
        <v>67.728930750550248</v>
      </c>
      <c r="T94" s="12">
        <v>54.627835779970759</v>
      </c>
      <c r="U94" s="12">
        <v>66.687082705336678</v>
      </c>
    </row>
    <row r="95" spans="1:21" x14ac:dyDescent="0.2">
      <c r="A95" s="12" t="s">
        <v>249</v>
      </c>
      <c r="B95" s="12" t="s">
        <v>250</v>
      </c>
      <c r="C95" s="11">
        <v>60.63057636657237</v>
      </c>
      <c r="D95" s="3">
        <v>108</v>
      </c>
      <c r="E95" s="12">
        <v>90.17669433111206</v>
      </c>
      <c r="F95" s="12">
        <v>55.025276154965113</v>
      </c>
      <c r="G95" s="12">
        <v>50.239091890044783</v>
      </c>
      <c r="H95" s="12">
        <v>54.602489936472729</v>
      </c>
      <c r="I95" s="12">
        <v>72.136982910697583</v>
      </c>
      <c r="J95" s="12">
        <v>84.163136532121626</v>
      </c>
      <c r="K95" s="12">
        <v>39.253917482144715</v>
      </c>
      <c r="L95" s="12">
        <v>70.79209090250572</v>
      </c>
      <c r="M95" s="12">
        <v>14.224701723211203</v>
      </c>
      <c r="N95" s="12">
        <v>60.717981876033996</v>
      </c>
      <c r="O95" s="12">
        <v>70.551961210028537</v>
      </c>
      <c r="P95" s="12">
        <v>78.793657047992752</v>
      </c>
      <c r="Q95" s="12">
        <v>86.510938569843631</v>
      </c>
      <c r="R95" s="12">
        <v>45.165834529827535</v>
      </c>
      <c r="S95" s="12">
        <v>48.086868070166879</v>
      </c>
      <c r="T95" s="12">
        <v>63.586576457718515</v>
      </c>
      <c r="U95" s="12">
        <v>46.691598606843037</v>
      </c>
    </row>
    <row r="96" spans="1:21" x14ac:dyDescent="0.2">
      <c r="A96" s="12" t="s">
        <v>47</v>
      </c>
      <c r="B96" s="12" t="s">
        <v>48</v>
      </c>
      <c r="C96" s="11">
        <v>74.746995957491265</v>
      </c>
      <c r="D96" s="3">
        <v>27</v>
      </c>
      <c r="E96" s="12">
        <v>99.058727209271723</v>
      </c>
      <c r="F96" s="12">
        <v>66.075419170782624</v>
      </c>
      <c r="G96" s="12">
        <v>84.247879780262977</v>
      </c>
      <c r="H96" s="12">
        <v>91.482756590333494</v>
      </c>
      <c r="I96" s="12">
        <v>72.480496537196487</v>
      </c>
      <c r="J96" s="12">
        <v>84.683486412687458</v>
      </c>
      <c r="K96" s="12">
        <v>86.28606895812851</v>
      </c>
      <c r="L96" s="12">
        <v>79.574842890148432</v>
      </c>
      <c r="M96" s="12">
        <v>47.802632835884658</v>
      </c>
      <c r="N96" s="12">
        <v>76.579760118436695</v>
      </c>
      <c r="O96" s="12">
        <v>83.226524447774466</v>
      </c>
      <c r="P96" s="12">
        <v>68.661674783485182</v>
      </c>
      <c r="Q96" s="12">
        <v>84.239619182782093</v>
      </c>
      <c r="R96" s="12">
        <v>55.601117174202791</v>
      </c>
      <c r="S96" s="12">
        <v>75.556085758422967</v>
      </c>
      <c r="T96" s="12">
        <v>67.508227426905734</v>
      </c>
      <c r="U96" s="12">
        <v>47.633612000645051</v>
      </c>
    </row>
    <row r="97" spans="1:21" x14ac:dyDescent="0.2">
      <c r="A97" s="12" t="s">
        <v>209</v>
      </c>
      <c r="B97" s="12" t="s">
        <v>210</v>
      </c>
      <c r="C97" s="11">
        <v>64.788163822215139</v>
      </c>
      <c r="D97" s="3">
        <v>87</v>
      </c>
      <c r="E97" s="12">
        <v>99.956320559801156</v>
      </c>
      <c r="F97" s="12">
        <v>45.713840722368467</v>
      </c>
      <c r="G97" s="12">
        <v>80.102393081275494</v>
      </c>
      <c r="H97" s="12">
        <v>72.505376229592812</v>
      </c>
      <c r="I97" s="12">
        <v>47.579517931100874</v>
      </c>
      <c r="J97" s="12">
        <v>67.9232924988614</v>
      </c>
      <c r="K97" s="12">
        <v>86.866805330511923</v>
      </c>
      <c r="L97" s="12">
        <v>52.184159061272531</v>
      </c>
      <c r="M97" s="12">
        <v>37.223340780312888</v>
      </c>
      <c r="N97" s="12">
        <v>69.635269834636176</v>
      </c>
      <c r="O97" s="12">
        <v>65.359940048037473</v>
      </c>
      <c r="P97" s="12">
        <v>77.187995686776048</v>
      </c>
      <c r="Q97" s="12">
        <v>83.099909119981788</v>
      </c>
      <c r="R97" s="12">
        <v>43.698018398501503</v>
      </c>
      <c r="S97" s="12">
        <v>53.440398797505381</v>
      </c>
      <c r="T97" s="12">
        <v>62.478164668305226</v>
      </c>
      <c r="U97" s="12">
        <v>56.444042228815981</v>
      </c>
    </row>
    <row r="98" spans="1:21" x14ac:dyDescent="0.2">
      <c r="A98" s="12" t="s">
        <v>305</v>
      </c>
      <c r="B98" s="12" t="s">
        <v>306</v>
      </c>
      <c r="C98" s="11">
        <v>51.514691536903456</v>
      </c>
      <c r="D98" s="3">
        <v>135</v>
      </c>
      <c r="E98" s="12">
        <v>28.131456257729916</v>
      </c>
      <c r="F98" s="12">
        <v>47.922473389408353</v>
      </c>
      <c r="G98" s="12">
        <v>34.652432173277298</v>
      </c>
      <c r="H98" s="12">
        <v>55.58031034492722</v>
      </c>
      <c r="I98" s="12">
        <v>73.293497249352754</v>
      </c>
      <c r="J98" s="12">
        <v>72.60259904280359</v>
      </c>
      <c r="K98" s="12">
        <v>25.465818617100673</v>
      </c>
      <c r="L98" s="12">
        <v>36.206415228849998</v>
      </c>
      <c r="M98" s="12">
        <v>12.409706787883525</v>
      </c>
      <c r="N98" s="12">
        <v>0.44133432181740656</v>
      </c>
      <c r="O98" s="12">
        <v>69.149885051245079</v>
      </c>
      <c r="P98" s="12">
        <v>79.1549533056549</v>
      </c>
      <c r="Q98" s="12">
        <v>79.983479776635249</v>
      </c>
      <c r="R98" s="12">
        <v>48.160238987946016</v>
      </c>
      <c r="S98" s="12">
        <v>70.705722695698427</v>
      </c>
      <c r="T98" s="12">
        <v>42.939933600352326</v>
      </c>
      <c r="U98" s="12">
        <v>98.94949929667591</v>
      </c>
    </row>
    <row r="99" spans="1:21" x14ac:dyDescent="0.2">
      <c r="A99" s="12" t="s">
        <v>333</v>
      </c>
      <c r="B99" s="12" t="s">
        <v>334</v>
      </c>
      <c r="C99" s="11">
        <v>48.297828819680923</v>
      </c>
      <c r="D99" s="3">
        <v>149</v>
      </c>
      <c r="E99" s="12">
        <v>63.924847492867499</v>
      </c>
      <c r="F99" s="12">
        <v>37.661887042959947</v>
      </c>
      <c r="G99" s="12">
        <v>42.15507161461521</v>
      </c>
      <c r="H99" s="12">
        <v>8.6422558783268837</v>
      </c>
      <c r="I99" s="12">
        <v>39.877873965485591</v>
      </c>
      <c r="J99" s="12">
        <v>60.030158671339116</v>
      </c>
      <c r="K99" s="12">
        <v>7.3593488545209299E-4</v>
      </c>
      <c r="L99" s="12">
        <v>52.659941496335804</v>
      </c>
      <c r="M99" s="12">
        <v>4.8308184437875852</v>
      </c>
      <c r="N99" s="12">
        <v>83.995666539033095</v>
      </c>
      <c r="O99" s="12">
        <v>35.871035957931937</v>
      </c>
      <c r="P99" s="12">
        <v>82.868038214538259</v>
      </c>
      <c r="Q99" s="12">
        <v>80.721131212370238</v>
      </c>
      <c r="R99" s="12">
        <v>53.950256627256771</v>
      </c>
      <c r="S99" s="12">
        <v>52.519632683093505</v>
      </c>
      <c r="T99" s="12">
        <v>49.543298660393688</v>
      </c>
      <c r="U99" s="12">
        <v>71.810439499355155</v>
      </c>
    </row>
    <row r="100" spans="1:21" x14ac:dyDescent="0.2">
      <c r="A100" s="12" t="s">
        <v>373</v>
      </c>
      <c r="B100" s="12" t="s">
        <v>374</v>
      </c>
    </row>
    <row r="101" spans="1:21" x14ac:dyDescent="0.2">
      <c r="A101" s="12" t="s">
        <v>377</v>
      </c>
      <c r="B101" s="12" t="s">
        <v>378</v>
      </c>
    </row>
    <row r="102" spans="1:21" x14ac:dyDescent="0.2">
      <c r="A102" s="12" t="s">
        <v>93</v>
      </c>
      <c r="B102" s="12" t="s">
        <v>94</v>
      </c>
      <c r="C102" s="11">
        <v>72.895703494569062</v>
      </c>
      <c r="D102" s="3">
        <v>36</v>
      </c>
      <c r="E102" s="12">
        <v>98.600543177461532</v>
      </c>
      <c r="F102" s="12">
        <v>66.96584845865209</v>
      </c>
      <c r="G102" s="12">
        <v>85.268622398441821</v>
      </c>
      <c r="H102" s="12">
        <v>96.949399072310101</v>
      </c>
      <c r="I102" s="12">
        <v>75.342027634104014</v>
      </c>
      <c r="J102" s="12">
        <v>82.686967111560534</v>
      </c>
      <c r="K102" s="12">
        <v>70.666673723664402</v>
      </c>
      <c r="L102" s="12">
        <v>79.246648482355653</v>
      </c>
      <c r="M102" s="12">
        <v>52.936335167035978</v>
      </c>
      <c r="N102" s="12">
        <v>49.684123306820858</v>
      </c>
      <c r="O102" s="12">
        <v>80.181465464180604</v>
      </c>
      <c r="P102" s="12">
        <v>66.964682329539073</v>
      </c>
      <c r="Q102" s="12">
        <v>82.241972807388265</v>
      </c>
      <c r="R102" s="12">
        <v>55.826667384247358</v>
      </c>
      <c r="S102" s="12">
        <v>78.742396841797259</v>
      </c>
      <c r="T102" s="12">
        <v>68.52814661401996</v>
      </c>
      <c r="U102" s="12">
        <v>48.394439434094544</v>
      </c>
    </row>
    <row r="103" spans="1:21" x14ac:dyDescent="0.2">
      <c r="A103" s="12" t="s">
        <v>85</v>
      </c>
      <c r="B103" s="12" t="s">
        <v>86</v>
      </c>
      <c r="C103" s="11">
        <v>76.091355714385514</v>
      </c>
      <c r="D103" s="3">
        <v>22</v>
      </c>
      <c r="E103" s="12">
        <v>99.882092628708293</v>
      </c>
      <c r="F103" s="12">
        <v>68.996334095929214</v>
      </c>
      <c r="G103" s="12">
        <v>95.336280824831917</v>
      </c>
      <c r="H103" s="12">
        <v>88.426734290663106</v>
      </c>
      <c r="I103" s="12">
        <v>74.413815937008224</v>
      </c>
      <c r="J103" s="12">
        <v>86.428952268562639</v>
      </c>
      <c r="K103" s="12">
        <v>66.666666666666671</v>
      </c>
      <c r="L103" s="12">
        <v>88.361487756202877</v>
      </c>
      <c r="M103" s="12">
        <v>74.976796199033288</v>
      </c>
      <c r="N103" s="12">
        <v>88.388888029488442</v>
      </c>
      <c r="O103" s="12">
        <v>95.425904497712125</v>
      </c>
      <c r="P103" s="12">
        <v>34.407148118323256</v>
      </c>
      <c r="Q103" s="12">
        <v>80.658516749535309</v>
      </c>
      <c r="R103" s="12">
        <v>52.397336317923852</v>
      </c>
      <c r="S103" s="12">
        <v>54.829216025280857</v>
      </c>
      <c r="T103" s="12">
        <v>93.085458127441868</v>
      </c>
      <c r="U103" s="12">
        <v>50.871418611241886</v>
      </c>
    </row>
    <row r="104" spans="1:21" x14ac:dyDescent="0.2">
      <c r="A104" s="12" t="s">
        <v>331</v>
      </c>
      <c r="B104" s="12" t="s">
        <v>332</v>
      </c>
      <c r="C104" s="11">
        <v>45.585734259209644</v>
      </c>
      <c r="D104" s="3">
        <v>153</v>
      </c>
      <c r="E104" s="12">
        <v>3.1696224180890034</v>
      </c>
      <c r="F104" s="12">
        <v>29.087582685350785</v>
      </c>
      <c r="G104" s="12">
        <v>42.425042610551301</v>
      </c>
      <c r="H104" s="12">
        <v>46.097291754654819</v>
      </c>
      <c r="I104" s="12">
        <v>73.90800633384454</v>
      </c>
      <c r="J104" s="12">
        <v>48.424453976768319</v>
      </c>
      <c r="K104" s="12">
        <v>4.225401858554819</v>
      </c>
      <c r="L104" s="12">
        <v>49.452460574719467</v>
      </c>
      <c r="M104" s="12">
        <v>5.8197625774329413</v>
      </c>
      <c r="N104" s="12">
        <v>31.76931913868054</v>
      </c>
      <c r="O104" s="12">
        <v>66.669850910775025</v>
      </c>
      <c r="P104" s="12">
        <v>75.996271741570482</v>
      </c>
      <c r="Q104" s="12">
        <v>90.72295080571601</v>
      </c>
      <c r="R104" s="12">
        <v>51.905954974118373</v>
      </c>
      <c r="S104" s="12">
        <v>50.216746785108704</v>
      </c>
      <c r="T104" s="12">
        <v>51.496129158497943</v>
      </c>
      <c r="U104" s="12">
        <v>53.57063410213086</v>
      </c>
    </row>
    <row r="105" spans="1:21" x14ac:dyDescent="0.2">
      <c r="A105" s="12" t="s">
        <v>289</v>
      </c>
      <c r="B105" s="12" t="s">
        <v>290</v>
      </c>
      <c r="C105" s="11">
        <v>49.965240382208762</v>
      </c>
      <c r="D105" s="3">
        <v>140</v>
      </c>
      <c r="E105" s="12">
        <v>18.274104415758561</v>
      </c>
      <c r="F105" s="12">
        <v>43.036211367203443</v>
      </c>
      <c r="G105" s="12">
        <v>42.841715747017467</v>
      </c>
      <c r="H105" s="12">
        <v>53.800976981891438</v>
      </c>
      <c r="I105" s="12">
        <v>62.247096039239651</v>
      </c>
      <c r="J105" s="12">
        <v>70.632950717088335</v>
      </c>
      <c r="K105" s="12">
        <v>2.1226324267553531</v>
      </c>
      <c r="L105" s="12">
        <v>49.344340715632178</v>
      </c>
      <c r="M105" s="12">
        <v>6.4059979978667778</v>
      </c>
      <c r="N105" s="12">
        <v>43.720088560460191</v>
      </c>
      <c r="O105" s="12">
        <v>64.751438266858443</v>
      </c>
      <c r="P105" s="12">
        <v>83.912064107705206</v>
      </c>
      <c r="Q105" s="12">
        <v>74.081271489990343</v>
      </c>
      <c r="R105" s="12">
        <v>48.160238987946016</v>
      </c>
      <c r="S105" s="12">
        <v>63.048326645871782</v>
      </c>
      <c r="T105" s="12">
        <v>49.804293157821945</v>
      </c>
      <c r="U105" s="12">
        <v>73.225338872441725</v>
      </c>
    </row>
    <row r="106" spans="1:21" x14ac:dyDescent="0.2">
      <c r="A106" s="12" t="s">
        <v>175</v>
      </c>
      <c r="B106" s="12" t="s">
        <v>176</v>
      </c>
      <c r="C106" s="11">
        <v>70.006869995070289</v>
      </c>
      <c r="D106" s="3">
        <v>55</v>
      </c>
      <c r="E106" s="12">
        <v>98.485490526196003</v>
      </c>
      <c r="F106" s="12">
        <v>55.316691672450055</v>
      </c>
      <c r="G106" s="12">
        <v>82.583295342390628</v>
      </c>
      <c r="H106" s="12">
        <v>88.64187295585981</v>
      </c>
      <c r="I106" s="12">
        <v>58.296015504735131</v>
      </c>
      <c r="J106" s="12">
        <v>84.198030281763067</v>
      </c>
      <c r="K106" s="12">
        <v>84.429607315532962</v>
      </c>
      <c r="L106" s="12">
        <v>82.657486918710987</v>
      </c>
      <c r="M106" s="12">
        <v>59.48909240004177</v>
      </c>
      <c r="N106" s="12">
        <v>42.617819308262369</v>
      </c>
      <c r="O106" s="12">
        <v>87.187861648089608</v>
      </c>
      <c r="P106" s="12">
        <v>69.714374943053059</v>
      </c>
      <c r="Q106" s="12">
        <v>84.564862246458773</v>
      </c>
      <c r="R106" s="12">
        <v>45.078139806378978</v>
      </c>
      <c r="S106" s="12">
        <v>41.379717094741991</v>
      </c>
      <c r="T106" s="12">
        <v>68.897911871620835</v>
      </c>
      <c r="U106" s="12">
        <v>56.578520079908991</v>
      </c>
    </row>
    <row r="107" spans="1:21" x14ac:dyDescent="0.2">
      <c r="A107" s="12" t="s">
        <v>155</v>
      </c>
      <c r="B107" s="12" t="s">
        <v>156</v>
      </c>
    </row>
    <row r="108" spans="1:21" x14ac:dyDescent="0.2">
      <c r="A108" s="12" t="s">
        <v>281</v>
      </c>
      <c r="B108" s="12" t="s">
        <v>282</v>
      </c>
      <c r="C108" s="11">
        <v>49.722325562000563</v>
      </c>
      <c r="D108" s="3">
        <v>142</v>
      </c>
      <c r="E108" s="12">
        <v>67.868742604936401</v>
      </c>
      <c r="F108" s="12">
        <v>40.030007218982284</v>
      </c>
      <c r="G108" s="12">
        <v>36.899591549241045</v>
      </c>
      <c r="H108" s="12">
        <v>4.7680294719245566</v>
      </c>
      <c r="I108" s="12">
        <v>33.100845501348502</v>
      </c>
      <c r="J108" s="12">
        <v>70.030871114518007</v>
      </c>
      <c r="K108" s="12">
        <v>9.9893422004882026</v>
      </c>
      <c r="L108" s="12">
        <v>49.561954733265914</v>
      </c>
      <c r="M108" s="12">
        <v>12.395610456155525</v>
      </c>
      <c r="N108" s="12">
        <v>74.081323457428127</v>
      </c>
      <c r="O108" s="12">
        <v>56.660448036639444</v>
      </c>
      <c r="P108" s="12">
        <v>76.207276196504125</v>
      </c>
      <c r="Q108" s="12">
        <v>88.487353121172902</v>
      </c>
      <c r="R108" s="12">
        <v>48.160238987946016</v>
      </c>
      <c r="S108" s="12">
        <v>62.145268813142749</v>
      </c>
      <c r="T108" s="12">
        <v>53.814763851409012</v>
      </c>
      <c r="U108" s="12">
        <v>61.077867238906947</v>
      </c>
    </row>
    <row r="109" spans="1:21" x14ac:dyDescent="0.2">
      <c r="A109" s="12" t="s">
        <v>101</v>
      </c>
      <c r="B109" s="12" t="s">
        <v>102</v>
      </c>
      <c r="C109" s="11">
        <v>74.198442641539032</v>
      </c>
      <c r="D109" s="3">
        <v>30</v>
      </c>
      <c r="E109" s="12">
        <v>99.923492696550426</v>
      </c>
      <c r="F109" s="12">
        <v>63.32088073341825</v>
      </c>
      <c r="G109" s="12">
        <v>92.01305366201025</v>
      </c>
      <c r="H109" s="12">
        <v>91.620115037932464</v>
      </c>
      <c r="I109" s="12">
        <v>64.633682962698941</v>
      </c>
      <c r="J109" s="12">
        <v>81.011373204835337</v>
      </c>
      <c r="K109" s="12">
        <v>86.572031878178393</v>
      </c>
      <c r="L109" s="12">
        <v>89.043111563909022</v>
      </c>
      <c r="M109" s="12">
        <v>43.156620379197662</v>
      </c>
      <c r="N109" s="12">
        <v>65.436978001358511</v>
      </c>
      <c r="O109" s="12">
        <v>81.734365992264671</v>
      </c>
      <c r="P109" s="12">
        <v>56.337545500677031</v>
      </c>
      <c r="Q109" s="12">
        <v>92.270651734976056</v>
      </c>
      <c r="R109" s="12">
        <v>51.378466245558229</v>
      </c>
      <c r="S109" s="12">
        <v>60.71185247321295</v>
      </c>
      <c r="T109" s="12">
        <v>76.765532822226533</v>
      </c>
      <c r="U109" s="12">
        <v>65.44377001715911</v>
      </c>
    </row>
    <row r="110" spans="1:21" x14ac:dyDescent="0.2">
      <c r="A110" s="12" t="s">
        <v>381</v>
      </c>
      <c r="B110" s="12" t="s">
        <v>382</v>
      </c>
    </row>
    <row r="111" spans="1:21" x14ac:dyDescent="0.2">
      <c r="A111" s="12" t="s">
        <v>285</v>
      </c>
      <c r="B111" s="12" t="s">
        <v>286</v>
      </c>
      <c r="C111" s="11">
        <v>51.570050044430964</v>
      </c>
      <c r="D111" s="3">
        <v>134</v>
      </c>
      <c r="E111" s="12">
        <v>94.639902716580309</v>
      </c>
      <c r="F111" s="12">
        <v>49.835001396356972</v>
      </c>
      <c r="G111" s="12">
        <v>48.510926642734674</v>
      </c>
      <c r="H111" s="12">
        <v>24.953300990731027</v>
      </c>
      <c r="I111" s="12">
        <v>34.43253511427779</v>
      </c>
      <c r="J111" s="12">
        <v>67.895207887759511</v>
      </c>
      <c r="K111" s="12">
        <v>38.127204553111994</v>
      </c>
      <c r="L111" s="12">
        <v>32.190511626560351</v>
      </c>
      <c r="M111" s="12">
        <v>7.4439355683096666</v>
      </c>
      <c r="N111" s="12">
        <v>86.292415632056304</v>
      </c>
      <c r="O111" s="12">
        <v>26.417476378230475</v>
      </c>
      <c r="P111" s="12">
        <v>80.71186506455625</v>
      </c>
      <c r="Q111" s="12">
        <v>81.336073099443922</v>
      </c>
      <c r="R111" s="12">
        <v>57.231713562924455</v>
      </c>
      <c r="S111" s="12">
        <v>49.353748405706213</v>
      </c>
      <c r="T111" s="12">
        <v>42.67415292026925</v>
      </c>
      <c r="U111" s="12">
        <v>54.644879195717344</v>
      </c>
    </row>
    <row r="112" spans="1:21" x14ac:dyDescent="0.2">
      <c r="A112" s="12" t="s">
        <v>205</v>
      </c>
      <c r="B112" s="12" t="s">
        <v>206</v>
      </c>
      <c r="C112" s="11">
        <v>64.501024895484136</v>
      </c>
      <c r="D112" s="3">
        <v>90</v>
      </c>
      <c r="E112" s="12">
        <v>99.798797981047329</v>
      </c>
      <c r="F112" s="12">
        <v>49.536479688735852</v>
      </c>
      <c r="G112" s="12">
        <v>81.77611748631459</v>
      </c>
      <c r="H112" s="12">
        <v>82.54708626516377</v>
      </c>
      <c r="I112" s="12">
        <v>61.028006450906233</v>
      </c>
      <c r="J112" s="12">
        <v>69.176477885634526</v>
      </c>
      <c r="K112" s="12">
        <v>85.535599066449279</v>
      </c>
      <c r="L112" s="12">
        <v>84.787354696061783</v>
      </c>
      <c r="M112" s="12">
        <v>28.527087287602214</v>
      </c>
      <c r="N112" s="12">
        <v>39.27252328867435</v>
      </c>
      <c r="O112" s="12">
        <v>90.118614922497613</v>
      </c>
      <c r="P112" s="12">
        <v>53.36894697281798</v>
      </c>
      <c r="Q112" s="12">
        <v>61.947113247206538</v>
      </c>
      <c r="R112" s="12">
        <v>52.699236360042676</v>
      </c>
      <c r="S112" s="12">
        <v>25.662021148421591</v>
      </c>
      <c r="T112" s="12">
        <v>68.33407466058722</v>
      </c>
      <c r="U112" s="12">
        <v>62.40188581506677</v>
      </c>
    </row>
    <row r="113" spans="1:21" x14ac:dyDescent="0.2">
      <c r="A113" s="12" t="s">
        <v>179</v>
      </c>
      <c r="B113" s="12" t="s">
        <v>180</v>
      </c>
      <c r="C113" s="11">
        <v>65.210603791919681</v>
      </c>
      <c r="D113" s="3">
        <v>84</v>
      </c>
      <c r="E113" s="12">
        <v>97.114458778066023</v>
      </c>
      <c r="F113" s="12">
        <v>56.195986484012991</v>
      </c>
      <c r="G113" s="12">
        <v>82.479106326576087</v>
      </c>
      <c r="H113" s="12">
        <v>81.898013163643895</v>
      </c>
      <c r="I113" s="12">
        <v>76.484306444729</v>
      </c>
      <c r="J113" s="12">
        <v>59.724139506691863</v>
      </c>
      <c r="K113" s="12">
        <v>79.956434733741517</v>
      </c>
      <c r="L113" s="12">
        <v>64.730259075704566</v>
      </c>
      <c r="M113" s="12">
        <v>36.736325366933919</v>
      </c>
      <c r="N113" s="12">
        <v>14.666404849060925</v>
      </c>
      <c r="O113" s="12">
        <v>81.218140782181834</v>
      </c>
      <c r="P113" s="12">
        <v>74.158911270365294</v>
      </c>
      <c r="Q113" s="12">
        <v>88.129881446142207</v>
      </c>
      <c r="R113" s="12">
        <v>58.424162432495933</v>
      </c>
      <c r="S113" s="12">
        <v>42.410119645330141</v>
      </c>
      <c r="T113" s="12">
        <v>52.671232085533489</v>
      </c>
      <c r="U113" s="12">
        <v>61.582382071424831</v>
      </c>
    </row>
    <row r="114" spans="1:21" x14ac:dyDescent="0.2">
      <c r="A114" s="12" t="s">
        <v>361</v>
      </c>
      <c r="B114" s="12" t="s">
        <v>362</v>
      </c>
    </row>
    <row r="115" spans="1:21" x14ac:dyDescent="0.2">
      <c r="A115" s="12" t="s">
        <v>69</v>
      </c>
      <c r="B115" s="12" t="s">
        <v>70</v>
      </c>
      <c r="C115" s="11">
        <v>74.511187009234177</v>
      </c>
      <c r="D115" s="3">
        <v>28</v>
      </c>
      <c r="E115" s="12">
        <v>99.951996348535729</v>
      </c>
      <c r="F115" s="12">
        <v>62.589696888714919</v>
      </c>
      <c r="G115" s="12">
        <v>76.888917370602641</v>
      </c>
      <c r="H115" s="12">
        <v>86.074704613896486</v>
      </c>
      <c r="I115" s="12">
        <v>77.136082135403214</v>
      </c>
      <c r="J115" s="12">
        <v>90.341803571390031</v>
      </c>
      <c r="K115" s="12">
        <v>84.562098216314979</v>
      </c>
      <c r="L115" s="12">
        <v>67.357843905851496</v>
      </c>
      <c r="M115" s="12">
        <v>26.533294378160651</v>
      </c>
      <c r="N115" s="12">
        <v>92.749844211974107</v>
      </c>
      <c r="O115" s="12">
        <v>78.01375395358157</v>
      </c>
      <c r="P115" s="12">
        <v>81.806034313420952</v>
      </c>
      <c r="Q115" s="12">
        <v>95.778618874184602</v>
      </c>
      <c r="R115" s="12">
        <v>48.422883381021848</v>
      </c>
      <c r="S115" s="12">
        <v>62.858749954317581</v>
      </c>
      <c r="T115" s="12">
        <v>54.498722892189853</v>
      </c>
      <c r="U115" s="12">
        <v>81.125134147420383</v>
      </c>
    </row>
    <row r="116" spans="1:21" x14ac:dyDescent="0.2">
      <c r="A116" s="12" t="s">
        <v>379</v>
      </c>
      <c r="B116" s="12" t="s">
        <v>380</v>
      </c>
    </row>
    <row r="117" spans="1:21" x14ac:dyDescent="0.2">
      <c r="A117" s="12" t="s">
        <v>231</v>
      </c>
      <c r="B117" s="12" t="s">
        <v>232</v>
      </c>
      <c r="C117" s="11">
        <v>63.861306241062643</v>
      </c>
      <c r="D117" s="3">
        <v>95</v>
      </c>
      <c r="E117" s="12">
        <v>99.836440211455937</v>
      </c>
      <c r="F117" s="12">
        <v>48.044103189538284</v>
      </c>
      <c r="G117" s="12">
        <v>67.876615163905882</v>
      </c>
      <c r="H117" s="12">
        <v>86.962491090045091</v>
      </c>
      <c r="I117" s="12">
        <v>71.122836438041972</v>
      </c>
      <c r="J117" s="12">
        <v>80.972459740157674</v>
      </c>
      <c r="K117" s="12">
        <v>38.425273275715256</v>
      </c>
      <c r="L117" s="12">
        <v>81.781178531378103</v>
      </c>
      <c r="M117" s="12">
        <v>21.136245440178776</v>
      </c>
      <c r="N117" s="12">
        <v>73.172981975047009</v>
      </c>
      <c r="O117" s="12">
        <v>55.307961773471334</v>
      </c>
      <c r="P117" s="12">
        <v>71.658402338614763</v>
      </c>
      <c r="Q117" s="12">
        <v>73.751361854849534</v>
      </c>
      <c r="R117" s="12">
        <v>45.165834529827535</v>
      </c>
      <c r="S117" s="12">
        <v>60.951504776592266</v>
      </c>
      <c r="T117" s="12">
        <v>56.349366013047707</v>
      </c>
      <c r="U117" s="12">
        <v>53.127149756197603</v>
      </c>
    </row>
    <row r="118" spans="1:21" x14ac:dyDescent="0.2">
      <c r="A118" s="12" t="s">
        <v>153</v>
      </c>
      <c r="B118" s="12" t="s">
        <v>154</v>
      </c>
      <c r="C118" s="11">
        <v>67.632479612063037</v>
      </c>
      <c r="D118" s="3">
        <v>69</v>
      </c>
      <c r="E118" s="12">
        <v>99.982424666742929</v>
      </c>
      <c r="F118" s="12">
        <v>55.500529790579513</v>
      </c>
      <c r="G118" s="12">
        <v>78.209095575857745</v>
      </c>
      <c r="H118" s="12">
        <v>89.018134101573011</v>
      </c>
      <c r="I118" s="12">
        <v>64.231185986750191</v>
      </c>
      <c r="J118" s="12">
        <v>91.635263074222252</v>
      </c>
      <c r="K118" s="12">
        <v>83.044067305236425</v>
      </c>
      <c r="L118" s="12">
        <v>63.805366795287213</v>
      </c>
      <c r="M118" s="12">
        <v>29.788922193273887</v>
      </c>
      <c r="N118" s="12">
        <v>63.015448162524301</v>
      </c>
      <c r="O118" s="12">
        <v>70.529655796162046</v>
      </c>
      <c r="P118" s="12">
        <v>53.179423211681161</v>
      </c>
      <c r="Q118" s="12">
        <v>74.663588827107503</v>
      </c>
      <c r="R118" s="12">
        <v>37.563763799910006</v>
      </c>
      <c r="S118" s="12">
        <v>27.590838311021816</v>
      </c>
      <c r="T118" s="12">
        <v>67.994445807141517</v>
      </c>
      <c r="U118" s="12">
        <v>100</v>
      </c>
    </row>
    <row r="119" spans="1:21" x14ac:dyDescent="0.2">
      <c r="A119" s="12" t="s">
        <v>159</v>
      </c>
      <c r="B119" s="12" t="s">
        <v>160</v>
      </c>
      <c r="C119" s="11">
        <v>66.267354475181122</v>
      </c>
      <c r="D119" s="3">
        <v>77</v>
      </c>
      <c r="E119" s="12">
        <v>99.668136476845874</v>
      </c>
      <c r="F119" s="12">
        <v>50.674420585882046</v>
      </c>
      <c r="G119" s="12">
        <v>73.832325711718084</v>
      </c>
      <c r="H119" s="12">
        <v>65.498037396591187</v>
      </c>
      <c r="I119" s="12">
        <v>42.603961466449974</v>
      </c>
      <c r="J119" s="12">
        <v>75.717814985184972</v>
      </c>
      <c r="K119" s="12">
        <v>77.026811214412589</v>
      </c>
      <c r="L119" s="12">
        <v>49.666244824275282</v>
      </c>
      <c r="M119" s="12">
        <v>33.453700398266093</v>
      </c>
      <c r="N119" s="12">
        <v>61.590937335078046</v>
      </c>
      <c r="O119" s="12">
        <v>75.551141798326043</v>
      </c>
      <c r="P119" s="12">
        <v>71.264371731511005</v>
      </c>
      <c r="Q119" s="12">
        <v>88.344453047307468</v>
      </c>
      <c r="R119" s="12">
        <v>47.791932476616068</v>
      </c>
      <c r="S119" s="12">
        <v>72.768596814321427</v>
      </c>
      <c r="T119" s="12">
        <v>70.181993416206879</v>
      </c>
      <c r="U119" s="12">
        <v>70.910146399085946</v>
      </c>
    </row>
    <row r="120" spans="1:21" x14ac:dyDescent="0.2">
      <c r="A120" s="12" t="s">
        <v>317</v>
      </c>
      <c r="B120" s="12" t="s">
        <v>318</v>
      </c>
      <c r="C120" s="11">
        <v>50.656887032036309</v>
      </c>
      <c r="D120" s="3">
        <v>138</v>
      </c>
      <c r="E120" s="12">
        <v>24.349203402253778</v>
      </c>
      <c r="F120" s="12">
        <v>37.086695591651115</v>
      </c>
      <c r="G120" s="12">
        <v>35.345630585064939</v>
      </c>
      <c r="H120" s="12">
        <v>42.706182598982501</v>
      </c>
      <c r="I120" s="12">
        <v>58.50070429059646</v>
      </c>
      <c r="J120" s="12">
        <v>51.235906383599499</v>
      </c>
      <c r="K120" s="12">
        <v>35.995291812026501</v>
      </c>
      <c r="L120" s="12">
        <v>36.212664908231879</v>
      </c>
      <c r="M120" s="12">
        <v>12.652709608199769</v>
      </c>
      <c r="N120" s="12">
        <v>49.315012214711736</v>
      </c>
      <c r="O120" s="12">
        <v>63.585731416535026</v>
      </c>
      <c r="P120" s="12">
        <v>84.826061822807873</v>
      </c>
      <c r="Q120" s="12">
        <v>80.722926912833643</v>
      </c>
      <c r="R120" s="12">
        <v>65.153434702594879</v>
      </c>
      <c r="S120" s="12">
        <v>62.601080954676014</v>
      </c>
      <c r="T120" s="12">
        <v>50.554701715294286</v>
      </c>
      <c r="U120" s="12">
        <v>70.323140624557354</v>
      </c>
    </row>
    <row r="121" spans="1:21" x14ac:dyDescent="0.2">
      <c r="A121" s="12" t="s">
        <v>269</v>
      </c>
      <c r="B121" s="12" t="s">
        <v>270</v>
      </c>
      <c r="C121" s="11">
        <v>59.027894047278409</v>
      </c>
      <c r="D121" s="3">
        <v>113</v>
      </c>
      <c r="E121" s="12">
        <v>91.060751626887296</v>
      </c>
      <c r="F121" s="12">
        <v>51.957048279357856</v>
      </c>
      <c r="G121" s="12">
        <v>54.520200296213943</v>
      </c>
      <c r="H121" s="12">
        <v>64.283709259333676</v>
      </c>
      <c r="I121" s="12">
        <v>61.567985602833204</v>
      </c>
      <c r="J121" s="12">
        <v>76.699781004751998</v>
      </c>
      <c r="K121" s="12">
        <v>35.688016091154758</v>
      </c>
      <c r="L121" s="12">
        <v>62.265071880072945</v>
      </c>
      <c r="M121" s="12">
        <v>16.786790909471176</v>
      </c>
      <c r="N121" s="12">
        <v>60.717981876033996</v>
      </c>
      <c r="O121" s="12">
        <v>59.492946390738588</v>
      </c>
      <c r="P121" s="12">
        <v>77.610800235300502</v>
      </c>
      <c r="Q121" s="12">
        <v>82.760033987280408</v>
      </c>
      <c r="R121" s="12">
        <v>38.332214531290077</v>
      </c>
      <c r="S121" s="12">
        <v>50.124670760671577</v>
      </c>
      <c r="T121" s="12">
        <v>61.087607541226639</v>
      </c>
      <c r="U121" s="12">
        <v>58.518588531114354</v>
      </c>
    </row>
    <row r="122" spans="1:21" x14ac:dyDescent="0.2">
      <c r="A122" s="12" t="s">
        <v>237</v>
      </c>
      <c r="B122" s="12" t="s">
        <v>238</v>
      </c>
      <c r="C122" s="11">
        <v>58.928604004721244</v>
      </c>
      <c r="D122" s="3">
        <v>114</v>
      </c>
      <c r="E122" s="12">
        <v>71.146541901226712</v>
      </c>
      <c r="F122" s="12">
        <v>34.214784484907</v>
      </c>
      <c r="G122" s="12">
        <v>55.955979167126223</v>
      </c>
      <c r="H122" s="12">
        <v>69.143545783463139</v>
      </c>
      <c r="I122" s="12">
        <v>85.981078630931933</v>
      </c>
      <c r="J122" s="12">
        <v>72.208114806298468</v>
      </c>
      <c r="K122" s="12">
        <v>37.8828532475301</v>
      </c>
      <c r="L122" s="12">
        <v>51.483351034690244</v>
      </c>
      <c r="M122" s="12">
        <v>29.321420734168576</v>
      </c>
      <c r="N122" s="12">
        <v>0</v>
      </c>
      <c r="O122" s="12">
        <v>77.2256804871501</v>
      </c>
      <c r="P122" s="12">
        <v>69.716430363021999</v>
      </c>
      <c r="Q122" s="12">
        <v>65.536511636804775</v>
      </c>
      <c r="R122" s="12">
        <v>61.37257244101486</v>
      </c>
      <c r="S122" s="12">
        <v>68.380586976062688</v>
      </c>
      <c r="T122" s="12">
        <v>62.821508707868759</v>
      </c>
      <c r="U122" s="12">
        <v>89.395307677995547</v>
      </c>
    </row>
    <row r="123" spans="1:21" x14ac:dyDescent="0.2">
      <c r="A123" s="12" t="s">
        <v>383</v>
      </c>
      <c r="B123" s="12" t="s">
        <v>384</v>
      </c>
    </row>
    <row r="124" spans="1:21" x14ac:dyDescent="0.2">
      <c r="A124" s="12" t="s">
        <v>217</v>
      </c>
      <c r="B124" s="12" t="s">
        <v>218</v>
      </c>
      <c r="C124" s="11">
        <v>62.754398404335539</v>
      </c>
      <c r="D124" s="3">
        <v>102</v>
      </c>
      <c r="E124" s="12">
        <v>95.745711267849003</v>
      </c>
      <c r="F124" s="12">
        <v>48.003378230852441</v>
      </c>
      <c r="G124" s="12">
        <v>58.660706318906193</v>
      </c>
      <c r="H124" s="12">
        <v>58.957244396028933</v>
      </c>
      <c r="I124" s="12">
        <v>64.377913589401899</v>
      </c>
      <c r="J124" s="12">
        <v>78.370631627043124</v>
      </c>
      <c r="K124" s="12">
        <v>53.26342681925815</v>
      </c>
      <c r="L124" s="12">
        <v>59.423323296943408</v>
      </c>
      <c r="M124" s="12">
        <v>14.00558425792514</v>
      </c>
      <c r="N124" s="12">
        <v>83.303642027678265</v>
      </c>
      <c r="O124" s="12">
        <v>46.834927631780396</v>
      </c>
      <c r="P124" s="12">
        <v>84.478261376646444</v>
      </c>
      <c r="Q124" s="12">
        <v>92.419002702702215</v>
      </c>
      <c r="R124" s="12">
        <v>45.165834529827535</v>
      </c>
      <c r="S124" s="12">
        <v>67.139192937789105</v>
      </c>
      <c r="T124" s="12">
        <v>53.485605242716041</v>
      </c>
      <c r="U124" s="12">
        <v>63.190386620356172</v>
      </c>
    </row>
    <row r="125" spans="1:21" x14ac:dyDescent="0.2">
      <c r="A125" s="12" t="s">
        <v>59</v>
      </c>
      <c r="B125" s="12" t="s">
        <v>60</v>
      </c>
      <c r="C125" s="11">
        <v>79.468557314724791</v>
      </c>
      <c r="D125" s="3">
        <v>11</v>
      </c>
      <c r="E125" s="12">
        <v>99.758859737304022</v>
      </c>
      <c r="F125" s="12">
        <v>75.72132279557259</v>
      </c>
      <c r="G125" s="12">
        <v>95.42293632533584</v>
      </c>
      <c r="H125" s="12">
        <v>90.935798034372183</v>
      </c>
      <c r="I125" s="12">
        <v>82.516912921684167</v>
      </c>
      <c r="J125" s="12">
        <v>90.930326046879443</v>
      </c>
      <c r="K125" s="12">
        <v>85.009280793230516</v>
      </c>
      <c r="L125" s="12">
        <v>87.732757782624532</v>
      </c>
      <c r="M125" s="12">
        <v>83.783976136710677</v>
      </c>
      <c r="N125" s="12">
        <v>94.702835925735769</v>
      </c>
      <c r="O125" s="12">
        <v>88.655733121871933</v>
      </c>
      <c r="P125" s="12">
        <v>52.050132886869797</v>
      </c>
      <c r="Q125" s="12">
        <v>71.325605151303876</v>
      </c>
      <c r="R125" s="12">
        <v>39.775303917221969</v>
      </c>
      <c r="S125" s="12">
        <v>79.423194092848604</v>
      </c>
      <c r="T125" s="12">
        <v>84.191447867663257</v>
      </c>
      <c r="U125" s="12">
        <v>49.029050813092198</v>
      </c>
    </row>
    <row r="126" spans="1:21" x14ac:dyDescent="0.2">
      <c r="A126" s="12" t="s">
        <v>73</v>
      </c>
      <c r="B126" s="12" t="s">
        <v>74</v>
      </c>
      <c r="C126" s="11">
        <v>77.860314892261044</v>
      </c>
      <c r="D126" s="3">
        <v>17</v>
      </c>
      <c r="E126" s="12">
        <v>99.977857786217953</v>
      </c>
      <c r="F126" s="12">
        <v>69.588933011604823</v>
      </c>
      <c r="G126" s="12">
        <v>93.12037250844071</v>
      </c>
      <c r="H126" s="12">
        <v>94.916001152682213</v>
      </c>
      <c r="I126" s="12">
        <v>83.786773168018073</v>
      </c>
      <c r="J126" s="12">
        <v>88.88232344447718</v>
      </c>
      <c r="K126" s="12">
        <v>92.7260166772665</v>
      </c>
      <c r="L126" s="12">
        <v>88.790857903136228</v>
      </c>
      <c r="M126" s="12">
        <v>68.902798095283515</v>
      </c>
      <c r="N126" s="12">
        <v>75.50799371992241</v>
      </c>
      <c r="O126" s="12">
        <v>80.735930735930737</v>
      </c>
      <c r="P126" s="12">
        <v>54.777014248410957</v>
      </c>
      <c r="Q126" s="12">
        <v>87.616456600462044</v>
      </c>
      <c r="R126" s="12">
        <v>56.70605741374289</v>
      </c>
      <c r="S126" s="12">
        <v>34.247781558819298</v>
      </c>
      <c r="T126" s="12">
        <v>88.373532904349403</v>
      </c>
      <c r="U126" s="12">
        <v>64.968652239672977</v>
      </c>
    </row>
    <row r="127" spans="1:21" x14ac:dyDescent="0.2">
      <c r="A127" s="12" t="s">
        <v>227</v>
      </c>
      <c r="B127" s="12" t="s">
        <v>228</v>
      </c>
      <c r="C127" s="11">
        <v>66.380687746457397</v>
      </c>
      <c r="D127" s="3">
        <v>76</v>
      </c>
      <c r="E127" s="12">
        <v>97.325045962602971</v>
      </c>
      <c r="F127" s="12">
        <v>44.178923560168748</v>
      </c>
      <c r="G127" s="12">
        <v>77.18170472866619</v>
      </c>
      <c r="H127" s="12">
        <v>69.286085427284192</v>
      </c>
      <c r="I127" s="12">
        <v>82.940558097853</v>
      </c>
      <c r="J127" s="12">
        <v>87.906023292391822</v>
      </c>
      <c r="K127" s="12">
        <v>64.446330607620396</v>
      </c>
      <c r="L127" s="12">
        <v>64.589258872613527</v>
      </c>
      <c r="M127" s="12">
        <v>16.279062891835004</v>
      </c>
      <c r="N127" s="12">
        <v>46.526641276674241</v>
      </c>
      <c r="O127" s="12">
        <v>84.971206818604188</v>
      </c>
      <c r="P127" s="12">
        <v>77.757117036017434</v>
      </c>
      <c r="Q127" s="12">
        <v>91.043252757861481</v>
      </c>
      <c r="R127" s="12">
        <v>44.97641479471676</v>
      </c>
      <c r="S127" s="12">
        <v>62.362873486342536</v>
      </c>
      <c r="T127" s="12">
        <v>53.643866761281465</v>
      </c>
      <c r="U127" s="12">
        <v>63.057325317241727</v>
      </c>
    </row>
    <row r="128" spans="1:21" x14ac:dyDescent="0.2">
      <c r="A128" s="12" t="s">
        <v>341</v>
      </c>
      <c r="B128" s="12" t="s">
        <v>342</v>
      </c>
      <c r="C128" s="11">
        <v>48.512828674444457</v>
      </c>
      <c r="D128" s="3">
        <v>148</v>
      </c>
      <c r="E128" s="12">
        <v>50.527340035808734</v>
      </c>
      <c r="F128" s="12">
        <v>32.707994967682964</v>
      </c>
      <c r="G128" s="12">
        <v>40.649474603310871</v>
      </c>
      <c r="H128" s="12">
        <v>7.2224395411148068</v>
      </c>
      <c r="I128" s="12">
        <v>36.825287837398626</v>
      </c>
      <c r="J128" s="12">
        <v>66.18295471225575</v>
      </c>
      <c r="K128" s="12">
        <v>2.2799516072304464</v>
      </c>
      <c r="L128" s="12">
        <v>51.974218955679156</v>
      </c>
      <c r="M128" s="12">
        <v>6.1794245226149016</v>
      </c>
      <c r="N128" s="12">
        <v>81.88291872076671</v>
      </c>
      <c r="O128" s="12">
        <v>55.421153478861875</v>
      </c>
      <c r="P128" s="12">
        <v>78.389778247803633</v>
      </c>
      <c r="Q128" s="12">
        <v>74.409775274713667</v>
      </c>
      <c r="R128" s="12">
        <v>48.160238987946016</v>
      </c>
      <c r="S128" s="12">
        <v>53.453482991860803</v>
      </c>
      <c r="T128" s="12">
        <v>64.668186294303766</v>
      </c>
      <c r="U128" s="12">
        <v>73.783466686202956</v>
      </c>
    </row>
    <row r="129" spans="1:21" x14ac:dyDescent="0.2">
      <c r="A129" s="12" t="s">
        <v>311</v>
      </c>
      <c r="B129" s="12" t="s">
        <v>312</v>
      </c>
      <c r="C129" s="11">
        <v>47.477307283423301</v>
      </c>
      <c r="D129" s="3">
        <v>150</v>
      </c>
      <c r="E129" s="12">
        <v>37.806310985678827</v>
      </c>
      <c r="F129" s="12">
        <v>47.680642069749318</v>
      </c>
      <c r="G129" s="12">
        <v>34.644898561567977</v>
      </c>
      <c r="H129" s="12">
        <v>31.512858151990375</v>
      </c>
      <c r="I129" s="12">
        <v>43.707523938400008</v>
      </c>
      <c r="J129" s="12">
        <v>73.989092949334875</v>
      </c>
      <c r="K129" s="12">
        <v>29.592259294835035</v>
      </c>
      <c r="L129" s="12">
        <v>60.580275945652573</v>
      </c>
      <c r="M129" s="12">
        <v>15.418810776573634</v>
      </c>
      <c r="N129" s="12">
        <v>9.1556380535194624</v>
      </c>
      <c r="O129" s="12">
        <v>43.454601510097454</v>
      </c>
      <c r="P129" s="12">
        <v>76.252339214137706</v>
      </c>
      <c r="Q129" s="12">
        <v>91.30007860499407</v>
      </c>
      <c r="R129" s="12">
        <v>39.367132928806903</v>
      </c>
      <c r="S129" s="12">
        <v>74.279603066872184</v>
      </c>
      <c r="T129" s="12">
        <v>48.372157765985769</v>
      </c>
      <c r="U129" s="12">
        <v>50</v>
      </c>
    </row>
    <row r="130" spans="1:21" x14ac:dyDescent="0.2">
      <c r="A130" s="12" t="s">
        <v>33</v>
      </c>
      <c r="B130" s="12" t="s">
        <v>34</v>
      </c>
      <c r="C130" s="11">
        <v>81.171534828899325</v>
      </c>
      <c r="D130" s="3">
        <v>6</v>
      </c>
      <c r="E130" s="12">
        <v>99.619649185620901</v>
      </c>
      <c r="F130" s="12">
        <v>65.55560404270021</v>
      </c>
      <c r="G130" s="12">
        <v>97.046049884404155</v>
      </c>
      <c r="H130" s="12">
        <v>97.284290407511534</v>
      </c>
      <c r="I130" s="12">
        <v>89.358631017444694</v>
      </c>
      <c r="J130" s="12">
        <v>84.734894134822383</v>
      </c>
      <c r="K130" s="12">
        <v>97.415649819671046</v>
      </c>
      <c r="L130" s="12">
        <v>85.221190857768875</v>
      </c>
      <c r="M130" s="12">
        <v>80.383577343489989</v>
      </c>
      <c r="N130" s="12">
        <v>100</v>
      </c>
      <c r="O130" s="12">
        <v>87.706040651657304</v>
      </c>
      <c r="P130" s="12">
        <v>36.104412390736918</v>
      </c>
      <c r="Q130" s="12">
        <v>62.172785648520225</v>
      </c>
      <c r="R130" s="12">
        <v>65.209374276262096</v>
      </c>
      <c r="S130" s="12">
        <v>58.55338467819854</v>
      </c>
      <c r="T130" s="12">
        <v>83.872122220082147</v>
      </c>
      <c r="U130" s="12">
        <v>89.678435532397501</v>
      </c>
    </row>
    <row r="131" spans="1:21" x14ac:dyDescent="0.2">
      <c r="A131" s="12" t="s">
        <v>199</v>
      </c>
      <c r="B131" s="12" t="s">
        <v>200</v>
      </c>
      <c r="C131" s="11">
        <v>63.905625553891525</v>
      </c>
      <c r="D131" s="3">
        <v>94</v>
      </c>
      <c r="E131" s="12">
        <v>99.819626464638063</v>
      </c>
      <c r="F131" s="12">
        <v>52.058350970483978</v>
      </c>
      <c r="G131" s="12">
        <v>85.594148662165622</v>
      </c>
      <c r="H131" s="12">
        <v>79.852071794453408</v>
      </c>
      <c r="I131" s="12">
        <v>36.917622347624139</v>
      </c>
      <c r="J131" s="12">
        <v>29.0485836219578</v>
      </c>
      <c r="K131" s="12">
        <v>79.077437119656636</v>
      </c>
      <c r="L131" s="12">
        <v>63.450144573608618</v>
      </c>
      <c r="M131" s="12">
        <v>47.200049466804593</v>
      </c>
      <c r="N131" s="12">
        <v>62.484379277144349</v>
      </c>
      <c r="O131" s="12">
        <v>72.583533372410088</v>
      </c>
      <c r="P131" s="12">
        <v>61.283661011674312</v>
      </c>
      <c r="Q131" s="12">
        <v>75.180593996267149</v>
      </c>
      <c r="R131" s="12">
        <v>63.415889327340352</v>
      </c>
      <c r="S131" s="12">
        <v>38.334732917290026</v>
      </c>
      <c r="T131" s="12">
        <v>81.739616923710244</v>
      </c>
      <c r="U131" s="12">
        <v>58.355192568926483</v>
      </c>
    </row>
    <row r="132" spans="1:21" x14ac:dyDescent="0.2">
      <c r="A132" s="12" t="s">
        <v>275</v>
      </c>
      <c r="B132" s="12" t="s">
        <v>276</v>
      </c>
      <c r="C132" s="11">
        <v>54.885088927922695</v>
      </c>
      <c r="D132" s="3">
        <v>126</v>
      </c>
      <c r="E132" s="12">
        <v>98.069478031920255</v>
      </c>
      <c r="F132" s="12">
        <v>37.550011847703423</v>
      </c>
      <c r="G132" s="12">
        <v>50.662979078487432</v>
      </c>
      <c r="H132" s="12">
        <v>42.527715190943347</v>
      </c>
      <c r="I132" s="12">
        <v>34.359476927716436</v>
      </c>
      <c r="J132" s="12">
        <v>50.237669403361991</v>
      </c>
      <c r="K132" s="12">
        <v>66.343197063417122</v>
      </c>
      <c r="L132" s="12">
        <v>40.410737487991511</v>
      </c>
      <c r="M132" s="12">
        <v>21.98547992145868</v>
      </c>
      <c r="N132" s="12">
        <v>58.079628663760573</v>
      </c>
      <c r="O132" s="12">
        <v>48.259704989404192</v>
      </c>
      <c r="P132" s="12">
        <v>79.196352693787176</v>
      </c>
      <c r="Q132" s="12">
        <v>91.078050307271212</v>
      </c>
      <c r="R132" s="12">
        <v>51.015653808366153</v>
      </c>
      <c r="S132" s="12">
        <v>66.885379421331848</v>
      </c>
      <c r="T132" s="12">
        <v>54.168747155885491</v>
      </c>
      <c r="U132" s="12">
        <v>42.21624978187873</v>
      </c>
    </row>
    <row r="133" spans="1:21" x14ac:dyDescent="0.2">
      <c r="A133" s="12" t="s">
        <v>385</v>
      </c>
      <c r="B133" s="12" t="s">
        <v>386</v>
      </c>
    </row>
    <row r="134" spans="1:21" x14ac:dyDescent="0.2">
      <c r="A134" s="12" t="s">
        <v>213</v>
      </c>
      <c r="B134" s="12" t="s">
        <v>214</v>
      </c>
      <c r="C134" s="11">
        <v>64.889408260247478</v>
      </c>
      <c r="D134" s="3">
        <v>86</v>
      </c>
      <c r="E134" s="12">
        <v>99.578862910547457</v>
      </c>
      <c r="F134" s="12">
        <v>50.233166141344789</v>
      </c>
      <c r="G134" s="12">
        <v>78.386303992914122</v>
      </c>
      <c r="H134" s="12">
        <v>79.115168916309955</v>
      </c>
      <c r="I134" s="12">
        <v>66.391558283891655</v>
      </c>
      <c r="J134" s="12">
        <v>86.45315846229596</v>
      </c>
      <c r="K134" s="12">
        <v>81.349728985182239</v>
      </c>
      <c r="L134" s="12">
        <v>71.337671296861402</v>
      </c>
      <c r="M134" s="12">
        <v>34.200455954335197</v>
      </c>
      <c r="N134" s="12">
        <v>25.457915851572931</v>
      </c>
      <c r="O134" s="12">
        <v>86.286045248524644</v>
      </c>
      <c r="P134" s="12">
        <v>70.60914689718858</v>
      </c>
      <c r="Q134" s="12">
        <v>87.538541678253836</v>
      </c>
      <c r="R134" s="12">
        <v>50.317921801205017</v>
      </c>
      <c r="S134" s="12">
        <v>50.682070096134922</v>
      </c>
      <c r="T134" s="12">
        <v>57.306303847269838</v>
      </c>
      <c r="U134" s="12">
        <v>27.875920060374895</v>
      </c>
    </row>
    <row r="135" spans="1:21" x14ac:dyDescent="0.2">
      <c r="A135" s="12" t="s">
        <v>315</v>
      </c>
      <c r="B135" s="12" t="s">
        <v>316</v>
      </c>
    </row>
    <row r="136" spans="1:21" x14ac:dyDescent="0.2">
      <c r="A136" s="12" t="s">
        <v>195</v>
      </c>
      <c r="B136" s="12" t="s">
        <v>196</v>
      </c>
      <c r="C136" s="11">
        <v>67.206727259855754</v>
      </c>
      <c r="D136" s="3">
        <v>72</v>
      </c>
      <c r="E136" s="12">
        <v>99.282435315565522</v>
      </c>
      <c r="F136" s="12">
        <v>66.047503978768987</v>
      </c>
      <c r="G136" s="12">
        <v>74.288507234215032</v>
      </c>
      <c r="H136" s="12">
        <v>75.001592091705319</v>
      </c>
      <c r="I136" s="12">
        <v>67.998086773284371</v>
      </c>
      <c r="J136" s="12">
        <v>96.698420900300462</v>
      </c>
      <c r="K136" s="12">
        <v>86.297616744030464</v>
      </c>
      <c r="L136" s="12">
        <v>68.448588488411147</v>
      </c>
      <c r="M136" s="12">
        <v>20.711825838396642</v>
      </c>
      <c r="N136" s="12">
        <v>42.512978052485828</v>
      </c>
      <c r="O136" s="12">
        <v>76.470237236573425</v>
      </c>
      <c r="P136" s="12">
        <v>71.286493232620074</v>
      </c>
      <c r="Q136" s="12">
        <v>87.593253880090245</v>
      </c>
      <c r="R136" s="12">
        <v>48.491790164654567</v>
      </c>
      <c r="S136" s="12">
        <v>44.413003502153252</v>
      </c>
      <c r="T136" s="12">
        <v>49.091603075629351</v>
      </c>
      <c r="U136" s="12">
        <v>67.88042690866321</v>
      </c>
    </row>
    <row r="137" spans="1:21" x14ac:dyDescent="0.2">
      <c r="A137" s="12" t="s">
        <v>149</v>
      </c>
      <c r="B137" s="12" t="s">
        <v>150</v>
      </c>
      <c r="C137" s="11">
        <v>68.448266302163802</v>
      </c>
      <c r="D137" s="3">
        <v>64</v>
      </c>
      <c r="E137" s="12">
        <v>97.423019795465081</v>
      </c>
      <c r="F137" s="12">
        <v>60.499314061154088</v>
      </c>
      <c r="G137" s="12">
        <v>79.988377441742756</v>
      </c>
      <c r="H137" s="12">
        <v>82.853316928079451</v>
      </c>
      <c r="I137" s="12">
        <v>74.592799778308546</v>
      </c>
      <c r="J137" s="12">
        <v>96.327923402197229</v>
      </c>
      <c r="K137" s="12">
        <v>75.826742577638598</v>
      </c>
      <c r="L137" s="12">
        <v>61.412100601691712</v>
      </c>
      <c r="M137" s="12">
        <v>28.521451301879246</v>
      </c>
      <c r="N137" s="12">
        <v>41.941549538643883</v>
      </c>
      <c r="O137" s="12">
        <v>72.85917538622509</v>
      </c>
      <c r="P137" s="12">
        <v>73.237151144852845</v>
      </c>
      <c r="Q137" s="12">
        <v>87.360033564989592</v>
      </c>
      <c r="R137" s="12">
        <v>63.839346275605472</v>
      </c>
      <c r="S137" s="12">
        <v>58.588920693783237</v>
      </c>
      <c r="T137" s="12">
        <v>52.191790893366623</v>
      </c>
      <c r="U137" s="12">
        <v>56.157513751161154</v>
      </c>
    </row>
    <row r="138" spans="1:21" x14ac:dyDescent="0.2">
      <c r="A138" s="12" t="s">
        <v>215</v>
      </c>
      <c r="B138" s="12" t="s">
        <v>216</v>
      </c>
      <c r="C138" s="11">
        <v>65.030548714276875</v>
      </c>
      <c r="D138" s="3">
        <v>85</v>
      </c>
      <c r="E138" s="12">
        <v>95.971672710134641</v>
      </c>
      <c r="F138" s="12">
        <v>51.645976960165747</v>
      </c>
      <c r="G138" s="12">
        <v>59.232712887713753</v>
      </c>
      <c r="H138" s="12">
        <v>83.703824636936019</v>
      </c>
      <c r="I138" s="12">
        <v>71.791283948683628</v>
      </c>
      <c r="J138" s="12">
        <v>83.902769542419151</v>
      </c>
      <c r="K138" s="12">
        <v>64.016273594842957</v>
      </c>
      <c r="L138" s="12">
        <v>68.923969594386747</v>
      </c>
      <c r="M138" s="12">
        <v>26.912788787774467</v>
      </c>
      <c r="N138" s="12">
        <v>35.40008167271553</v>
      </c>
      <c r="O138" s="12">
        <v>71.461412827543469</v>
      </c>
      <c r="P138" s="12">
        <v>82.171600466381989</v>
      </c>
      <c r="Q138" s="12">
        <v>91.467131040861062</v>
      </c>
      <c r="R138" s="12">
        <v>54.380485762850071</v>
      </c>
      <c r="S138" s="12">
        <v>51.763753533620594</v>
      </c>
      <c r="T138" s="12">
        <v>61.224141558866982</v>
      </c>
      <c r="U138" s="12">
        <v>51.549448616810103</v>
      </c>
    </row>
    <row r="139" spans="1:21" x14ac:dyDescent="0.2">
      <c r="A139" s="12" t="s">
        <v>37</v>
      </c>
      <c r="B139" s="12" t="s">
        <v>38</v>
      </c>
      <c r="C139" s="11">
        <v>73.673036526868898</v>
      </c>
      <c r="D139" s="3">
        <v>32</v>
      </c>
      <c r="E139" s="12">
        <v>99.952912253097253</v>
      </c>
      <c r="F139" s="12">
        <v>66.375965743763857</v>
      </c>
      <c r="G139" s="12">
        <v>87.666696820852849</v>
      </c>
      <c r="H139" s="12">
        <v>88.396596254357377</v>
      </c>
      <c r="I139" s="12">
        <v>76.832731420878318</v>
      </c>
      <c r="J139" s="12">
        <v>83.142324366067072</v>
      </c>
      <c r="K139" s="12">
        <v>81.778229066755173</v>
      </c>
      <c r="L139" s="12">
        <v>80.101314793060908</v>
      </c>
      <c r="M139" s="12">
        <v>49.772016083548905</v>
      </c>
      <c r="N139" s="12">
        <v>53.82864494558072</v>
      </c>
      <c r="O139" s="12">
        <v>77.203885452727249</v>
      </c>
      <c r="P139" s="12">
        <v>71.48595679297776</v>
      </c>
      <c r="Q139" s="12">
        <v>87.541364159668973</v>
      </c>
      <c r="R139" s="12">
        <v>45.174869207243091</v>
      </c>
      <c r="S139" s="12">
        <v>83.795937379425339</v>
      </c>
      <c r="T139" s="12">
        <v>70.758477214334107</v>
      </c>
      <c r="U139" s="12">
        <v>48.633699002432088</v>
      </c>
    </row>
    <row r="140" spans="1:21" x14ac:dyDescent="0.2">
      <c r="A140" s="12" t="s">
        <v>55</v>
      </c>
      <c r="B140" s="12" t="s">
        <v>56</v>
      </c>
      <c r="C140" s="11">
        <v>74.025398876796118</v>
      </c>
      <c r="D140" s="3">
        <v>31</v>
      </c>
      <c r="E140" s="12">
        <v>98.943941329989087</v>
      </c>
      <c r="F140" s="12">
        <v>62.951562709996388</v>
      </c>
      <c r="G140" s="12">
        <v>90.927615479892992</v>
      </c>
      <c r="H140" s="12">
        <v>83.701902596785615</v>
      </c>
      <c r="I140" s="12">
        <v>84.281696904645003</v>
      </c>
      <c r="J140" s="12">
        <v>82.326503639164201</v>
      </c>
      <c r="K140" s="12">
        <v>90.411981468795702</v>
      </c>
      <c r="L140" s="12">
        <v>81.72294149954844</v>
      </c>
      <c r="M140" s="12">
        <v>57.472451512395402</v>
      </c>
      <c r="N140" s="12">
        <v>57.464110387596712</v>
      </c>
      <c r="O140" s="12">
        <v>83.635507422638497</v>
      </c>
      <c r="P140" s="12">
        <v>55.827631528596953</v>
      </c>
      <c r="Q140" s="12">
        <v>89.456080607538055</v>
      </c>
      <c r="R140" s="12">
        <v>54.395289945949322</v>
      </c>
      <c r="S140" s="12">
        <v>52.691536839399113</v>
      </c>
      <c r="T140" s="12">
        <v>74.872328985549728</v>
      </c>
      <c r="U140" s="12">
        <v>57.348698047052757</v>
      </c>
    </row>
    <row r="141" spans="1:21" x14ac:dyDescent="0.2">
      <c r="A141" s="12" t="s">
        <v>219</v>
      </c>
      <c r="B141" s="12" t="s">
        <v>220</v>
      </c>
      <c r="C141" s="11">
        <v>60.846226272842117</v>
      </c>
      <c r="D141" s="3">
        <v>106</v>
      </c>
      <c r="E141" s="12">
        <v>99.996709366985598</v>
      </c>
      <c r="F141" s="12">
        <v>58.676809840343843</v>
      </c>
      <c r="G141" s="12">
        <v>89.101263131742598</v>
      </c>
      <c r="H141" s="12">
        <v>84.07376816163854</v>
      </c>
      <c r="I141" s="12">
        <v>54.729869806686928</v>
      </c>
      <c r="J141" s="12">
        <v>28.852148084277786</v>
      </c>
      <c r="K141" s="12">
        <v>79.462079838909929</v>
      </c>
      <c r="L141" s="12">
        <v>57.080890430738336</v>
      </c>
      <c r="M141" s="12">
        <v>59.888695604547145</v>
      </c>
      <c r="N141" s="12">
        <v>62.484379277144349</v>
      </c>
      <c r="O141" s="12">
        <v>35.714285714285715</v>
      </c>
      <c r="P141" s="12">
        <v>56.722791040766687</v>
      </c>
      <c r="Q141" s="12">
        <v>43.648648648648646</v>
      </c>
      <c r="R141" s="12">
        <v>36.914550384684986</v>
      </c>
      <c r="S141" s="12">
        <v>44.515091675389606</v>
      </c>
      <c r="T141" s="12">
        <v>90.350153997668812</v>
      </c>
      <c r="U141" s="12">
        <v>52.173711633856676</v>
      </c>
    </row>
    <row r="142" spans="1:21" x14ac:dyDescent="0.2">
      <c r="A142" s="12" t="s">
        <v>89</v>
      </c>
      <c r="B142" s="12" t="s">
        <v>90</v>
      </c>
      <c r="C142" s="11">
        <v>71.218438372269588</v>
      </c>
      <c r="D142" s="3">
        <v>44</v>
      </c>
      <c r="E142" s="12">
        <v>95.245527188259217</v>
      </c>
      <c r="F142" s="12">
        <v>61.049696158264567</v>
      </c>
      <c r="G142" s="12">
        <v>81.30715361661855</v>
      </c>
      <c r="H142" s="12">
        <v>82.225393122078017</v>
      </c>
      <c r="I142" s="12">
        <v>69.043901136991849</v>
      </c>
      <c r="J142" s="12">
        <v>93.660617428168564</v>
      </c>
      <c r="K142" s="12">
        <v>82.795989744217607</v>
      </c>
      <c r="L142" s="12">
        <v>73.12124238352223</v>
      </c>
      <c r="M142" s="12">
        <v>38.44524570281115</v>
      </c>
      <c r="N142" s="12">
        <v>30.07614629476944</v>
      </c>
      <c r="O142" s="12">
        <v>83.638573549563446</v>
      </c>
      <c r="P142" s="12">
        <v>66.474770375196584</v>
      </c>
      <c r="Q142" s="12">
        <v>92.896969573838859</v>
      </c>
      <c r="R142" s="12">
        <v>56.278866973336179</v>
      </c>
      <c r="S142" s="12">
        <v>80.583069440996681</v>
      </c>
      <c r="T142" s="12">
        <v>65.197173264060439</v>
      </c>
      <c r="U142" s="12">
        <v>58.673116375889471</v>
      </c>
    </row>
    <row r="143" spans="1:21" x14ac:dyDescent="0.2">
      <c r="A143" s="12" t="s">
        <v>117</v>
      </c>
      <c r="B143" s="12" t="s">
        <v>118</v>
      </c>
      <c r="C143" s="11">
        <v>68.902543205584479</v>
      </c>
      <c r="D143" s="3">
        <v>63</v>
      </c>
      <c r="E143" s="12">
        <v>99.996679140912704</v>
      </c>
      <c r="F143" s="12">
        <v>48.778337571565089</v>
      </c>
      <c r="G143" s="12">
        <v>77.171139459291751</v>
      </c>
      <c r="H143" s="12">
        <v>93.838094373122445</v>
      </c>
      <c r="I143" s="12">
        <v>71.640747746013389</v>
      </c>
      <c r="J143" s="12">
        <v>92.83322062480029</v>
      </c>
      <c r="K143" s="12">
        <v>85.395858734300873</v>
      </c>
      <c r="L143" s="12">
        <v>65.350630491584383</v>
      </c>
      <c r="M143" s="12">
        <v>45.874366783675733</v>
      </c>
      <c r="N143" s="12">
        <v>54.119670969105236</v>
      </c>
      <c r="O143" s="12">
        <v>83.795335240868908</v>
      </c>
      <c r="P143" s="12">
        <v>70.510578916748628</v>
      </c>
      <c r="Q143" s="12">
        <v>80.117111633924779</v>
      </c>
      <c r="R143" s="12">
        <v>51.792475484203315</v>
      </c>
      <c r="S143" s="12">
        <v>59.547928276521155</v>
      </c>
      <c r="T143" s="12">
        <v>36.395855934646697</v>
      </c>
      <c r="U143" s="12">
        <v>54.185203113650573</v>
      </c>
    </row>
    <row r="144" spans="1:21" x14ac:dyDescent="0.2">
      <c r="A144" s="12" t="s">
        <v>271</v>
      </c>
      <c r="B144" s="12" t="s">
        <v>272</v>
      </c>
      <c r="C144" s="11">
        <v>56.090522650229964</v>
      </c>
      <c r="D144" s="3">
        <v>120</v>
      </c>
      <c r="E144" s="12">
        <v>56.514203846439401</v>
      </c>
      <c r="F144" s="12">
        <v>37.473018078210735</v>
      </c>
      <c r="G144" s="12">
        <v>61.247801862554766</v>
      </c>
      <c r="H144" s="12">
        <v>57.404934219246428</v>
      </c>
      <c r="I144" s="12">
        <v>81.997384809877872</v>
      </c>
      <c r="J144" s="12">
        <v>70.255307260382281</v>
      </c>
      <c r="K144" s="12">
        <v>5.8658595120650743</v>
      </c>
      <c r="L144" s="12">
        <v>64.034546380511841</v>
      </c>
      <c r="M144" s="12">
        <v>20.491743689785004</v>
      </c>
      <c r="N144" s="12">
        <v>27.416979355460079</v>
      </c>
      <c r="O144" s="12">
        <v>60.115390990505951</v>
      </c>
      <c r="P144" s="12">
        <v>82.199935821555869</v>
      </c>
      <c r="Q144" s="12">
        <v>85.993967423705413</v>
      </c>
      <c r="R144" s="12">
        <v>48.160238987946016</v>
      </c>
      <c r="S144" s="12">
        <v>63.893345634604749</v>
      </c>
      <c r="T144" s="12">
        <v>65.420876364620824</v>
      </c>
      <c r="U144" s="12">
        <v>65.053350816437003</v>
      </c>
    </row>
    <row r="145" spans="1:21" x14ac:dyDescent="0.2">
      <c r="A145" s="12" t="s">
        <v>405</v>
      </c>
      <c r="B145" s="12" t="s">
        <v>406</v>
      </c>
    </row>
    <row r="146" spans="1:21" x14ac:dyDescent="0.2">
      <c r="A146" s="12" t="s">
        <v>391</v>
      </c>
      <c r="B146" s="12" t="s">
        <v>392</v>
      </c>
    </row>
    <row r="147" spans="1:21" x14ac:dyDescent="0.2">
      <c r="A147" s="12" t="s">
        <v>257</v>
      </c>
      <c r="B147" s="12" t="s">
        <v>258</v>
      </c>
    </row>
    <row r="148" spans="1:21" x14ac:dyDescent="0.2">
      <c r="A148" s="12" t="s">
        <v>207</v>
      </c>
      <c r="B148" s="12" t="s">
        <v>208</v>
      </c>
      <c r="C148" s="11">
        <v>62.919062805631057</v>
      </c>
      <c r="D148" s="3">
        <v>98</v>
      </c>
      <c r="E148" s="12">
        <v>99.929573397432307</v>
      </c>
      <c r="F148" s="12">
        <v>46.410120211962273</v>
      </c>
      <c r="G148" s="12">
        <v>82.843906266466675</v>
      </c>
      <c r="H148" s="12">
        <v>86.50521442920116</v>
      </c>
      <c r="I148" s="12">
        <v>43.600866912051963</v>
      </c>
      <c r="J148" s="12">
        <v>39.439293064445742</v>
      </c>
      <c r="K148" s="12">
        <v>83.252081978790955</v>
      </c>
      <c r="L148" s="12">
        <v>74.968948122386422</v>
      </c>
      <c r="M148" s="12">
        <v>50.266791281962149</v>
      </c>
      <c r="N148" s="12">
        <v>62.484379277144349</v>
      </c>
      <c r="O148" s="12">
        <v>40.584415584415588</v>
      </c>
      <c r="P148" s="12">
        <v>55.418901751007596</v>
      </c>
      <c r="Q148" s="12">
        <v>58.170870134746394</v>
      </c>
      <c r="R148" s="12">
        <v>53.369796366326618</v>
      </c>
      <c r="S148" s="12">
        <v>55.056298060775909</v>
      </c>
      <c r="T148" s="12">
        <v>78.0540014748874</v>
      </c>
      <c r="U148" s="12">
        <v>59.268609381724382</v>
      </c>
    </row>
    <row r="149" spans="1:21" x14ac:dyDescent="0.2">
      <c r="A149" s="12" t="s">
        <v>261</v>
      </c>
      <c r="B149" s="12" t="s">
        <v>262</v>
      </c>
      <c r="C149" s="11">
        <v>57.172012651413375</v>
      </c>
      <c r="D149" s="3">
        <v>118</v>
      </c>
      <c r="E149" s="12">
        <v>68.215120041323502</v>
      </c>
      <c r="F149" s="12">
        <v>51.973188352210663</v>
      </c>
      <c r="G149" s="12">
        <v>57.096412764644633</v>
      </c>
      <c r="H149" s="12">
        <v>21.293586608079959</v>
      </c>
      <c r="I149" s="12">
        <v>51.357402114834009</v>
      </c>
      <c r="J149" s="12">
        <v>81.934020734442527</v>
      </c>
      <c r="K149" s="12">
        <v>45.725205562900641</v>
      </c>
      <c r="L149" s="12">
        <v>55.963591226326855</v>
      </c>
      <c r="M149" s="12">
        <v>15.16574511412569</v>
      </c>
      <c r="N149" s="12">
        <v>52.634904133152361</v>
      </c>
      <c r="O149" s="12">
        <v>60.005809308766068</v>
      </c>
      <c r="P149" s="12">
        <v>81.716971512141342</v>
      </c>
      <c r="Q149" s="12">
        <v>86.179182646690776</v>
      </c>
      <c r="R149" s="12">
        <v>41.691172841875634</v>
      </c>
      <c r="S149" s="12">
        <v>71.066625513562968</v>
      </c>
      <c r="T149" s="12">
        <v>59.752109498584979</v>
      </c>
      <c r="U149" s="12">
        <v>70.153167100364996</v>
      </c>
    </row>
    <row r="150" spans="1:21" x14ac:dyDescent="0.2">
      <c r="A150" s="12" t="s">
        <v>91</v>
      </c>
      <c r="B150" s="12" t="s">
        <v>92</v>
      </c>
      <c r="C150" s="11">
        <v>72.138917684203292</v>
      </c>
      <c r="D150" s="3">
        <v>40</v>
      </c>
      <c r="E150" s="12">
        <v>99.815422523728756</v>
      </c>
      <c r="F150" s="12">
        <v>67.521742130564633</v>
      </c>
      <c r="G150" s="12">
        <v>81.418613961740917</v>
      </c>
      <c r="H150" s="12">
        <v>89.276368704644213</v>
      </c>
      <c r="I150" s="12">
        <v>74.682967295671787</v>
      </c>
      <c r="J150" s="12">
        <v>98.333753560012298</v>
      </c>
      <c r="K150" s="12">
        <v>77.624081281657567</v>
      </c>
      <c r="L150" s="12">
        <v>64.097620981586317</v>
      </c>
      <c r="M150" s="12">
        <v>36.912501456465016</v>
      </c>
      <c r="N150" s="12">
        <v>72.47502004236614</v>
      </c>
      <c r="O150" s="12">
        <v>79.945602684322296</v>
      </c>
      <c r="P150" s="12">
        <v>63.434639429615913</v>
      </c>
      <c r="Q150" s="12">
        <v>84.112195763769179</v>
      </c>
      <c r="R150" s="12">
        <v>48.422883381021848</v>
      </c>
      <c r="S150" s="12">
        <v>47.435152479766842</v>
      </c>
      <c r="T150" s="12">
        <v>66.327108267015575</v>
      </c>
      <c r="U150" s="12">
        <v>74.525926687506569</v>
      </c>
    </row>
    <row r="151" spans="1:21" x14ac:dyDescent="0.2">
      <c r="A151" s="12" t="s">
        <v>393</v>
      </c>
      <c r="B151" s="12" t="s">
        <v>394</v>
      </c>
    </row>
    <row r="152" spans="1:21" x14ac:dyDescent="0.2">
      <c r="A152" s="12" t="s">
        <v>293</v>
      </c>
      <c r="B152" s="12" t="s">
        <v>294</v>
      </c>
      <c r="C152" s="11">
        <v>49.105445708505975</v>
      </c>
      <c r="D152" s="3">
        <v>146</v>
      </c>
      <c r="E152" s="12">
        <v>61.807316864327021</v>
      </c>
      <c r="F152" s="12">
        <v>38.235280518505206</v>
      </c>
      <c r="G152" s="12">
        <v>29.11308481834342</v>
      </c>
      <c r="H152" s="12">
        <v>42.242153534796323</v>
      </c>
      <c r="I152" s="12">
        <v>45.862013961377883</v>
      </c>
      <c r="J152" s="12">
        <v>48.629123682473832</v>
      </c>
      <c r="K152" s="12">
        <v>2.1771872289039234</v>
      </c>
      <c r="L152" s="12">
        <v>49.065482330919686</v>
      </c>
      <c r="M152" s="12">
        <v>8.2206679590773373</v>
      </c>
      <c r="N152" s="12">
        <v>69.523374216888129</v>
      </c>
      <c r="O152" s="12">
        <v>44.434042668205286</v>
      </c>
      <c r="P152" s="12">
        <v>82.237867525836307</v>
      </c>
      <c r="Q152" s="12">
        <v>85.773810657481192</v>
      </c>
      <c r="R152" s="12">
        <v>48.148440339849877</v>
      </c>
      <c r="S152" s="12">
        <v>66.357823609283685</v>
      </c>
      <c r="T152" s="12">
        <v>52.966222426956456</v>
      </c>
      <c r="U152" s="12">
        <v>59.998684701375758</v>
      </c>
    </row>
    <row r="153" spans="1:21" x14ac:dyDescent="0.2">
      <c r="A153" s="12" t="s">
        <v>147</v>
      </c>
      <c r="B153" s="12" t="s">
        <v>148</v>
      </c>
      <c r="C153" s="11">
        <v>71.308955059231266</v>
      </c>
      <c r="D153" s="3">
        <v>43</v>
      </c>
      <c r="E153" s="12">
        <v>98.594908296148304</v>
      </c>
      <c r="F153" s="12">
        <v>71.211088953505453</v>
      </c>
      <c r="G153" s="12">
        <v>93.794195160073045</v>
      </c>
      <c r="H153" s="12">
        <v>94.883232867219419</v>
      </c>
      <c r="I153" s="12">
        <v>71.754793511559242</v>
      </c>
      <c r="J153" s="12">
        <v>86.197247282452636</v>
      </c>
      <c r="K153" s="12">
        <v>90.623501478644641</v>
      </c>
      <c r="L153" s="12">
        <v>92.674555385936557</v>
      </c>
      <c r="M153" s="12">
        <v>87.892917907829798</v>
      </c>
      <c r="N153" s="12">
        <v>60.717981876033996</v>
      </c>
      <c r="O153" s="12">
        <v>94.862515270549352</v>
      </c>
      <c r="P153" s="12">
        <v>43.283698173390007</v>
      </c>
      <c r="Q153" s="12">
        <v>60.015565778229622</v>
      </c>
      <c r="R153" s="12">
        <v>12.117752283110343</v>
      </c>
      <c r="S153" s="12">
        <v>34.892991461201937</v>
      </c>
      <c r="T153" s="12">
        <v>91.273132441923877</v>
      </c>
      <c r="U153" s="12">
        <v>27.462157879123289</v>
      </c>
    </row>
    <row r="154" spans="1:21" x14ac:dyDescent="0.2">
      <c r="A154" s="12" t="s">
        <v>65</v>
      </c>
      <c r="B154" s="12" t="s">
        <v>66</v>
      </c>
      <c r="C154" s="11">
        <v>75.59680556163822</v>
      </c>
      <c r="D154" s="3">
        <v>24</v>
      </c>
      <c r="E154" s="12">
        <v>98.61525406257465</v>
      </c>
      <c r="F154" s="12">
        <v>75.242642183566559</v>
      </c>
      <c r="G154" s="12">
        <v>87.546392830312001</v>
      </c>
      <c r="H154" s="12">
        <v>90.406888516658313</v>
      </c>
      <c r="I154" s="12">
        <v>73.148156988736105</v>
      </c>
      <c r="J154" s="12">
        <v>89.610144169199813</v>
      </c>
      <c r="K154" s="12">
        <v>88.126408243240959</v>
      </c>
      <c r="L154" s="12">
        <v>76.320643236385706</v>
      </c>
      <c r="M154" s="12">
        <v>53.072598854211982</v>
      </c>
      <c r="N154" s="12">
        <v>83.579769910562945</v>
      </c>
      <c r="O154" s="12">
        <v>80.886948491837487</v>
      </c>
      <c r="P154" s="12">
        <v>61.487786269491586</v>
      </c>
      <c r="Q154" s="12">
        <v>76.159053255243151</v>
      </c>
      <c r="R154" s="12">
        <v>52.397336317923852</v>
      </c>
      <c r="S154" s="12">
        <v>79.212485668720461</v>
      </c>
      <c r="T154" s="12">
        <v>68.931868445573002</v>
      </c>
      <c r="U154" s="12">
        <v>50.401317103611099</v>
      </c>
    </row>
    <row r="155" spans="1:21" x14ac:dyDescent="0.2">
      <c r="A155" s="12" t="s">
        <v>45</v>
      </c>
      <c r="B155" s="12" t="s">
        <v>46</v>
      </c>
      <c r="C155" s="11">
        <v>79.979576135357661</v>
      </c>
      <c r="D155" s="3">
        <v>8</v>
      </c>
      <c r="E155" s="12">
        <v>99.737181202072662</v>
      </c>
      <c r="F155" s="12">
        <v>72.03260878727454</v>
      </c>
      <c r="G155" s="12">
        <v>91.798471181911751</v>
      </c>
      <c r="H155" s="12">
        <v>92.337521848905737</v>
      </c>
      <c r="I155" s="12">
        <v>84.423736098297127</v>
      </c>
      <c r="J155" s="12">
        <v>87.114765553121913</v>
      </c>
      <c r="K155" s="12">
        <v>90.266600342960729</v>
      </c>
      <c r="L155" s="12">
        <v>80.205045570391263</v>
      </c>
      <c r="M155" s="12">
        <v>59.867756383857518</v>
      </c>
      <c r="N155" s="12">
        <v>100</v>
      </c>
      <c r="O155" s="12">
        <v>85.493255711817923</v>
      </c>
      <c r="P155" s="12">
        <v>57.795028332207202</v>
      </c>
      <c r="Q155" s="12">
        <v>91.765734178453627</v>
      </c>
      <c r="R155" s="12">
        <v>50.042999881308312</v>
      </c>
      <c r="S155" s="12">
        <v>79.827479395478491</v>
      </c>
      <c r="T155" s="12">
        <v>79.874999924900948</v>
      </c>
      <c r="U155" s="12">
        <v>57.069609908120015</v>
      </c>
    </row>
    <row r="156" spans="1:21" x14ac:dyDescent="0.2">
      <c r="A156" s="12" t="s">
        <v>389</v>
      </c>
      <c r="B156" s="12" t="s">
        <v>390</v>
      </c>
    </row>
    <row r="157" spans="1:21" x14ac:dyDescent="0.2">
      <c r="A157" s="12" t="s">
        <v>343</v>
      </c>
      <c r="B157" s="12" t="s">
        <v>344</v>
      </c>
    </row>
    <row r="158" spans="1:21" x14ac:dyDescent="0.2">
      <c r="A158" s="12" t="s">
        <v>239</v>
      </c>
      <c r="B158" s="12" t="s">
        <v>240</v>
      </c>
      <c r="C158" s="11">
        <v>60.826590558847947</v>
      </c>
      <c r="D158" s="3">
        <v>107</v>
      </c>
      <c r="E158" s="12">
        <v>66.482487487111285</v>
      </c>
      <c r="F158" s="12">
        <v>51.917148849893657</v>
      </c>
      <c r="G158" s="12">
        <v>54.11437323029196</v>
      </c>
      <c r="H158" s="12">
        <v>75.961086676911378</v>
      </c>
      <c r="I158" s="12">
        <v>83.14523600438865</v>
      </c>
      <c r="J158" s="12">
        <v>75.632952250898427</v>
      </c>
      <c r="K158" s="12">
        <v>70.106138145474077</v>
      </c>
      <c r="L158" s="12">
        <v>51.035935925003066</v>
      </c>
      <c r="M158" s="12">
        <v>45.718542676216352</v>
      </c>
      <c r="N158" s="12">
        <v>0</v>
      </c>
      <c r="O158" s="12">
        <v>81.415419077586975</v>
      </c>
      <c r="P158" s="12">
        <v>63.091433843445415</v>
      </c>
      <c r="Q158" s="12">
        <v>82.572148914357228</v>
      </c>
      <c r="R158" s="12">
        <v>59.238549447502386</v>
      </c>
      <c r="S158" s="12">
        <v>44.54995538919129</v>
      </c>
      <c r="T158" s="12">
        <v>45.413504592047211</v>
      </c>
      <c r="U158" s="12">
        <v>83.657126990095989</v>
      </c>
    </row>
    <row r="159" spans="1:21" x14ac:dyDescent="0.2">
      <c r="A159" s="12" t="s">
        <v>351</v>
      </c>
      <c r="B159" s="12" t="s">
        <v>352</v>
      </c>
    </row>
    <row r="160" spans="1:21" x14ac:dyDescent="0.2">
      <c r="A160" s="12" t="s">
        <v>51</v>
      </c>
      <c r="B160" s="12" t="s">
        <v>52</v>
      </c>
      <c r="C160" s="11">
        <v>75.424588500419077</v>
      </c>
      <c r="D160" s="3">
        <v>25</v>
      </c>
      <c r="E160" s="12">
        <v>98.715711788660343</v>
      </c>
      <c r="F160" s="12">
        <v>62.827280762433894</v>
      </c>
      <c r="G160" s="12">
        <v>93.797440378462952</v>
      </c>
      <c r="H160" s="12">
        <v>88.134547358127563</v>
      </c>
      <c r="I160" s="12">
        <v>82.608689804723411</v>
      </c>
      <c r="J160" s="12">
        <v>84.564711446359496</v>
      </c>
      <c r="K160" s="12">
        <v>90.631600532067935</v>
      </c>
      <c r="L160" s="12">
        <v>73.983921826911043</v>
      </c>
      <c r="M160" s="12">
        <v>67.883975280347741</v>
      </c>
      <c r="N160" s="12">
        <v>69.27963761272261</v>
      </c>
      <c r="O160" s="12">
        <v>87.948504453548722</v>
      </c>
      <c r="P160" s="12">
        <v>61.177846357715417</v>
      </c>
      <c r="Q160" s="12">
        <v>88.937919242540659</v>
      </c>
      <c r="R160" s="12">
        <v>47.549977128119416</v>
      </c>
      <c r="S160" s="12">
        <v>56.575706233663496</v>
      </c>
      <c r="T160" s="12">
        <v>72.622113754275901</v>
      </c>
      <c r="U160" s="12">
        <v>54.978420546443353</v>
      </c>
    </row>
    <row r="161" spans="1:21" x14ac:dyDescent="0.2">
      <c r="A161" s="12" t="s">
        <v>185</v>
      </c>
      <c r="B161" s="12" t="s">
        <v>186</v>
      </c>
      <c r="C161" s="11">
        <v>64.561204811728345</v>
      </c>
      <c r="D161" s="3">
        <v>89</v>
      </c>
      <c r="E161" s="12">
        <v>99.740098331810131</v>
      </c>
      <c r="F161" s="12">
        <v>44.549296050635995</v>
      </c>
      <c r="G161" s="12">
        <v>79.280642158586076</v>
      </c>
      <c r="H161" s="12">
        <v>90.933558775309848</v>
      </c>
      <c r="I161" s="12">
        <v>53.714473805830245</v>
      </c>
      <c r="J161" s="12">
        <v>82.27700143592989</v>
      </c>
      <c r="K161" s="12">
        <v>54.327074948815216</v>
      </c>
      <c r="L161" s="12">
        <v>78.631736560585225</v>
      </c>
      <c r="M161" s="12">
        <v>19.813708477464061</v>
      </c>
      <c r="N161" s="12">
        <v>36.539092393514949</v>
      </c>
      <c r="O161" s="12">
        <v>71.719840059066428</v>
      </c>
      <c r="P161" s="12">
        <v>66.978893191913357</v>
      </c>
      <c r="Q161" s="12">
        <v>87.979906694570772</v>
      </c>
      <c r="R161" s="12">
        <v>53.887966330749059</v>
      </c>
      <c r="S161" s="12">
        <v>61.297678058692142</v>
      </c>
      <c r="T161" s="12">
        <v>69.325813086776591</v>
      </c>
      <c r="U161" s="12">
        <v>46.543701439132128</v>
      </c>
    </row>
    <row r="162" spans="1:21" x14ac:dyDescent="0.2">
      <c r="A162" s="12" t="s">
        <v>371</v>
      </c>
      <c r="B162" s="12" t="s">
        <v>372</v>
      </c>
    </row>
    <row r="163" spans="1:21" x14ac:dyDescent="0.2">
      <c r="A163" s="12" t="s">
        <v>375</v>
      </c>
      <c r="B163" s="12" t="s">
        <v>376</v>
      </c>
    </row>
    <row r="164" spans="1:21" x14ac:dyDescent="0.2">
      <c r="A164" s="12" t="s">
        <v>401</v>
      </c>
      <c r="B164" s="12" t="s">
        <v>402</v>
      </c>
    </row>
    <row r="165" spans="1:21" x14ac:dyDescent="0.2">
      <c r="A165" s="12" t="s">
        <v>339</v>
      </c>
      <c r="B165" s="12" t="s">
        <v>340</v>
      </c>
      <c r="C165" s="11">
        <v>49.580238175169939</v>
      </c>
      <c r="D165" s="3">
        <v>143</v>
      </c>
      <c r="E165" s="12">
        <v>77.574813264485783</v>
      </c>
      <c r="F165" s="12">
        <v>14.74443478575262</v>
      </c>
      <c r="G165" s="12">
        <v>53.409047153768348</v>
      </c>
      <c r="H165" s="12">
        <v>17.253496550467165</v>
      </c>
      <c r="I165" s="12">
        <v>38.724749262614189</v>
      </c>
      <c r="J165" s="12">
        <v>41.266758013530755</v>
      </c>
      <c r="K165" s="12">
        <v>41.383425985461876</v>
      </c>
      <c r="L165" s="12">
        <v>31.694313343072437</v>
      </c>
      <c r="M165" s="12">
        <v>12.742530299827308</v>
      </c>
      <c r="N165" s="12">
        <v>65.746737554942342</v>
      </c>
      <c r="O165" s="12">
        <v>43.403495104050599</v>
      </c>
      <c r="P165" s="12">
        <v>74.924012511263598</v>
      </c>
      <c r="Q165" s="12">
        <v>83.349367424059253</v>
      </c>
      <c r="R165" s="12">
        <v>55.975440078154897</v>
      </c>
      <c r="S165" s="12">
        <v>60.200899574951066</v>
      </c>
      <c r="T165" s="12">
        <v>63.960551967872696</v>
      </c>
      <c r="U165" s="12">
        <v>66.509976103614122</v>
      </c>
    </row>
    <row r="166" spans="1:21" x14ac:dyDescent="0.2">
      <c r="A166" s="12" t="s">
        <v>203</v>
      </c>
      <c r="B166" s="12" t="s">
        <v>204</v>
      </c>
      <c r="C166" s="11">
        <v>67.972137894333969</v>
      </c>
      <c r="D166" s="3">
        <v>67</v>
      </c>
      <c r="E166" s="12">
        <v>73.425405362968533</v>
      </c>
      <c r="F166" s="12">
        <v>55.488768716429831</v>
      </c>
      <c r="G166" s="12">
        <v>75.487607321348975</v>
      </c>
      <c r="H166" s="12">
        <v>78.653044422941932</v>
      </c>
      <c r="I166" s="12">
        <v>66.828972908866319</v>
      </c>
      <c r="J166" s="12">
        <v>89.143560421702318</v>
      </c>
      <c r="K166" s="12">
        <v>87.429630328032218</v>
      </c>
      <c r="L166" s="12">
        <v>66.989148521811344</v>
      </c>
      <c r="M166" s="12">
        <v>27.807106146685079</v>
      </c>
      <c r="N166" s="12">
        <v>36.501007236918774</v>
      </c>
      <c r="O166" s="12">
        <v>81.738086573574606</v>
      </c>
      <c r="P166" s="12">
        <v>67.400934894732615</v>
      </c>
      <c r="Q166" s="12">
        <v>71.996912698007037</v>
      </c>
      <c r="R166" s="12">
        <v>63.426129643636038</v>
      </c>
      <c r="S166" s="12">
        <v>71.900748949589939</v>
      </c>
      <c r="T166" s="12">
        <v>60.073976295158509</v>
      </c>
      <c r="U166" s="12">
        <v>81.235303761273684</v>
      </c>
    </row>
    <row r="167" spans="1:21" x14ac:dyDescent="0.2">
      <c r="A167" s="12" t="s">
        <v>463</v>
      </c>
      <c r="B167" s="12" t="s">
        <v>284</v>
      </c>
      <c r="C167" s="11">
        <v>50.672256394959462</v>
      </c>
      <c r="D167" s="3">
        <v>137</v>
      </c>
      <c r="E167" s="12">
        <v>39.036063704918242</v>
      </c>
      <c r="F167" s="12">
        <v>50.900073068624735</v>
      </c>
      <c r="G167" s="12">
        <v>48.885464497302237</v>
      </c>
      <c r="H167" s="12">
        <v>59.156847910189498</v>
      </c>
      <c r="I167" s="12">
        <v>55.701391504730893</v>
      </c>
      <c r="J167" s="12">
        <v>69.201538981282823</v>
      </c>
      <c r="K167" s="12">
        <v>47.731237365607491</v>
      </c>
      <c r="L167" s="12">
        <v>32.66203198871743</v>
      </c>
      <c r="M167" s="12">
        <v>16.65175967360927</v>
      </c>
      <c r="N167" s="12">
        <v>0</v>
      </c>
      <c r="O167" s="12">
        <v>77.83839024207272</v>
      </c>
      <c r="P167" s="12">
        <v>78.214443208968746</v>
      </c>
      <c r="Q167" s="12">
        <v>52.869401573868956</v>
      </c>
      <c r="R167" s="12">
        <v>48.160238987946016</v>
      </c>
      <c r="S167" s="12">
        <v>45.300684071792141</v>
      </c>
      <c r="T167" s="12">
        <v>50.605847948246215</v>
      </c>
      <c r="U167" s="12">
        <v>88.51294398643337</v>
      </c>
    </row>
    <row r="168" spans="1:21" x14ac:dyDescent="0.2">
      <c r="A168" s="12" t="s">
        <v>23</v>
      </c>
      <c r="B168" s="12" t="s">
        <v>24</v>
      </c>
      <c r="C168" s="11">
        <v>84.983892142118179</v>
      </c>
      <c r="D168" s="3">
        <v>1</v>
      </c>
      <c r="E168" s="12">
        <v>99.432476016919907</v>
      </c>
      <c r="F168" s="12">
        <v>73.14972541127139</v>
      </c>
      <c r="G168" s="12">
        <v>96.666461138248607</v>
      </c>
      <c r="H168" s="12">
        <v>94.986285895512793</v>
      </c>
      <c r="I168" s="12">
        <v>90.048162089179584</v>
      </c>
      <c r="J168" s="12">
        <v>92.56355205437842</v>
      </c>
      <c r="K168" s="12">
        <v>97.667809804448936</v>
      </c>
      <c r="L168" s="12">
        <v>86.282141865986802</v>
      </c>
      <c r="M168" s="12">
        <v>89.803563554757915</v>
      </c>
      <c r="N168" s="12">
        <v>100</v>
      </c>
      <c r="O168" s="12">
        <v>89.935064935064929</v>
      </c>
      <c r="P168" s="12">
        <v>56.777723053179322</v>
      </c>
      <c r="Q168" s="12">
        <v>84.940727986324788</v>
      </c>
      <c r="R168" s="12">
        <v>54.544542964259385</v>
      </c>
      <c r="S168" s="12">
        <v>61.278133772190834</v>
      </c>
      <c r="T168" s="12">
        <v>80.293806001979448</v>
      </c>
      <c r="U168" s="12">
        <v>96.355989872305869</v>
      </c>
    </row>
    <row r="169" spans="1:21" x14ac:dyDescent="0.2">
      <c r="A169" s="12" t="s">
        <v>49</v>
      </c>
      <c r="B169" s="12" t="s">
        <v>50</v>
      </c>
      <c r="C169" s="11">
        <v>80.092852744097428</v>
      </c>
      <c r="D169" s="3">
        <v>7</v>
      </c>
      <c r="E169" s="12">
        <v>99.968073828226565</v>
      </c>
      <c r="F169" s="12">
        <v>71.963750825575232</v>
      </c>
      <c r="G169" s="12">
        <v>96.734021190763642</v>
      </c>
      <c r="H169" s="12">
        <v>93.009636121630876</v>
      </c>
      <c r="I169" s="12">
        <v>82.845827224909314</v>
      </c>
      <c r="J169" s="12">
        <v>93.584446815187505</v>
      </c>
      <c r="K169" s="12">
        <v>94.164527262961272</v>
      </c>
      <c r="L169" s="12">
        <v>88.782537682028916</v>
      </c>
      <c r="M169" s="12">
        <v>92.829335710586889</v>
      </c>
      <c r="N169" s="12">
        <v>80.131387827641305</v>
      </c>
      <c r="O169" s="12">
        <v>97.277904324659232</v>
      </c>
      <c r="P169" s="12">
        <v>36.979515633524819</v>
      </c>
      <c r="Q169" s="12">
        <v>87.422621307524139</v>
      </c>
      <c r="R169" s="12">
        <v>52.397336317923852</v>
      </c>
      <c r="S169" s="12">
        <v>56.172216138824616</v>
      </c>
      <c r="T169" s="12">
        <v>85.914660230180317</v>
      </c>
      <c r="U169" s="12">
        <v>51.400698207507752</v>
      </c>
    </row>
    <row r="170" spans="1:21" x14ac:dyDescent="0.2">
      <c r="A170" s="12" t="s">
        <v>279</v>
      </c>
      <c r="B170" s="12" t="s">
        <v>280</v>
      </c>
      <c r="C170" s="11">
        <v>55.022254403231955</v>
      </c>
      <c r="D170" s="3">
        <v>124</v>
      </c>
      <c r="E170" s="12">
        <v>94.996725088598154</v>
      </c>
      <c r="F170" s="12">
        <v>26.661474341250415</v>
      </c>
      <c r="G170" s="12">
        <v>64.022255738531655</v>
      </c>
      <c r="H170" s="12">
        <v>44.015070029980819</v>
      </c>
      <c r="I170" s="12">
        <v>42.615862170665196</v>
      </c>
      <c r="J170" s="12">
        <v>67.022551753207921</v>
      </c>
      <c r="K170" s="12">
        <v>82.847770901211263</v>
      </c>
      <c r="L170" s="12">
        <v>19.631340621871356</v>
      </c>
      <c r="M170" s="12">
        <v>15.261260428061556</v>
      </c>
      <c r="N170" s="12">
        <v>62.484379277144349</v>
      </c>
      <c r="O170" s="12">
        <v>48.632797253017351</v>
      </c>
      <c r="P170" s="12">
        <v>76.166444032126137</v>
      </c>
      <c r="Q170" s="12">
        <v>89.461254690375895</v>
      </c>
      <c r="R170" s="12">
        <v>39.547703600768571</v>
      </c>
      <c r="S170" s="12">
        <v>40.768628256796738</v>
      </c>
      <c r="T170" s="12">
        <v>59.822832969986948</v>
      </c>
      <c r="U170" s="12">
        <v>61.419973701348816</v>
      </c>
    </row>
    <row r="171" spans="1:21" x14ac:dyDescent="0.2">
      <c r="A171" s="12" t="s">
        <v>189</v>
      </c>
      <c r="B171" s="12" t="s">
        <v>190</v>
      </c>
      <c r="C171" s="11">
        <v>67.181152106314428</v>
      </c>
      <c r="D171" s="3">
        <v>73</v>
      </c>
      <c r="E171" s="12">
        <v>97.457185142442057</v>
      </c>
      <c r="F171" s="12">
        <v>39.82293135711312</v>
      </c>
      <c r="G171" s="12">
        <v>67.999403368189249</v>
      </c>
      <c r="H171" s="12">
        <v>89.574386952934404</v>
      </c>
      <c r="I171" s="12">
        <v>55.055496024821267</v>
      </c>
      <c r="J171" s="12">
        <v>74.982479277683893</v>
      </c>
      <c r="K171" s="12">
        <v>87.814063976958437</v>
      </c>
      <c r="L171" s="12">
        <v>55.252233362977606</v>
      </c>
      <c r="M171" s="12">
        <v>14.928807894504994</v>
      </c>
      <c r="N171" s="12">
        <v>68.044653976910837</v>
      </c>
      <c r="O171" s="12">
        <v>77.868190893226981</v>
      </c>
      <c r="P171" s="12">
        <v>80.894644389516458</v>
      </c>
      <c r="Q171" s="12">
        <v>76.249232844899339</v>
      </c>
      <c r="R171" s="12">
        <v>48.422883381021848</v>
      </c>
      <c r="S171" s="12">
        <v>68.216099975732291</v>
      </c>
      <c r="T171" s="12">
        <v>72.516715927410203</v>
      </c>
      <c r="U171" s="12">
        <v>66.980177061002451</v>
      </c>
    </row>
    <row r="172" spans="1:21" x14ac:dyDescent="0.2">
      <c r="A172" s="12" t="s">
        <v>287</v>
      </c>
      <c r="B172" s="12" t="s">
        <v>288</v>
      </c>
      <c r="C172" s="11">
        <v>55.147615617828535</v>
      </c>
      <c r="D172" s="3">
        <v>123</v>
      </c>
      <c r="E172" s="12">
        <v>62.988199041726617</v>
      </c>
      <c r="F172" s="12">
        <v>38.674845076963784</v>
      </c>
      <c r="G172" s="12">
        <v>47.058238035149543</v>
      </c>
      <c r="H172" s="12">
        <v>53.46991639477833</v>
      </c>
      <c r="I172" s="12">
        <v>74.461905018033647</v>
      </c>
      <c r="J172" s="12">
        <v>57.754171267695511</v>
      </c>
      <c r="K172" s="12">
        <v>16.34937315612617</v>
      </c>
      <c r="L172" s="12">
        <v>61.603996429220651</v>
      </c>
      <c r="M172" s="12">
        <v>16.611743774943314</v>
      </c>
      <c r="N172" s="12">
        <v>60.266455680777767</v>
      </c>
      <c r="O172" s="12">
        <v>64.002789748826544</v>
      </c>
      <c r="P172" s="12">
        <v>79.09117386086146</v>
      </c>
      <c r="Q172" s="12">
        <v>89.012218936988859</v>
      </c>
      <c r="R172" s="12">
        <v>56.521837451545686</v>
      </c>
      <c r="S172" s="12">
        <v>51.824195170006625</v>
      </c>
      <c r="T172" s="12">
        <v>54.084493751535526</v>
      </c>
      <c r="U172" s="12">
        <v>53.733912707905063</v>
      </c>
    </row>
    <row r="173" spans="1:21" x14ac:dyDescent="0.2">
      <c r="A173" s="12" t="s">
        <v>105</v>
      </c>
      <c r="B173" s="12" t="s">
        <v>106</v>
      </c>
      <c r="C173" s="11">
        <v>69.237500670295347</v>
      </c>
      <c r="D173" s="3">
        <v>59</v>
      </c>
      <c r="E173" s="12">
        <v>99.999998992831479</v>
      </c>
      <c r="F173" s="12">
        <v>55.288355355552675</v>
      </c>
      <c r="G173" s="12">
        <v>76.665438424851615</v>
      </c>
      <c r="H173" s="12">
        <v>75.054682272876832</v>
      </c>
      <c r="I173" s="12">
        <v>65.322924376799421</v>
      </c>
      <c r="J173" s="12">
        <v>94.835501189476673</v>
      </c>
      <c r="K173" s="12">
        <v>77.018789946842261</v>
      </c>
      <c r="L173" s="12">
        <v>75.120183760570882</v>
      </c>
      <c r="M173" s="12">
        <v>42.66271354699434</v>
      </c>
      <c r="N173" s="12">
        <v>59.00249877258301</v>
      </c>
      <c r="O173" s="12">
        <v>79.17945889087396</v>
      </c>
      <c r="P173" s="12">
        <v>70.500714328330801</v>
      </c>
      <c r="Q173" s="12">
        <v>79.762762969578446</v>
      </c>
      <c r="R173" s="12">
        <v>49.840487286665962</v>
      </c>
      <c r="S173" s="12">
        <v>61.171987657222246</v>
      </c>
      <c r="T173" s="12">
        <v>59.449955456077468</v>
      </c>
      <c r="U173" s="12">
        <v>56.16105816689268</v>
      </c>
    </row>
    <row r="174" spans="1:21" x14ac:dyDescent="0.2">
      <c r="A174" s="12" t="s">
        <v>395</v>
      </c>
      <c r="B174" s="12" t="s">
        <v>396</v>
      </c>
    </row>
    <row r="175" spans="1:21" x14ac:dyDescent="0.2">
      <c r="A175" s="12" t="s">
        <v>291</v>
      </c>
      <c r="B175" s="12" t="s">
        <v>292</v>
      </c>
      <c r="C175" s="11">
        <v>51.999814324524571</v>
      </c>
      <c r="D175" s="3">
        <v>132</v>
      </c>
      <c r="E175" s="12">
        <v>48.159914246156987</v>
      </c>
      <c r="F175" s="12">
        <v>48.168837603938243</v>
      </c>
      <c r="G175" s="12">
        <v>46.530795478037696</v>
      </c>
      <c r="H175" s="12">
        <v>53.236532770485532</v>
      </c>
      <c r="I175" s="12">
        <v>43.325210879292825</v>
      </c>
      <c r="J175" s="12">
        <v>58.460371703378186</v>
      </c>
      <c r="K175" s="12">
        <v>14.878828823696756</v>
      </c>
      <c r="L175" s="12">
        <v>59.067909872419165</v>
      </c>
      <c r="M175" s="12">
        <v>8.1981493753246539</v>
      </c>
      <c r="N175" s="12">
        <v>39.65293815603782</v>
      </c>
      <c r="O175" s="12">
        <v>46.550258802509838</v>
      </c>
      <c r="P175" s="12">
        <v>82.434163224514776</v>
      </c>
      <c r="Q175" s="12">
        <v>88.249160213448278</v>
      </c>
      <c r="R175" s="12">
        <v>38.080555266455669</v>
      </c>
      <c r="S175" s="12">
        <v>79.596797191729962</v>
      </c>
      <c r="T175" s="12">
        <v>61.8729246139564</v>
      </c>
      <c r="U175" s="12">
        <v>67.533495295534905</v>
      </c>
    </row>
    <row r="176" spans="1:21" x14ac:dyDescent="0.2">
      <c r="A176" s="12" t="s">
        <v>397</v>
      </c>
      <c r="B176" s="12" t="s">
        <v>398</v>
      </c>
    </row>
    <row r="177" spans="1:21" x14ac:dyDescent="0.2">
      <c r="A177" s="12" t="s">
        <v>247</v>
      </c>
      <c r="B177" s="12" t="s">
        <v>248</v>
      </c>
      <c r="C177" s="11">
        <v>67.513310695566531</v>
      </c>
      <c r="D177" s="3">
        <v>70</v>
      </c>
      <c r="E177" s="12">
        <v>99.664249039616521</v>
      </c>
      <c r="F177" s="12">
        <v>51.313291248115185</v>
      </c>
      <c r="G177" s="12">
        <v>77.091798039596668</v>
      </c>
      <c r="H177" s="12">
        <v>84.096002566459461</v>
      </c>
      <c r="I177" s="12">
        <v>72.117433862470506</v>
      </c>
      <c r="J177" s="12">
        <v>87.083740438503526</v>
      </c>
      <c r="K177" s="12">
        <v>76.408932546116247</v>
      </c>
      <c r="L177" s="12">
        <v>75.978609493113822</v>
      </c>
      <c r="M177" s="12">
        <v>29.231515841403461</v>
      </c>
      <c r="N177" s="12">
        <v>36.501007236918774</v>
      </c>
      <c r="O177" s="12">
        <v>73.520512365100828</v>
      </c>
      <c r="P177" s="12">
        <v>68.723048873680682</v>
      </c>
      <c r="Q177" s="12">
        <v>61.663142162805507</v>
      </c>
      <c r="R177" s="12">
        <v>45.513070582762801</v>
      </c>
      <c r="S177" s="12">
        <v>58.908349120650598</v>
      </c>
      <c r="T177" s="12">
        <v>49.911578407316703</v>
      </c>
      <c r="U177" s="12">
        <v>100</v>
      </c>
    </row>
    <row r="178" spans="1:21" x14ac:dyDescent="0.2">
      <c r="A178" s="12" t="s">
        <v>135</v>
      </c>
      <c r="B178" s="12" t="s">
        <v>136</v>
      </c>
      <c r="C178" s="11">
        <v>66.152400264444736</v>
      </c>
      <c r="D178" s="3">
        <v>78</v>
      </c>
      <c r="E178" s="12">
        <v>99.477377237081299</v>
      </c>
      <c r="F178" s="12">
        <v>50.095401888287576</v>
      </c>
      <c r="G178" s="12">
        <v>76.278246569124732</v>
      </c>
      <c r="H178" s="12">
        <v>77.884204959314104</v>
      </c>
      <c r="I178" s="12">
        <v>59.818244915139871</v>
      </c>
      <c r="J178" s="12">
        <v>45.381859217777297</v>
      </c>
      <c r="K178" s="12">
        <v>85.922620913516639</v>
      </c>
      <c r="L178" s="12">
        <v>46.234894852434898</v>
      </c>
      <c r="M178" s="12">
        <v>32.837751352213729</v>
      </c>
      <c r="N178" s="12">
        <v>61.320730077419441</v>
      </c>
      <c r="O178" s="12">
        <v>61.857163551485655</v>
      </c>
      <c r="P178" s="12">
        <v>79.559474978597493</v>
      </c>
      <c r="Q178" s="12">
        <v>85.662418562503831</v>
      </c>
      <c r="R178" s="12">
        <v>55.145000917916548</v>
      </c>
      <c r="S178" s="12">
        <v>65.573531736110709</v>
      </c>
      <c r="T178" s="12">
        <v>67.786376017512538</v>
      </c>
      <c r="U178" s="12">
        <v>73.755506749124166</v>
      </c>
    </row>
    <row r="179" spans="1:21" x14ac:dyDescent="0.2">
      <c r="A179" s="12" t="s">
        <v>436</v>
      </c>
      <c r="B179" s="12" t="s">
        <v>164</v>
      </c>
      <c r="C179" s="11">
        <v>65.959364748188577</v>
      </c>
      <c r="D179" s="3">
        <v>79</v>
      </c>
      <c r="E179" s="12">
        <v>99.988763961302254</v>
      </c>
      <c r="F179" s="12">
        <v>56.088231518366172</v>
      </c>
      <c r="G179" s="12">
        <v>84.439807164764616</v>
      </c>
      <c r="H179" s="12">
        <v>79.660461577754972</v>
      </c>
      <c r="I179" s="12">
        <v>53.284112527635045</v>
      </c>
      <c r="J179" s="12">
        <v>67.658159871562034</v>
      </c>
      <c r="K179" s="12">
        <v>80.841264188904844</v>
      </c>
      <c r="L179" s="12">
        <v>63.01628155341654</v>
      </c>
      <c r="M179" s="12">
        <v>50.416492994560706</v>
      </c>
      <c r="N179" s="12">
        <v>41.355147301712428</v>
      </c>
      <c r="O179" s="12">
        <v>73.225780272583862</v>
      </c>
      <c r="P179" s="12">
        <v>71.096496452771177</v>
      </c>
      <c r="Q179" s="12">
        <v>86.782787104961784</v>
      </c>
      <c r="R179" s="12">
        <v>36.887335145777691</v>
      </c>
      <c r="S179" s="12">
        <v>49.256515683993555</v>
      </c>
      <c r="T179" s="12">
        <v>63.798259835096843</v>
      </c>
      <c r="U179" s="12">
        <v>63.513303564041244</v>
      </c>
    </row>
    <row r="180" spans="1:21" x14ac:dyDescent="0.2">
      <c r="A180" s="12" t="s">
        <v>201</v>
      </c>
      <c r="B180" s="12" t="s">
        <v>202</v>
      </c>
      <c r="C180" s="11">
        <v>59.468272276053149</v>
      </c>
      <c r="D180" s="3">
        <v>110</v>
      </c>
      <c r="E180" s="12">
        <v>99.964769298363265</v>
      </c>
      <c r="F180" s="12">
        <v>52.361173471040217</v>
      </c>
      <c r="G180" s="12">
        <v>67.280385399848612</v>
      </c>
      <c r="H180" s="12">
        <v>69.332132309488514</v>
      </c>
      <c r="I180" s="12">
        <v>61.896103409260938</v>
      </c>
      <c r="J180" s="12">
        <v>60.13615635761559</v>
      </c>
      <c r="K180" s="12">
        <v>67.319936879940087</v>
      </c>
      <c r="L180" s="12">
        <v>73.863695589034364</v>
      </c>
      <c r="M180" s="12">
        <v>10.183651571462494</v>
      </c>
      <c r="N180" s="12">
        <v>65.436978001358511</v>
      </c>
      <c r="O180" s="12">
        <v>68.786559748022981</v>
      </c>
      <c r="P180" s="12">
        <v>76.203912789570694</v>
      </c>
      <c r="Q180" s="12">
        <v>66.366101079718462</v>
      </c>
      <c r="R180" s="12">
        <v>48.422883381021848</v>
      </c>
      <c r="S180" s="12">
        <v>55.516231167692162</v>
      </c>
      <c r="T180" s="12">
        <v>67.889958239464846</v>
      </c>
      <c r="U180" s="12">
        <v>0</v>
      </c>
    </row>
    <row r="181" spans="1:21" x14ac:dyDescent="0.2">
      <c r="A181" s="12" t="s">
        <v>399</v>
      </c>
      <c r="B181" s="12" t="s">
        <v>400</v>
      </c>
    </row>
    <row r="182" spans="1:21" x14ac:dyDescent="0.2">
      <c r="A182" s="12" t="s">
        <v>301</v>
      </c>
      <c r="B182" s="12" t="s">
        <v>302</v>
      </c>
      <c r="C182" s="11">
        <v>54.925674074496634</v>
      </c>
      <c r="D182" s="3">
        <v>125</v>
      </c>
      <c r="E182" s="12">
        <v>68.120868901330468</v>
      </c>
      <c r="F182" s="12">
        <v>40.166899351124393</v>
      </c>
      <c r="G182" s="12">
        <v>46.703326760421717</v>
      </c>
      <c r="H182" s="12">
        <v>60.405666907112099</v>
      </c>
      <c r="I182" s="12">
        <v>60.648849909341457</v>
      </c>
      <c r="J182" s="12">
        <v>68.364572389777095</v>
      </c>
      <c r="K182" s="12">
        <v>6.1960401142192003</v>
      </c>
      <c r="L182" s="12">
        <v>61.464272520967263</v>
      </c>
      <c r="M182" s="12">
        <v>25.551881386421382</v>
      </c>
      <c r="N182" s="12">
        <v>62.12393637227521</v>
      </c>
      <c r="O182" s="12">
        <v>40.658108955182968</v>
      </c>
      <c r="P182" s="12">
        <v>79.82434193936335</v>
      </c>
      <c r="Q182" s="12">
        <v>92.954434911770704</v>
      </c>
      <c r="R182" s="12">
        <v>48.160238987946016</v>
      </c>
      <c r="S182" s="12">
        <v>64.951089189488016</v>
      </c>
      <c r="T182" s="12">
        <v>51.034368728526843</v>
      </c>
      <c r="U182" s="12">
        <v>56.407561941174492</v>
      </c>
    </row>
    <row r="183" spans="1:21" x14ac:dyDescent="0.2">
      <c r="A183" s="12" t="s">
        <v>95</v>
      </c>
      <c r="B183" s="12" t="s">
        <v>96</v>
      </c>
      <c r="C183" s="11">
        <v>72.33752296959743</v>
      </c>
      <c r="D183" s="3">
        <v>39</v>
      </c>
      <c r="E183" s="12">
        <v>99.910591685824045</v>
      </c>
      <c r="F183" s="12">
        <v>69.023636356676647</v>
      </c>
      <c r="G183" s="12">
        <v>69.324391874346361</v>
      </c>
      <c r="H183" s="12">
        <v>88.582051065616938</v>
      </c>
      <c r="I183" s="12">
        <v>68.841727295823276</v>
      </c>
      <c r="J183" s="12">
        <v>96.564909229569011</v>
      </c>
      <c r="K183" s="12">
        <v>86.680556403878541</v>
      </c>
      <c r="L183" s="12">
        <v>62.571603943869619</v>
      </c>
      <c r="M183" s="12">
        <v>25.909140497353757</v>
      </c>
      <c r="N183" s="12">
        <v>99.159076383136579</v>
      </c>
      <c r="O183" s="12">
        <v>78.864634997426961</v>
      </c>
      <c r="P183" s="12">
        <v>69.919960883449718</v>
      </c>
      <c r="Q183" s="12">
        <v>92.157247406797538</v>
      </c>
      <c r="R183" s="12">
        <v>44.186712637468467</v>
      </c>
      <c r="S183" s="12">
        <v>55.249150022719299</v>
      </c>
      <c r="T183" s="12">
        <v>51.747419007441806</v>
      </c>
      <c r="U183" s="12">
        <v>71.045080791757727</v>
      </c>
    </row>
    <row r="184" spans="1:21" x14ac:dyDescent="0.2">
      <c r="A184" s="12" t="s">
        <v>177</v>
      </c>
      <c r="B184" s="12" t="s">
        <v>178</v>
      </c>
      <c r="C184" s="11">
        <v>69.215862569971193</v>
      </c>
      <c r="D184" s="3">
        <v>60</v>
      </c>
      <c r="E184" s="12">
        <v>99.971221923786246</v>
      </c>
      <c r="F184" s="12">
        <v>65.349320634892891</v>
      </c>
      <c r="G184" s="12">
        <v>87.554733490994266</v>
      </c>
      <c r="H184" s="12">
        <v>81.61752968404015</v>
      </c>
      <c r="I184" s="12">
        <v>60.45272707161952</v>
      </c>
      <c r="J184" s="12">
        <v>32.214923483833516</v>
      </c>
      <c r="K184" s="12">
        <v>84.916631751064287</v>
      </c>
      <c r="L184" s="12">
        <v>86.361460736086968</v>
      </c>
      <c r="M184" s="12">
        <v>64.74829830023414</v>
      </c>
      <c r="N184" s="12">
        <v>62.484379277144349</v>
      </c>
      <c r="O184" s="12">
        <v>66.60365234289128</v>
      </c>
      <c r="P184" s="12">
        <v>44.081104874752903</v>
      </c>
      <c r="Q184" s="12">
        <v>31.605164795998895</v>
      </c>
      <c r="R184" s="12">
        <v>57.70784812512963</v>
      </c>
      <c r="S184" s="12">
        <v>58.167739424630774</v>
      </c>
      <c r="T184" s="12">
        <v>92.832927772410542</v>
      </c>
      <c r="U184" s="12">
        <v>100</v>
      </c>
    </row>
    <row r="185" spans="1:21" x14ac:dyDescent="0.2">
      <c r="A185" s="12" t="s">
        <v>41</v>
      </c>
      <c r="B185" s="12" t="s">
        <v>42</v>
      </c>
      <c r="C185" s="11">
        <v>78.668174088480811</v>
      </c>
      <c r="D185" s="3">
        <v>14</v>
      </c>
      <c r="E185" s="12">
        <v>99.871062286570492</v>
      </c>
      <c r="F185" s="12">
        <v>74.019875040069294</v>
      </c>
      <c r="G185" s="12">
        <v>93.269347295502172</v>
      </c>
      <c r="H185" s="12">
        <v>99.937223928079362</v>
      </c>
      <c r="I185" s="12">
        <v>82.934335700700103</v>
      </c>
      <c r="J185" s="12">
        <v>92.634806807028596</v>
      </c>
      <c r="K185" s="12">
        <v>87.724655721923568</v>
      </c>
      <c r="L185" s="12">
        <v>88.500815197634438</v>
      </c>
      <c r="M185" s="12">
        <v>80.956097924850312</v>
      </c>
      <c r="N185" s="12">
        <v>71.519338752326234</v>
      </c>
      <c r="O185" s="12">
        <v>91.19826356598378</v>
      </c>
      <c r="P185" s="12">
        <v>52.204201644107719</v>
      </c>
      <c r="Q185" s="12">
        <v>80.941489072274464</v>
      </c>
      <c r="R185" s="12">
        <v>53.925050890166254</v>
      </c>
      <c r="S185" s="12">
        <v>59.656832502251689</v>
      </c>
      <c r="T185" s="12">
        <v>85.944200654467053</v>
      </c>
      <c r="U185" s="12">
        <v>42.121362520238307</v>
      </c>
    </row>
    <row r="186" spans="1:21" x14ac:dyDescent="0.2">
      <c r="A186" s="12" t="s">
        <v>97</v>
      </c>
      <c r="B186" s="12" t="s">
        <v>98</v>
      </c>
      <c r="C186" s="11">
        <v>73.049647197599541</v>
      </c>
      <c r="D186" s="3">
        <v>35</v>
      </c>
      <c r="E186" s="12">
        <v>99.277324985408768</v>
      </c>
      <c r="F186" s="12">
        <v>75.473591686819418</v>
      </c>
      <c r="G186" s="12">
        <v>89.647381415822679</v>
      </c>
      <c r="H186" s="12">
        <v>92.149642085055746</v>
      </c>
      <c r="I186" s="12">
        <v>75.943023245191355</v>
      </c>
      <c r="J186" s="12">
        <v>90.649624105516125</v>
      </c>
      <c r="K186" s="12">
        <v>87.777389501767416</v>
      </c>
      <c r="L186" s="12">
        <v>87.919033997577969</v>
      </c>
      <c r="M186" s="12">
        <v>85.122187881238034</v>
      </c>
      <c r="N186" s="12">
        <v>47.775683248129234</v>
      </c>
      <c r="O186" s="12">
        <v>86.752988499700976</v>
      </c>
      <c r="P186" s="12">
        <v>36.906411410357151</v>
      </c>
      <c r="Q186" s="12">
        <v>65.318254204637853</v>
      </c>
      <c r="R186" s="12">
        <v>49.667724278805856</v>
      </c>
      <c r="S186" s="12">
        <v>44.220467662523149</v>
      </c>
      <c r="T186" s="12">
        <v>70.096477967955039</v>
      </c>
      <c r="U186" s="12">
        <v>57.146796182685755</v>
      </c>
    </row>
    <row r="187" spans="1:21" x14ac:dyDescent="0.2">
      <c r="A187" s="12" t="s">
        <v>83</v>
      </c>
      <c r="B187" s="12" t="s">
        <v>84</v>
      </c>
      <c r="C187" s="11">
        <v>70.416111882736814</v>
      </c>
      <c r="D187" s="3">
        <v>49</v>
      </c>
      <c r="E187" s="12">
        <v>99.978239483131205</v>
      </c>
      <c r="F187" s="12">
        <v>65.900990593655465</v>
      </c>
      <c r="G187" s="12">
        <v>82.81893891245673</v>
      </c>
      <c r="H187" s="12">
        <v>83.162467794722417</v>
      </c>
      <c r="I187" s="12">
        <v>74.39445392039292</v>
      </c>
      <c r="J187" s="12">
        <v>85.103044609629706</v>
      </c>
      <c r="K187" s="12">
        <v>94.890833596636909</v>
      </c>
      <c r="L187" s="12">
        <v>70.50496252396988</v>
      </c>
      <c r="M187" s="12">
        <v>40.196947651180608</v>
      </c>
      <c r="N187" s="12">
        <v>50.24240887246588</v>
      </c>
      <c r="O187" s="12">
        <v>84.506627644943237</v>
      </c>
      <c r="P187" s="12">
        <v>63.203473420832019</v>
      </c>
      <c r="Q187" s="12">
        <v>83.730076975251421</v>
      </c>
      <c r="R187" s="12">
        <v>45.841995974140644</v>
      </c>
      <c r="S187" s="12">
        <v>31.67716917546479</v>
      </c>
      <c r="T187" s="12">
        <v>65.917733790341387</v>
      </c>
      <c r="U187" s="12">
        <v>75.003537067310916</v>
      </c>
    </row>
    <row r="188" spans="1:21" x14ac:dyDescent="0.2">
      <c r="A188" s="12" t="s">
        <v>157</v>
      </c>
      <c r="B188" s="12" t="s">
        <v>158</v>
      </c>
      <c r="C188" s="11">
        <v>70.291985225725469</v>
      </c>
      <c r="D188" s="3">
        <v>52</v>
      </c>
      <c r="E188" s="12">
        <v>92.597625129851366</v>
      </c>
      <c r="F188" s="12">
        <v>65.082190491000901</v>
      </c>
      <c r="G188" s="12">
        <v>76.836468317176326</v>
      </c>
      <c r="H188" s="12">
        <v>93.469233279286712</v>
      </c>
      <c r="I188" s="12">
        <v>67.816529066975818</v>
      </c>
      <c r="J188" s="12">
        <v>66.592195767226542</v>
      </c>
      <c r="K188" s="12">
        <v>79.093211086427132</v>
      </c>
      <c r="L188" s="12">
        <v>46.568598398576185</v>
      </c>
      <c r="M188" s="12">
        <v>21.921341127116165</v>
      </c>
      <c r="N188" s="12">
        <v>65.436978001358511</v>
      </c>
      <c r="O188" s="12">
        <v>86.216174043783553</v>
      </c>
      <c r="P188" s="12">
        <v>77.113591798544618</v>
      </c>
      <c r="Q188" s="12">
        <v>91.491623123364505</v>
      </c>
      <c r="R188" s="12">
        <v>48.422883381021848</v>
      </c>
      <c r="S188" s="12">
        <v>61.876790707521664</v>
      </c>
      <c r="T188" s="12">
        <v>77.2286374147305</v>
      </c>
      <c r="U188" s="12">
        <v>77.199677703370583</v>
      </c>
    </row>
    <row r="189" spans="1:21" x14ac:dyDescent="0.2">
      <c r="A189" s="12" t="s">
        <v>403</v>
      </c>
      <c r="B189" s="12" t="s">
        <v>404</v>
      </c>
    </row>
    <row r="190" spans="1:21" x14ac:dyDescent="0.2">
      <c r="A190" s="12" t="s">
        <v>253</v>
      </c>
      <c r="B190" s="12" t="s">
        <v>254</v>
      </c>
      <c r="C190" s="11">
        <v>64.000581112520365</v>
      </c>
      <c r="D190" s="3">
        <v>93</v>
      </c>
      <c r="E190" s="12">
        <v>71.822595398676214</v>
      </c>
      <c r="F190" s="12">
        <v>48.819462036341598</v>
      </c>
      <c r="G190" s="12">
        <v>70.721208958498053</v>
      </c>
      <c r="H190" s="12">
        <v>77.894350700525436</v>
      </c>
      <c r="I190" s="12">
        <v>70.815871091133573</v>
      </c>
      <c r="J190" s="12">
        <v>96.023942833928018</v>
      </c>
      <c r="K190" s="12">
        <v>86.687342680360373</v>
      </c>
      <c r="L190" s="12">
        <v>63.813560551029816</v>
      </c>
      <c r="M190" s="12">
        <v>27.490567570497536</v>
      </c>
      <c r="N190" s="12">
        <v>26.052388614521799</v>
      </c>
      <c r="O190" s="12">
        <v>59.842047840347504</v>
      </c>
      <c r="P190" s="12">
        <v>68.817519696344363</v>
      </c>
      <c r="Q190" s="12">
        <v>85.555950622740028</v>
      </c>
      <c r="R190" s="12">
        <v>45.665164372661032</v>
      </c>
      <c r="S190" s="12">
        <v>76.418224735088927</v>
      </c>
      <c r="T190" s="12">
        <v>37.272517925362187</v>
      </c>
      <c r="U190" s="12">
        <v>74.297163284790003</v>
      </c>
    </row>
    <row r="191" spans="1:21" x14ac:dyDescent="0.2">
      <c r="A191" s="12" t="s">
        <v>129</v>
      </c>
      <c r="B191" s="12" t="s">
        <v>130</v>
      </c>
      <c r="C191" s="11">
        <v>69.669595490014586</v>
      </c>
      <c r="D191" s="3">
        <v>57</v>
      </c>
      <c r="E191" s="12">
        <v>99.214963519663883</v>
      </c>
      <c r="F191" s="12">
        <v>66.327075989004285</v>
      </c>
      <c r="G191" s="12">
        <v>74.602765426777651</v>
      </c>
      <c r="H191" s="12">
        <v>80.736082978505991</v>
      </c>
      <c r="I191" s="12">
        <v>79.821176026476692</v>
      </c>
      <c r="J191" s="12">
        <v>88.429835769274916</v>
      </c>
      <c r="K191" s="12">
        <v>71.527813420686854</v>
      </c>
      <c r="L191" s="12">
        <v>73.072434977425743</v>
      </c>
      <c r="M191" s="12">
        <v>25.426478697673648</v>
      </c>
      <c r="N191" s="12">
        <v>78.402901183622845</v>
      </c>
      <c r="O191" s="12">
        <v>68.856479542765584</v>
      </c>
      <c r="P191" s="12">
        <v>72.832129770012699</v>
      </c>
      <c r="Q191" s="12">
        <v>79.423458182747765</v>
      </c>
      <c r="R191" s="12">
        <v>47.339881800296318</v>
      </c>
      <c r="S191" s="12">
        <v>44.922936905759556</v>
      </c>
      <c r="T191" s="12">
        <v>63.356970711215837</v>
      </c>
      <c r="U191" s="12">
        <v>70.089738428338023</v>
      </c>
    </row>
    <row r="192" spans="1:21" x14ac:dyDescent="0.2">
      <c r="A192" s="12" t="s">
        <v>345</v>
      </c>
      <c r="B192" s="12" t="s">
        <v>346</v>
      </c>
      <c r="C192" s="11">
        <v>45.657507620114885</v>
      </c>
      <c r="D192" s="3">
        <v>152</v>
      </c>
      <c r="E192" s="12">
        <v>33.737578277776521</v>
      </c>
      <c r="F192" s="12">
        <v>21.162074918714797</v>
      </c>
      <c r="G192" s="12">
        <v>46.685988789641442</v>
      </c>
      <c r="H192" s="12">
        <v>34.759504602354795</v>
      </c>
      <c r="I192" s="12">
        <v>15.011826201716655</v>
      </c>
      <c r="J192" s="12">
        <v>41.833045977356633</v>
      </c>
      <c r="K192" s="12">
        <v>54.552034190100109</v>
      </c>
      <c r="L192" s="12">
        <v>11.95048823227536</v>
      </c>
      <c r="M192" s="12">
        <v>6.7509660516411047</v>
      </c>
      <c r="N192" s="12">
        <v>62.484379277144349</v>
      </c>
      <c r="O192" s="12">
        <v>49.181618474807408</v>
      </c>
      <c r="P192" s="12">
        <v>71.947320054079483</v>
      </c>
      <c r="Q192" s="12">
        <v>95.930440096236168</v>
      </c>
      <c r="R192" s="12">
        <v>59.930811282830668</v>
      </c>
      <c r="S192" s="12">
        <v>60.048814482402406</v>
      </c>
      <c r="T192" s="12">
        <v>43.695795157154663</v>
      </c>
      <c r="U192" s="12">
        <v>66.514943475720528</v>
      </c>
    </row>
    <row r="193" spans="1:21" x14ac:dyDescent="0.2">
      <c r="A193" s="12" t="s">
        <v>309</v>
      </c>
      <c r="B193" s="12" t="s">
        <v>310</v>
      </c>
      <c r="C193" s="11">
        <v>53.128743244939379</v>
      </c>
      <c r="D193" s="3">
        <v>129</v>
      </c>
      <c r="E193" s="12">
        <v>28.004378189300681</v>
      </c>
      <c r="F193" s="12">
        <v>34.889353753101751</v>
      </c>
      <c r="G193" s="12">
        <v>49.858549617284588</v>
      </c>
      <c r="H193" s="12">
        <v>63.857898916476877</v>
      </c>
      <c r="I193" s="12">
        <v>66.326000543115953</v>
      </c>
      <c r="J193" s="12">
        <v>64.690642015557785</v>
      </c>
      <c r="K193" s="12">
        <v>42.513403759557548</v>
      </c>
      <c r="L193" s="12">
        <v>54.446280756872994</v>
      </c>
      <c r="M193" s="12">
        <v>15.96421083138739</v>
      </c>
      <c r="N193" s="12">
        <v>45.198308549028702</v>
      </c>
      <c r="O193" s="12">
        <v>63.575872753951046</v>
      </c>
      <c r="P193" s="12">
        <v>77.667833934332776</v>
      </c>
      <c r="Q193" s="12">
        <v>84.890587964217914</v>
      </c>
      <c r="R193" s="12">
        <v>48.160238987946016</v>
      </c>
      <c r="S193" s="12">
        <v>67.780774042793297</v>
      </c>
      <c r="T193" s="12">
        <v>44.782335634035086</v>
      </c>
      <c r="U193" s="12">
        <v>50.581964915009046</v>
      </c>
    </row>
    <row r="194" spans="1:21" x14ac:dyDescent="0.2">
      <c r="A194" s="12" t="s">
        <v>295</v>
      </c>
      <c r="B194" s="12" t="s">
        <v>296</v>
      </c>
      <c r="C194" s="11">
        <v>58.760057318701428</v>
      </c>
      <c r="D194" s="3">
        <v>115</v>
      </c>
      <c r="E194" s="12">
        <v>65.056999000312487</v>
      </c>
      <c r="F194" s="12">
        <v>32.36567709885896</v>
      </c>
      <c r="G194" s="12">
        <v>47.91146508488702</v>
      </c>
      <c r="H194" s="12">
        <v>66.264141799903342</v>
      </c>
      <c r="I194" s="12">
        <v>78.744902939713697</v>
      </c>
      <c r="J194" s="12">
        <v>62.942927542212161</v>
      </c>
      <c r="K194" s="12">
        <v>39.216954073929323</v>
      </c>
      <c r="L194" s="12">
        <v>59.267320376604943</v>
      </c>
      <c r="M194" s="12">
        <v>14.784410248129889</v>
      </c>
      <c r="N194" s="12">
        <v>56.077273212298287</v>
      </c>
      <c r="O194" s="12">
        <v>75.502298412121931</v>
      </c>
      <c r="P194" s="12">
        <v>77.725664959616097</v>
      </c>
      <c r="Q194" s="12">
        <v>85.381734801753538</v>
      </c>
      <c r="R194" s="12">
        <v>48.160238987946016</v>
      </c>
      <c r="S194" s="12">
        <v>67.692470837802688</v>
      </c>
      <c r="T194" s="12">
        <v>44.640896705845691</v>
      </c>
      <c r="U194" s="12">
        <v>77.185598335988232</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U158"/>
  <sheetViews>
    <sheetView workbookViewId="0">
      <selection activeCell="D50" sqref="D50"/>
    </sheetView>
  </sheetViews>
  <sheetFormatPr defaultRowHeight="12.75" x14ac:dyDescent="0.2"/>
  <cols>
    <col min="1" max="1" width="21.140625" customWidth="1"/>
  </cols>
  <sheetData>
    <row r="1" spans="1:21" x14ac:dyDescent="0.2">
      <c r="A1" t="s">
        <v>0</v>
      </c>
      <c r="B1" t="s">
        <v>442</v>
      </c>
      <c r="C1" t="s">
        <v>443</v>
      </c>
      <c r="D1" t="s">
        <v>444</v>
      </c>
      <c r="E1" t="s">
        <v>445</v>
      </c>
      <c r="F1" t="s">
        <v>446</v>
      </c>
      <c r="G1" t="s">
        <v>447</v>
      </c>
      <c r="H1" t="s">
        <v>448</v>
      </c>
      <c r="I1" t="s">
        <v>449</v>
      </c>
      <c r="J1" t="s">
        <v>450</v>
      </c>
      <c r="K1" t="s">
        <v>451</v>
      </c>
      <c r="L1" t="s">
        <v>452</v>
      </c>
      <c r="M1" t="s">
        <v>453</v>
      </c>
      <c r="N1" t="s">
        <v>454</v>
      </c>
      <c r="O1" t="s">
        <v>455</v>
      </c>
      <c r="P1" t="s">
        <v>456</v>
      </c>
      <c r="Q1" t="s">
        <v>457</v>
      </c>
      <c r="R1" t="s">
        <v>458</v>
      </c>
      <c r="S1" t="s">
        <v>459</v>
      </c>
      <c r="T1" t="s">
        <v>460</v>
      </c>
      <c r="U1" t="s">
        <v>461</v>
      </c>
    </row>
    <row r="2" spans="1:21" x14ac:dyDescent="0.2">
      <c r="A2" t="s">
        <v>335</v>
      </c>
      <c r="B2" t="s">
        <v>336</v>
      </c>
      <c r="C2" s="11">
        <v>46.811607360839844</v>
      </c>
      <c r="D2" s="3">
        <v>150</v>
      </c>
      <c r="E2" s="11">
        <v>53.300811767578125</v>
      </c>
      <c r="F2" s="11">
        <v>38.824562072753906</v>
      </c>
      <c r="G2" s="11">
        <v>39.236930847167969</v>
      </c>
      <c r="H2" s="11">
        <v>17.361549377441406</v>
      </c>
      <c r="I2" s="11">
        <v>21.819971084594727</v>
      </c>
      <c r="J2" s="11">
        <v>43.073383331298828</v>
      </c>
      <c r="K2" s="11">
        <v>53.140701293945313</v>
      </c>
      <c r="L2" s="11">
        <v>32.215217590332031</v>
      </c>
      <c r="M2" s="11">
        <v>1.7998454570770264</v>
      </c>
      <c r="N2" s="11">
        <v>93.597755432128906</v>
      </c>
      <c r="O2" s="11">
        <v>38.731819152832031</v>
      </c>
      <c r="P2" s="11">
        <v>82.073905944824219</v>
      </c>
      <c r="Q2" s="11">
        <v>87.292320251464844</v>
      </c>
      <c r="R2" s="11" t="s">
        <v>464</v>
      </c>
      <c r="S2" s="11">
        <v>37.941802978515625</v>
      </c>
      <c r="T2" s="11">
        <v>51.607608795166016</v>
      </c>
      <c r="U2" s="11">
        <v>56.967536926269531</v>
      </c>
    </row>
    <row r="3" spans="1:21" x14ac:dyDescent="0.2">
      <c r="A3" t="s">
        <v>329</v>
      </c>
      <c r="B3" t="s">
        <v>330</v>
      </c>
      <c r="C3" s="11">
        <v>50.184246063232422</v>
      </c>
      <c r="D3" s="3">
        <v>136</v>
      </c>
      <c r="E3" s="11">
        <v>55.042190551757813</v>
      </c>
      <c r="F3" s="11">
        <v>42.7044677734375</v>
      </c>
      <c r="G3" s="11">
        <v>29.590965270996094</v>
      </c>
      <c r="H3" s="11">
        <v>46.737701416015625</v>
      </c>
      <c r="I3" s="11">
        <v>55.206375122070313</v>
      </c>
      <c r="J3" s="11">
        <v>60.073844909667969</v>
      </c>
      <c r="K3" s="11">
        <v>35.088134765625</v>
      </c>
      <c r="L3" s="11">
        <v>50.472846984863281</v>
      </c>
      <c r="M3" s="11">
        <v>9.7067327499389648</v>
      </c>
      <c r="N3" s="11">
        <v>50.839687347412109</v>
      </c>
      <c r="O3" s="11">
        <v>49.453620910644531</v>
      </c>
      <c r="P3" s="11">
        <v>80.602607727050781</v>
      </c>
      <c r="Q3" s="11">
        <v>90.844108581542969</v>
      </c>
      <c r="R3" s="11">
        <v>38.53955078125</v>
      </c>
      <c r="S3" s="11">
        <v>63.014896392822266</v>
      </c>
      <c r="T3" s="11">
        <v>41.996749877929688</v>
      </c>
      <c r="U3" s="11">
        <v>53.217720031738281</v>
      </c>
    </row>
    <row r="4" spans="1:21" x14ac:dyDescent="0.2">
      <c r="A4" t="s">
        <v>127</v>
      </c>
      <c r="B4" t="s">
        <v>128</v>
      </c>
      <c r="C4" s="11">
        <v>68.902557373046875</v>
      </c>
      <c r="D4" s="3">
        <v>63</v>
      </c>
      <c r="E4" s="11">
        <v>99.546638488769531</v>
      </c>
      <c r="F4" s="11">
        <v>39.722190856933594</v>
      </c>
      <c r="G4" s="11">
        <v>78.186607360839844</v>
      </c>
      <c r="H4" s="11">
        <v>85.180168151855469</v>
      </c>
      <c r="I4" s="11">
        <v>52.621856689453125</v>
      </c>
      <c r="J4" s="11">
        <v>92.143836975097656</v>
      </c>
      <c r="K4" s="11">
        <v>78.316665649414063</v>
      </c>
      <c r="L4" s="11">
        <v>56.898994445800781</v>
      </c>
      <c r="M4" s="11">
        <v>24.606424331665039</v>
      </c>
      <c r="N4" s="11">
        <v>90.273399353027344</v>
      </c>
      <c r="O4" s="11">
        <v>85.961433410644531</v>
      </c>
      <c r="P4" s="11">
        <v>72.7572021484375</v>
      </c>
      <c r="Q4" s="11">
        <v>68.174812316894531</v>
      </c>
      <c r="R4" s="11">
        <v>46.25323486328125</v>
      </c>
      <c r="S4" s="11">
        <v>76.145072937011719</v>
      </c>
      <c r="T4" s="11">
        <v>62.479225158691406</v>
      </c>
      <c r="U4" s="11">
        <v>62.075767517089844</v>
      </c>
    </row>
    <row r="5" spans="1:21" x14ac:dyDescent="0.2">
      <c r="A5" t="s">
        <v>177</v>
      </c>
      <c r="B5" t="s">
        <v>178</v>
      </c>
      <c r="C5" s="11">
        <v>66.0067138671875</v>
      </c>
      <c r="D5" s="3">
        <v>77</v>
      </c>
      <c r="E5" s="11">
        <v>99.443809509277344</v>
      </c>
      <c r="F5" s="11">
        <v>63.124290466308594</v>
      </c>
      <c r="G5" s="11">
        <v>87.201522827148438</v>
      </c>
      <c r="H5" s="11">
        <v>83.448814392089844</v>
      </c>
      <c r="I5" s="11">
        <v>57.533885955810547</v>
      </c>
      <c r="J5" s="11">
        <v>50.205333709716797</v>
      </c>
      <c r="K5" s="11">
        <v>82.93011474609375</v>
      </c>
      <c r="L5" s="11">
        <v>84.483169555664063</v>
      </c>
      <c r="M5" s="11">
        <v>61.827968597412109</v>
      </c>
      <c r="N5" s="11" t="s">
        <v>464</v>
      </c>
      <c r="O5" s="11">
        <v>30.731101989746094</v>
      </c>
      <c r="P5" s="11">
        <v>44.511421203613281</v>
      </c>
      <c r="Q5" s="11">
        <v>47.990856170654297</v>
      </c>
      <c r="R5" s="11">
        <v>48.017677307128906</v>
      </c>
      <c r="S5" s="11">
        <v>29.490804672241211</v>
      </c>
      <c r="T5" s="11">
        <v>85.166648864746094</v>
      </c>
      <c r="U5" s="11">
        <v>100</v>
      </c>
    </row>
    <row r="6" spans="1:21" x14ac:dyDescent="0.2">
      <c r="A6" t="s">
        <v>121</v>
      </c>
      <c r="B6" t="s">
        <v>122</v>
      </c>
      <c r="C6" s="11">
        <v>72.452278137207031</v>
      </c>
      <c r="D6" s="3">
        <v>41</v>
      </c>
      <c r="E6" s="11">
        <v>99.81622314453125</v>
      </c>
      <c r="F6" s="11">
        <v>65.332794189453125</v>
      </c>
      <c r="G6" s="11">
        <v>82.761062622070313</v>
      </c>
      <c r="H6" s="11">
        <v>88.730079650878906</v>
      </c>
      <c r="I6" s="11">
        <v>72.908355712890625</v>
      </c>
      <c r="J6" s="11">
        <v>98.4962158203125</v>
      </c>
      <c r="K6" s="11">
        <v>84.399612426757813</v>
      </c>
      <c r="L6" s="11">
        <v>71.69525146484375</v>
      </c>
      <c r="M6" s="11">
        <v>40.510196685791016</v>
      </c>
      <c r="N6" s="11">
        <v>50.982975006103516</v>
      </c>
      <c r="O6" s="11">
        <v>94.832603454589844</v>
      </c>
      <c r="P6" s="11">
        <v>69.855796813964844</v>
      </c>
      <c r="Q6" s="11">
        <v>85.57305908203125</v>
      </c>
      <c r="R6" s="11">
        <v>55.539825439453125</v>
      </c>
      <c r="S6" s="11">
        <v>52.431926727294922</v>
      </c>
      <c r="T6" s="11">
        <v>51.740390777587891</v>
      </c>
      <c r="U6" s="11">
        <v>66.082328796386719</v>
      </c>
    </row>
    <row r="7" spans="1:21" x14ac:dyDescent="0.2">
      <c r="A7" t="s">
        <v>131</v>
      </c>
      <c r="B7" t="s">
        <v>132</v>
      </c>
      <c r="C7" s="11">
        <v>71.719230651855469</v>
      </c>
      <c r="D7" s="3">
        <v>43</v>
      </c>
      <c r="E7" s="11">
        <v>97.85540771484375</v>
      </c>
      <c r="F7" s="11">
        <v>51.86444091796875</v>
      </c>
      <c r="G7" s="11">
        <v>73.739479064941406</v>
      </c>
      <c r="H7" s="11">
        <v>91.100746154785156</v>
      </c>
      <c r="I7" s="11">
        <v>54.560371398925781</v>
      </c>
      <c r="J7" s="11">
        <v>85.501747131347656</v>
      </c>
      <c r="K7" s="11">
        <v>90.297294616699219</v>
      </c>
      <c r="L7" s="11">
        <v>46.982406616210938</v>
      </c>
      <c r="M7" s="11">
        <v>26.359039306640625</v>
      </c>
      <c r="N7" s="11">
        <v>83.051528930664063</v>
      </c>
      <c r="O7" s="11">
        <v>90.590789794921875</v>
      </c>
      <c r="P7" s="11">
        <v>79.070999145507813</v>
      </c>
      <c r="Q7" s="11">
        <v>89.314453125</v>
      </c>
      <c r="R7" s="11" t="s">
        <v>464</v>
      </c>
      <c r="S7" s="11">
        <v>57.341968536376953</v>
      </c>
      <c r="T7" s="11">
        <v>69.825973510742188</v>
      </c>
      <c r="U7" s="11">
        <v>60.051063537597656</v>
      </c>
    </row>
    <row r="8" spans="1:21" x14ac:dyDescent="0.2">
      <c r="A8" t="s">
        <v>99</v>
      </c>
      <c r="B8" t="s">
        <v>100</v>
      </c>
      <c r="C8" s="11">
        <v>75.874809265136719</v>
      </c>
      <c r="D8" s="3">
        <v>26</v>
      </c>
      <c r="E8" s="11">
        <v>99.711135864257813</v>
      </c>
      <c r="F8" s="11">
        <v>59.290279388427734</v>
      </c>
      <c r="G8" s="11">
        <v>95.171974182128906</v>
      </c>
      <c r="H8" s="11">
        <v>96.47210693359375</v>
      </c>
      <c r="I8" s="11">
        <v>78.386207580566406</v>
      </c>
      <c r="J8" s="11">
        <v>97.512825012207031</v>
      </c>
      <c r="K8" s="11">
        <v>84.062042236328125</v>
      </c>
      <c r="L8" s="11">
        <v>81.788139343261719</v>
      </c>
      <c r="M8" s="11">
        <v>83.212539672851563</v>
      </c>
      <c r="N8" s="11">
        <v>73.135780334472656</v>
      </c>
      <c r="O8" s="11">
        <v>100</v>
      </c>
      <c r="P8" s="11">
        <v>50.735107421875</v>
      </c>
      <c r="Q8" s="11">
        <v>30.144248962402344</v>
      </c>
      <c r="R8" s="11">
        <v>59.862941741943359</v>
      </c>
      <c r="S8" s="11">
        <v>54.977664947509766</v>
      </c>
      <c r="T8" s="11">
        <v>81.136581420898438</v>
      </c>
      <c r="U8" s="11">
        <v>64.272125244140625</v>
      </c>
    </row>
    <row r="9" spans="1:21" x14ac:dyDescent="0.2">
      <c r="A9" t="s">
        <v>29</v>
      </c>
      <c r="B9" t="s">
        <v>30</v>
      </c>
      <c r="C9" s="11">
        <v>81.417106628417969</v>
      </c>
      <c r="D9" s="3">
        <v>7</v>
      </c>
      <c r="E9" s="11">
        <v>99.439987182617188</v>
      </c>
      <c r="F9" s="11">
        <v>76.282005310058594</v>
      </c>
      <c r="G9" s="11">
        <v>93.827796936035156</v>
      </c>
      <c r="H9" s="11">
        <v>82.4715576171875</v>
      </c>
      <c r="I9" s="11">
        <v>75.694740295410156</v>
      </c>
      <c r="J9" s="11">
        <v>95.673934936523438</v>
      </c>
      <c r="K9" s="11">
        <v>89.677200317382813</v>
      </c>
      <c r="L9" s="11">
        <v>87.862594604492188</v>
      </c>
      <c r="M9" s="11">
        <v>76.223297119140625</v>
      </c>
      <c r="N9" s="11">
        <v>85.917350769042969</v>
      </c>
      <c r="O9" s="11">
        <v>93.556381225585938</v>
      </c>
      <c r="P9" s="11">
        <v>51.809917449951172</v>
      </c>
      <c r="Q9" s="11">
        <v>76.776252746582031</v>
      </c>
      <c r="R9" s="11" t="s">
        <v>464</v>
      </c>
      <c r="S9" s="11">
        <v>68.274581909179688</v>
      </c>
      <c r="T9" s="11">
        <v>86.477264404296875</v>
      </c>
      <c r="U9" s="11">
        <v>62.708889007568359</v>
      </c>
    </row>
    <row r="10" spans="1:21" x14ac:dyDescent="0.2">
      <c r="A10" t="s">
        <v>125</v>
      </c>
      <c r="B10" t="s">
        <v>126</v>
      </c>
      <c r="C10" s="11">
        <v>70.809410095214844</v>
      </c>
      <c r="D10" s="3">
        <v>48</v>
      </c>
      <c r="E10" s="11">
        <v>99.705154418945313</v>
      </c>
      <c r="F10" s="11">
        <v>52.807292938232422</v>
      </c>
      <c r="G10" s="11">
        <v>74.015922546386719</v>
      </c>
      <c r="H10" s="11">
        <v>89.374755859375</v>
      </c>
      <c r="I10" s="11">
        <v>53.688213348388672</v>
      </c>
      <c r="J10" s="11">
        <v>80.910659790039063</v>
      </c>
      <c r="K10" s="11">
        <v>84.119781494140625</v>
      </c>
      <c r="L10" s="11">
        <v>57.554122924804688</v>
      </c>
      <c r="M10" s="11">
        <v>37.669605255126953</v>
      </c>
      <c r="N10" s="11">
        <v>82.163116455078125</v>
      </c>
      <c r="O10" s="11">
        <v>82.427810668945313</v>
      </c>
      <c r="P10" s="11">
        <v>77.037361145019531</v>
      </c>
      <c r="Q10" s="11">
        <v>80.258087158203125</v>
      </c>
      <c r="R10" s="11" t="s">
        <v>464</v>
      </c>
      <c r="S10" s="11">
        <v>63.688095092773438</v>
      </c>
      <c r="T10" s="11">
        <v>62.097923278808594</v>
      </c>
      <c r="U10" s="11">
        <v>55.432636260986328</v>
      </c>
    </row>
    <row r="11" spans="1:21" x14ac:dyDescent="0.2">
      <c r="A11" t="s">
        <v>313</v>
      </c>
      <c r="B11" t="s">
        <v>314</v>
      </c>
      <c r="C11" s="11">
        <v>51.766719818115234</v>
      </c>
      <c r="D11" s="3">
        <v>132</v>
      </c>
      <c r="E11" s="11">
        <v>0</v>
      </c>
      <c r="F11" s="11">
        <v>41.990116119384766</v>
      </c>
      <c r="G11" s="11">
        <v>53.093273162841797</v>
      </c>
      <c r="H11" s="11">
        <v>56.849365234375</v>
      </c>
      <c r="I11" s="11">
        <v>64.253700256347656</v>
      </c>
      <c r="J11" s="11">
        <v>72.940017700195313</v>
      </c>
      <c r="K11" s="11">
        <v>1.6766632637940822E-14</v>
      </c>
      <c r="L11" s="11">
        <v>40.632930755615234</v>
      </c>
      <c r="M11" s="11">
        <v>3.8416390419006348</v>
      </c>
      <c r="N11" s="11">
        <v>77.663780212402344</v>
      </c>
      <c r="O11" s="11">
        <v>54.022762298583984</v>
      </c>
      <c r="P11" s="11">
        <v>83.093215942382813</v>
      </c>
      <c r="Q11" s="11">
        <v>78.5736083984375</v>
      </c>
      <c r="R11" s="11" t="s">
        <v>464</v>
      </c>
      <c r="S11" s="11">
        <v>72.857772827148438</v>
      </c>
      <c r="T11" s="11">
        <v>53.325836181640625</v>
      </c>
      <c r="U11" s="11">
        <v>75.1295166015625</v>
      </c>
    </row>
    <row r="12" spans="1:21" x14ac:dyDescent="0.2">
      <c r="A12" t="s">
        <v>57</v>
      </c>
      <c r="B12" t="s">
        <v>58</v>
      </c>
      <c r="C12" s="11">
        <v>79.9595947265625</v>
      </c>
      <c r="D12" s="3">
        <v>12</v>
      </c>
      <c r="E12" s="11">
        <v>99.555999755859375</v>
      </c>
      <c r="F12" s="11">
        <v>80.418380737304688</v>
      </c>
      <c r="G12" s="11">
        <v>93.325691223144531</v>
      </c>
      <c r="H12" s="11">
        <v>90.131790161132813</v>
      </c>
      <c r="I12" s="11">
        <v>82.997390747070313</v>
      </c>
      <c r="J12" s="11">
        <v>84.631889343261719</v>
      </c>
      <c r="K12" s="11">
        <v>87.126358032226563</v>
      </c>
      <c r="L12" s="11">
        <v>80.843650817871094</v>
      </c>
      <c r="M12" s="11">
        <v>74.760604858398438</v>
      </c>
      <c r="N12" s="11">
        <v>94.199577331542969</v>
      </c>
      <c r="O12" s="11">
        <v>94.423789978027344</v>
      </c>
      <c r="P12" s="11">
        <v>52.750900268554688</v>
      </c>
      <c r="Q12" s="11">
        <v>75.04925537109375</v>
      </c>
      <c r="R12" s="11">
        <v>58.793861389160156</v>
      </c>
      <c r="S12" s="11">
        <v>64.808418273925781</v>
      </c>
      <c r="T12" s="11">
        <v>82.622642517089844</v>
      </c>
      <c r="U12" s="11">
        <v>62.872859954833984</v>
      </c>
    </row>
    <row r="13" spans="1:21" x14ac:dyDescent="0.2">
      <c r="A13" t="s">
        <v>299</v>
      </c>
      <c r="B13" t="s">
        <v>300</v>
      </c>
      <c r="C13" s="11">
        <v>49.465438842773438</v>
      </c>
      <c r="D13" s="3">
        <v>142</v>
      </c>
      <c r="E13" s="11">
        <v>46.534355163574219</v>
      </c>
      <c r="F13" s="11">
        <v>49.888694763183594</v>
      </c>
      <c r="G13" s="11">
        <v>47.706840515136719</v>
      </c>
      <c r="H13" s="11">
        <v>38.391910552978516</v>
      </c>
      <c r="I13" s="11">
        <v>36.697074890136719</v>
      </c>
      <c r="J13" s="11">
        <v>61.840240478515625</v>
      </c>
      <c r="K13" s="11">
        <v>10.589743614196777</v>
      </c>
      <c r="L13" s="11">
        <v>61.785144805908203</v>
      </c>
      <c r="M13" s="11">
        <v>6.1600227355957031</v>
      </c>
      <c r="N13" s="11">
        <v>48.776290893554688</v>
      </c>
      <c r="O13" s="11">
        <v>50.855304718017578</v>
      </c>
      <c r="P13" s="11">
        <v>81.330657958984375</v>
      </c>
      <c r="Q13" s="11">
        <v>79.259513854980469</v>
      </c>
      <c r="R13" s="11">
        <v>26.44810676574707</v>
      </c>
      <c r="S13" s="11">
        <v>77.554763793945313</v>
      </c>
      <c r="T13" s="11">
        <v>59.314533233642578</v>
      </c>
      <c r="U13" s="11">
        <v>57.779258728027344</v>
      </c>
    </row>
    <row r="14" spans="1:21" x14ac:dyDescent="0.2">
      <c r="A14" t="s">
        <v>325</v>
      </c>
      <c r="B14" t="s">
        <v>326</v>
      </c>
      <c r="C14" s="11">
        <v>49.902336120605469</v>
      </c>
      <c r="D14" s="3">
        <v>138</v>
      </c>
      <c r="E14" s="11">
        <v>70.305084228515625</v>
      </c>
      <c r="F14" s="11">
        <v>33.996818542480469</v>
      </c>
      <c r="G14" s="11">
        <v>44.309127807617188</v>
      </c>
      <c r="H14" s="11">
        <v>15.467443466186523</v>
      </c>
      <c r="I14" s="11">
        <v>35.080924987792969</v>
      </c>
      <c r="J14" s="11">
        <v>64.068359375</v>
      </c>
      <c r="K14" s="11">
        <v>7.2150125503540039</v>
      </c>
      <c r="L14" s="11">
        <v>33.787467956542969</v>
      </c>
      <c r="M14" s="11">
        <v>9.6095962524414063</v>
      </c>
      <c r="N14" s="11">
        <v>72.104087829589844</v>
      </c>
      <c r="O14" s="11">
        <v>44.006999969482422</v>
      </c>
      <c r="P14" s="11">
        <v>80.424636840820313</v>
      </c>
      <c r="Q14" s="11">
        <v>86.639106750488281</v>
      </c>
      <c r="R14" s="11" t="s">
        <v>464</v>
      </c>
      <c r="S14" s="11">
        <v>81.367027282714844</v>
      </c>
      <c r="T14" s="11">
        <v>61.081211090087891</v>
      </c>
      <c r="U14" s="11">
        <v>58.974460601806641</v>
      </c>
    </row>
    <row r="15" spans="1:21" x14ac:dyDescent="0.2">
      <c r="A15" t="s">
        <v>221</v>
      </c>
      <c r="B15" t="s">
        <v>222</v>
      </c>
      <c r="C15" s="11">
        <v>56.207557678222656</v>
      </c>
      <c r="D15" s="3">
        <v>120</v>
      </c>
      <c r="E15" s="11">
        <v>94.397674560546875</v>
      </c>
      <c r="F15" s="11">
        <v>42.791820526123047</v>
      </c>
      <c r="G15" s="11">
        <v>58.704574584960938</v>
      </c>
      <c r="H15" s="11">
        <v>47.980186462402344</v>
      </c>
      <c r="I15" s="11">
        <v>62.735065460205078</v>
      </c>
      <c r="J15" s="11">
        <v>79.833206176757813</v>
      </c>
      <c r="K15" s="11">
        <v>44.128887176513672</v>
      </c>
      <c r="L15" s="11">
        <v>62.196887969970703</v>
      </c>
      <c r="M15" s="11">
        <v>12.454716682434082</v>
      </c>
      <c r="N15" s="11">
        <v>81.188743591308594</v>
      </c>
      <c r="O15" s="11">
        <v>13.967458724975586</v>
      </c>
      <c r="P15" s="11">
        <v>77.49249267578125</v>
      </c>
      <c r="Q15" s="11">
        <v>75.291244506835938</v>
      </c>
      <c r="R15" s="11">
        <v>46.511524200439453</v>
      </c>
      <c r="S15" s="11">
        <v>55.194160461425781</v>
      </c>
      <c r="T15" s="11">
        <v>58.463676452636719</v>
      </c>
      <c r="U15" s="11">
        <v>42.196151733398438</v>
      </c>
    </row>
    <row r="16" spans="1:21" x14ac:dyDescent="0.2">
      <c r="A16" t="s">
        <v>107</v>
      </c>
      <c r="B16" t="s">
        <v>108</v>
      </c>
      <c r="C16" s="11">
        <v>72.510429382324219</v>
      </c>
      <c r="D16" s="3">
        <v>40</v>
      </c>
      <c r="E16" s="11">
        <v>98.371749877929688</v>
      </c>
      <c r="F16" s="11">
        <v>53.315994262695313</v>
      </c>
      <c r="G16" s="11">
        <v>77.073860168457031</v>
      </c>
      <c r="H16" s="11">
        <v>86.47674560546875</v>
      </c>
      <c r="I16" s="11">
        <v>65.356689453125</v>
      </c>
      <c r="J16" s="11">
        <v>86.906936645507813</v>
      </c>
      <c r="K16" s="11">
        <v>86.494583129882813</v>
      </c>
      <c r="L16" s="11">
        <v>63.623062133789063</v>
      </c>
      <c r="M16" s="11">
        <v>37.076450347900391</v>
      </c>
      <c r="N16" s="11">
        <v>70.069351196289063</v>
      </c>
      <c r="O16" s="11">
        <v>86.407646179199219</v>
      </c>
      <c r="P16" s="11">
        <v>66.0799560546875</v>
      </c>
      <c r="Q16" s="11">
        <v>82.358734130859375</v>
      </c>
      <c r="R16" s="11">
        <v>53.688186645507813</v>
      </c>
      <c r="S16" s="11">
        <v>90.436363220214844</v>
      </c>
      <c r="T16" s="11">
        <v>61.213832855224609</v>
      </c>
      <c r="U16" s="11">
        <v>67.727149963378906</v>
      </c>
    </row>
    <row r="17" spans="1:21" x14ac:dyDescent="0.2">
      <c r="A17" t="s">
        <v>241</v>
      </c>
      <c r="B17" t="s">
        <v>242</v>
      </c>
      <c r="C17" s="11">
        <v>64.592376708984375</v>
      </c>
      <c r="D17" s="3">
        <v>92</v>
      </c>
      <c r="E17" s="11">
        <v>98.94659423828125</v>
      </c>
      <c r="F17" s="11">
        <v>63.593986511230469</v>
      </c>
      <c r="G17" s="11">
        <v>89.866172790527344</v>
      </c>
      <c r="H17" s="11">
        <v>82.254058837890625</v>
      </c>
      <c r="I17" s="11">
        <v>48.017173767089844</v>
      </c>
      <c r="J17" s="11">
        <v>49.772727966308594</v>
      </c>
      <c r="K17" s="11">
        <v>88.558746337890625</v>
      </c>
      <c r="L17" s="11">
        <v>79.098747253417969</v>
      </c>
      <c r="M17" s="11">
        <v>49.460445404052734</v>
      </c>
      <c r="N17" s="11" t="s">
        <v>464</v>
      </c>
      <c r="O17" s="11">
        <v>70.198265075683594</v>
      </c>
      <c r="P17" s="11">
        <v>73.856544494628906</v>
      </c>
      <c r="Q17" s="11">
        <v>50</v>
      </c>
      <c r="R17" s="11">
        <v>31.055471420288086</v>
      </c>
      <c r="S17" s="11">
        <v>40.280025482177734</v>
      </c>
      <c r="T17" s="11">
        <v>70.470901489257813</v>
      </c>
      <c r="U17" s="11">
        <v>48.048126220703125</v>
      </c>
    </row>
    <row r="18" spans="1:21" x14ac:dyDescent="0.2">
      <c r="A18" t="s">
        <v>113</v>
      </c>
      <c r="B18" t="s">
        <v>114</v>
      </c>
      <c r="C18" s="11">
        <v>65.45294189453125</v>
      </c>
      <c r="D18" s="3">
        <v>84</v>
      </c>
      <c r="E18" s="11">
        <v>99.954635620117188</v>
      </c>
      <c r="F18" s="11">
        <v>54.488601684570313</v>
      </c>
      <c r="G18" s="11">
        <v>78.090301513671875</v>
      </c>
      <c r="H18" s="11">
        <v>80.287002563476563</v>
      </c>
      <c r="I18" s="11">
        <v>39.238193511962891</v>
      </c>
      <c r="J18" s="11">
        <v>97.962554931640625</v>
      </c>
      <c r="K18" s="11">
        <v>65.732070922851563</v>
      </c>
      <c r="L18" s="11">
        <v>49.406684875488281</v>
      </c>
      <c r="M18" s="11">
        <v>24.373855590820313</v>
      </c>
      <c r="N18" s="11">
        <v>76.316848754882813</v>
      </c>
      <c r="O18" s="11">
        <v>72.174507141113281</v>
      </c>
      <c r="P18" s="11">
        <v>72.265235900878906</v>
      </c>
      <c r="Q18" s="11">
        <v>86.167617797851563</v>
      </c>
      <c r="R18" s="11">
        <v>11.619606971740723</v>
      </c>
      <c r="S18" s="11">
        <v>59.635360717773438</v>
      </c>
      <c r="T18" s="11">
        <v>62.847339630126953</v>
      </c>
      <c r="U18" s="11">
        <v>82.13958740234375</v>
      </c>
    </row>
    <row r="19" spans="1:21" x14ac:dyDescent="0.2">
      <c r="A19" t="s">
        <v>87</v>
      </c>
      <c r="B19" t="s">
        <v>88</v>
      </c>
      <c r="C19" s="11">
        <v>77.121612548828125</v>
      </c>
      <c r="D19" s="3">
        <v>21</v>
      </c>
      <c r="E19" s="11">
        <v>99.909042358398438</v>
      </c>
      <c r="F19" s="11">
        <v>51.599971771240234</v>
      </c>
      <c r="G19" s="11">
        <v>80.669349670410156</v>
      </c>
      <c r="H19" s="11">
        <v>92.677131652832031</v>
      </c>
      <c r="I19" s="11">
        <v>76.261581420898438</v>
      </c>
      <c r="J19" s="11">
        <v>95.946510314941406</v>
      </c>
      <c r="K19" s="11">
        <v>82.40087890625</v>
      </c>
      <c r="L19" s="11">
        <v>90.029472351074219</v>
      </c>
      <c r="M19" s="11">
        <v>30.980180740356445</v>
      </c>
      <c r="N19" s="11">
        <v>95.374557495117188</v>
      </c>
      <c r="O19" s="11">
        <v>91.557609558105469</v>
      </c>
      <c r="P19" s="11">
        <v>67.573616027832031</v>
      </c>
      <c r="Q19" s="11">
        <v>88.716331481933594</v>
      </c>
      <c r="R19" s="11" t="s">
        <v>464</v>
      </c>
      <c r="S19" s="11">
        <v>69.118576049804688</v>
      </c>
      <c r="T19" s="11">
        <v>60.552509307861328</v>
      </c>
      <c r="U19" s="11">
        <v>60.578433990478516</v>
      </c>
    </row>
    <row r="20" spans="1:21" x14ac:dyDescent="0.2">
      <c r="A20" t="s">
        <v>233</v>
      </c>
      <c r="B20" t="s">
        <v>234</v>
      </c>
      <c r="C20" s="11">
        <v>66.023544311523438</v>
      </c>
      <c r="D20" s="3">
        <v>76</v>
      </c>
      <c r="E20" s="11">
        <v>87.324600219726563</v>
      </c>
      <c r="F20" s="11">
        <v>57.086879730224609</v>
      </c>
      <c r="G20" s="11">
        <v>79.785423278808594</v>
      </c>
      <c r="H20" s="11">
        <v>83.033538818359375</v>
      </c>
      <c r="I20" s="11">
        <v>54.877372741699219</v>
      </c>
      <c r="J20" s="11">
        <v>92.188499450683594</v>
      </c>
      <c r="K20" s="11">
        <v>88.648269653320313</v>
      </c>
      <c r="L20" s="11">
        <v>70.931747436523438</v>
      </c>
      <c r="M20" s="11">
        <v>26.965736389160156</v>
      </c>
      <c r="N20" s="11" t="s">
        <v>464</v>
      </c>
      <c r="O20" s="11">
        <v>83.863571166992188</v>
      </c>
      <c r="P20" s="11">
        <v>63.783180236816406</v>
      </c>
      <c r="Q20" s="11">
        <v>80.107109069824219</v>
      </c>
      <c r="R20" s="11">
        <v>29.073402404785156</v>
      </c>
      <c r="S20" s="11">
        <v>43.022846221923828</v>
      </c>
      <c r="T20" s="11">
        <v>42.461635589599609</v>
      </c>
      <c r="U20" s="11">
        <v>73.222869873046875</v>
      </c>
    </row>
    <row r="21" spans="1:21" x14ac:dyDescent="0.2">
      <c r="A21" t="s">
        <v>193</v>
      </c>
      <c r="B21" t="s">
        <v>194</v>
      </c>
      <c r="C21" s="11">
        <v>64.693504333496094</v>
      </c>
      <c r="D21" s="3">
        <v>90</v>
      </c>
      <c r="E21" s="11">
        <v>93.983230590820313</v>
      </c>
      <c r="F21" s="11">
        <v>51.499462127685547</v>
      </c>
      <c r="G21" s="11">
        <v>67.676490783691406</v>
      </c>
      <c r="H21" s="11">
        <v>53.752754211425781</v>
      </c>
      <c r="I21" s="11">
        <v>73.168312072753906</v>
      </c>
      <c r="J21" s="11">
        <v>80.611679077148438</v>
      </c>
      <c r="K21" s="11">
        <v>66.425506591796875</v>
      </c>
      <c r="L21" s="11">
        <v>51.227931976318359</v>
      </c>
      <c r="M21" s="11">
        <v>17.111515045166016</v>
      </c>
      <c r="N21" s="11">
        <v>34.561813354492188</v>
      </c>
      <c r="O21" s="11">
        <v>85.055877685546875</v>
      </c>
      <c r="P21" s="11">
        <v>75.320808410644531</v>
      </c>
      <c r="Q21" s="11">
        <v>87.423553466796875</v>
      </c>
      <c r="R21" s="11" t="s">
        <v>464</v>
      </c>
      <c r="S21" s="11">
        <v>72.727188110351563</v>
      </c>
      <c r="T21" s="11">
        <v>47.259391784667969</v>
      </c>
      <c r="U21" s="11">
        <v>77.290512084960938</v>
      </c>
    </row>
    <row r="22" spans="1:21" x14ac:dyDescent="0.2">
      <c r="A22" t="s">
        <v>119</v>
      </c>
      <c r="B22" t="s">
        <v>120</v>
      </c>
      <c r="C22" s="11">
        <v>69.506729125976563</v>
      </c>
      <c r="D22" s="3">
        <v>56</v>
      </c>
      <c r="E22" s="11">
        <v>94.600784301757813</v>
      </c>
      <c r="F22" s="11">
        <v>65.574462890625</v>
      </c>
      <c r="G22" s="11">
        <v>77.803329467773438</v>
      </c>
      <c r="H22" s="11">
        <v>76.960296630859375</v>
      </c>
      <c r="I22" s="11">
        <v>67.237808227539063</v>
      </c>
      <c r="J22" s="11">
        <v>93.915199279785156</v>
      </c>
      <c r="K22" s="11">
        <v>89.658973693847656</v>
      </c>
      <c r="L22" s="11">
        <v>61.303043365478516</v>
      </c>
      <c r="M22" s="11">
        <v>46.227130889892578</v>
      </c>
      <c r="N22" s="11">
        <v>25.735080718994141</v>
      </c>
      <c r="O22" s="11">
        <v>95.792098999023438</v>
      </c>
      <c r="P22" s="11">
        <v>70.267120361328125</v>
      </c>
      <c r="Q22" s="11">
        <v>87.202407836914063</v>
      </c>
      <c r="R22" s="11">
        <v>60.721969604492188</v>
      </c>
      <c r="S22" s="11">
        <v>58.178424835205078</v>
      </c>
      <c r="T22" s="11">
        <v>43.956615447998047</v>
      </c>
      <c r="U22" s="11">
        <v>66.4796142578125</v>
      </c>
    </row>
    <row r="23" spans="1:21" x14ac:dyDescent="0.2">
      <c r="A23" t="s">
        <v>187</v>
      </c>
      <c r="B23" t="s">
        <v>188</v>
      </c>
      <c r="C23" s="11">
        <v>65.978569030761719</v>
      </c>
      <c r="D23" s="3">
        <v>78</v>
      </c>
      <c r="E23" s="11">
        <v>98.159866333007813</v>
      </c>
      <c r="F23" s="11">
        <v>51.749378204345703</v>
      </c>
      <c r="G23" s="11">
        <v>88.787590026855469</v>
      </c>
      <c r="H23" s="11">
        <v>77.505874633789063</v>
      </c>
      <c r="I23" s="11">
        <v>70.972198486328125</v>
      </c>
      <c r="J23" s="11">
        <v>65.633224487304688</v>
      </c>
      <c r="K23" s="11">
        <v>99.911918640136719</v>
      </c>
      <c r="L23" s="11">
        <v>72.043167114257813</v>
      </c>
      <c r="M23" s="11">
        <v>52.053096771240234</v>
      </c>
      <c r="N23" s="11">
        <v>38.573966979980469</v>
      </c>
      <c r="O23" s="11">
        <v>94.326942443847656</v>
      </c>
      <c r="P23" s="11">
        <v>53.602329254150391</v>
      </c>
      <c r="Q23" s="11">
        <v>62.083572387695313</v>
      </c>
      <c r="R23" s="11">
        <v>37.009128570556641</v>
      </c>
      <c r="S23" s="11">
        <v>37.84515380859375</v>
      </c>
      <c r="T23" s="11">
        <v>62.300514221191406</v>
      </c>
      <c r="U23" s="11">
        <v>59.077705383300781</v>
      </c>
    </row>
    <row r="24" spans="1:21" x14ac:dyDescent="0.2">
      <c r="A24" t="s">
        <v>141</v>
      </c>
      <c r="B24" t="s">
        <v>142</v>
      </c>
      <c r="C24" s="11">
        <v>65.507301330566406</v>
      </c>
      <c r="D24" s="3">
        <v>83</v>
      </c>
      <c r="E24" s="11">
        <v>99.869667053222656</v>
      </c>
      <c r="F24" s="11">
        <v>46.031818389892578</v>
      </c>
      <c r="G24" s="11">
        <v>72.264938354492188</v>
      </c>
      <c r="H24" s="11">
        <v>53.867687225341797</v>
      </c>
      <c r="I24" s="11">
        <v>48.880275726318359</v>
      </c>
      <c r="J24" s="11">
        <v>76.710968017578125</v>
      </c>
      <c r="K24" s="11">
        <v>80.947113037109375</v>
      </c>
      <c r="L24" s="11">
        <v>58.717678070068359</v>
      </c>
      <c r="M24" s="11">
        <v>25.04847526550293</v>
      </c>
      <c r="N24" s="11">
        <v>62.045051574707031</v>
      </c>
      <c r="O24" s="11">
        <v>59.691032409667969</v>
      </c>
      <c r="P24" s="11">
        <v>74.474205017089844</v>
      </c>
      <c r="Q24" s="11">
        <v>91.14508056640625</v>
      </c>
      <c r="R24" s="11" t="s">
        <v>464</v>
      </c>
      <c r="S24" s="11">
        <v>63.305141448974609</v>
      </c>
      <c r="T24" s="11">
        <v>78.604454040527344</v>
      </c>
      <c r="U24" s="11">
        <v>56.513214111328125</v>
      </c>
    </row>
    <row r="25" spans="1:21" x14ac:dyDescent="0.2">
      <c r="A25" t="s">
        <v>255</v>
      </c>
      <c r="B25" t="s">
        <v>256</v>
      </c>
      <c r="C25" s="11">
        <v>58.258525848388672</v>
      </c>
      <c r="D25" s="3">
        <v>113</v>
      </c>
      <c r="E25" s="11">
        <v>79.284675598144531</v>
      </c>
      <c r="F25" s="11">
        <v>35.114936828613281</v>
      </c>
      <c r="G25" s="11">
        <v>55.640666961669922</v>
      </c>
      <c r="H25" s="11">
        <v>79.9345703125</v>
      </c>
      <c r="I25" s="11">
        <v>66.808952331542969</v>
      </c>
      <c r="J25" s="11">
        <v>82.942024230957031</v>
      </c>
      <c r="K25" s="11">
        <v>39.935871124267578</v>
      </c>
      <c r="L25" s="11">
        <v>50.559314727783203</v>
      </c>
      <c r="M25" s="11">
        <v>26.351190567016602</v>
      </c>
      <c r="N25" s="11">
        <v>0</v>
      </c>
      <c r="O25" s="11">
        <v>92.486618041992188</v>
      </c>
      <c r="P25" s="11">
        <v>57.534526824951172</v>
      </c>
      <c r="Q25" s="11">
        <v>58.654899597167969</v>
      </c>
      <c r="R25" s="11" t="s">
        <v>464</v>
      </c>
      <c r="S25" s="11">
        <v>63.434455871582031</v>
      </c>
      <c r="T25" s="11">
        <v>60.112167358398438</v>
      </c>
      <c r="U25" s="11">
        <v>83.341514587402344</v>
      </c>
    </row>
    <row r="26" spans="1:21" x14ac:dyDescent="0.2">
      <c r="A26" t="s">
        <v>349</v>
      </c>
      <c r="B26" t="s">
        <v>350</v>
      </c>
      <c r="C26" s="11">
        <v>36.748970031738281</v>
      </c>
      <c r="D26" s="3">
        <v>157</v>
      </c>
      <c r="E26" s="11">
        <v>0</v>
      </c>
      <c r="F26" s="11">
        <v>34.824131011962891</v>
      </c>
      <c r="G26" s="11">
        <v>24.551050186157227</v>
      </c>
      <c r="H26" s="11">
        <v>17.893117904663086</v>
      </c>
      <c r="I26" s="11">
        <v>30.271133422851563</v>
      </c>
      <c r="J26" s="11">
        <v>61.6390380859375</v>
      </c>
      <c r="K26" s="11">
        <v>2.3765115737915039</v>
      </c>
      <c r="L26" s="11">
        <v>32.812374114990234</v>
      </c>
      <c r="M26" s="11">
        <v>4.3346152305603027</v>
      </c>
      <c r="N26" s="11">
        <v>12.093767166137695</v>
      </c>
      <c r="O26" s="11">
        <v>30.173482894897461</v>
      </c>
      <c r="P26" s="11">
        <v>77.270431518554688</v>
      </c>
      <c r="Q26" s="11">
        <v>68.693008422851563</v>
      </c>
      <c r="R26" s="11" t="s">
        <v>464</v>
      </c>
      <c r="S26" s="11">
        <v>89.897262573242188</v>
      </c>
      <c r="T26" s="11">
        <v>57.798847198486328</v>
      </c>
      <c r="U26" s="11">
        <v>43.354766845703125</v>
      </c>
    </row>
    <row r="27" spans="1:21" x14ac:dyDescent="0.2">
      <c r="A27" t="s">
        <v>71</v>
      </c>
      <c r="B27" t="s">
        <v>72</v>
      </c>
      <c r="C27" s="11">
        <v>78.016502380371094</v>
      </c>
      <c r="D27" s="3">
        <v>17</v>
      </c>
      <c r="E27" s="11">
        <v>99.610153198242188</v>
      </c>
      <c r="F27" s="11">
        <v>63.870231628417969</v>
      </c>
      <c r="G27" s="11">
        <v>94.6676025390625</v>
      </c>
      <c r="H27" s="11">
        <v>98.76251220703125</v>
      </c>
      <c r="I27" s="11">
        <v>79.825553894042969</v>
      </c>
      <c r="J27" s="11">
        <v>88.131111145019531</v>
      </c>
      <c r="K27" s="11">
        <v>91.217575073242188</v>
      </c>
      <c r="L27" s="11">
        <v>83.715293884277344</v>
      </c>
      <c r="M27" s="11">
        <v>75.146316528320313</v>
      </c>
      <c r="N27" s="11">
        <v>76.746719360351563</v>
      </c>
      <c r="O27" s="11">
        <v>99.566299438476563</v>
      </c>
      <c r="P27" s="11">
        <v>52.714042663574219</v>
      </c>
      <c r="Q27" s="11">
        <v>66.014495849609375</v>
      </c>
      <c r="R27" s="11">
        <v>54.887531280517578</v>
      </c>
      <c r="S27" s="11">
        <v>51.233734130859375</v>
      </c>
      <c r="T27" s="11">
        <v>85.992286682128906</v>
      </c>
      <c r="U27" s="11">
        <v>64.179122924804688</v>
      </c>
    </row>
    <row r="28" spans="1:21" x14ac:dyDescent="0.2">
      <c r="A28" t="s">
        <v>49</v>
      </c>
      <c r="B28" t="s">
        <v>50</v>
      </c>
      <c r="C28" s="11">
        <v>81.179443359375</v>
      </c>
      <c r="D28" s="3">
        <v>8</v>
      </c>
      <c r="E28" s="11">
        <v>99.89752197265625</v>
      </c>
      <c r="F28" s="11">
        <v>70.949844360351563</v>
      </c>
      <c r="G28" s="11">
        <v>97.268325805664063</v>
      </c>
      <c r="H28" s="11">
        <v>93.265121459960938</v>
      </c>
      <c r="I28" s="11">
        <v>80.917640686035156</v>
      </c>
      <c r="J28" s="11">
        <v>95.120674133300781</v>
      </c>
      <c r="K28" s="11">
        <v>94.439178466796875</v>
      </c>
      <c r="L28" s="11">
        <v>85.612319946289063</v>
      </c>
      <c r="M28" s="11">
        <v>93.860710144042969</v>
      </c>
      <c r="N28" s="11">
        <v>82.592994689941406</v>
      </c>
      <c r="O28" s="11">
        <v>96.096656799316406</v>
      </c>
      <c r="P28" s="11">
        <v>36.714248657226563</v>
      </c>
      <c r="Q28" s="11">
        <v>81.919578552246094</v>
      </c>
      <c r="R28" s="11" t="s">
        <v>464</v>
      </c>
      <c r="S28" s="11">
        <v>66.510185241699219</v>
      </c>
      <c r="T28" s="11">
        <v>83.603790283203125</v>
      </c>
      <c r="U28" s="11">
        <v>40.102272033691406</v>
      </c>
    </row>
    <row r="29" spans="1:21" x14ac:dyDescent="0.2">
      <c r="A29" t="s">
        <v>79</v>
      </c>
      <c r="B29" t="s">
        <v>80</v>
      </c>
      <c r="C29" s="11">
        <v>71.566177368164063</v>
      </c>
      <c r="D29" s="3">
        <v>44</v>
      </c>
      <c r="E29" s="11">
        <v>99.957862854003906</v>
      </c>
      <c r="F29" s="11">
        <v>62.283336639404297</v>
      </c>
      <c r="G29" s="11">
        <v>88.686912536621094</v>
      </c>
      <c r="H29" s="11">
        <v>85.154006958007813</v>
      </c>
      <c r="I29" s="11">
        <v>64.215423583984375</v>
      </c>
      <c r="J29" s="11">
        <v>98.132080078125</v>
      </c>
      <c r="K29" s="11">
        <v>86.90643310546875</v>
      </c>
      <c r="L29" s="11">
        <v>70.94488525390625</v>
      </c>
      <c r="M29" s="11">
        <v>43.017166137695313</v>
      </c>
      <c r="N29" s="11">
        <v>28.686878204345703</v>
      </c>
      <c r="O29" s="11">
        <v>90.962203979492188</v>
      </c>
      <c r="P29" s="11">
        <v>73.524497985839844</v>
      </c>
      <c r="Q29" s="11">
        <v>89.735893249511719</v>
      </c>
      <c r="R29" s="11">
        <v>52.293704986572266</v>
      </c>
      <c r="S29" s="11">
        <v>48.711284637451172</v>
      </c>
      <c r="T29" s="11">
        <v>68.987205505371094</v>
      </c>
      <c r="U29" s="11">
        <v>64.425216674804688</v>
      </c>
    </row>
    <row r="30" spans="1:21" x14ac:dyDescent="0.2">
      <c r="A30" t="s">
        <v>145</v>
      </c>
      <c r="B30" t="s">
        <v>146</v>
      </c>
      <c r="C30" s="11">
        <v>67.1192626953125</v>
      </c>
      <c r="D30" s="3">
        <v>71</v>
      </c>
      <c r="E30" s="11">
        <v>99.472557067871094</v>
      </c>
      <c r="F30" s="11">
        <v>66.772071838378906</v>
      </c>
      <c r="G30" s="11">
        <v>79.525337219238281</v>
      </c>
      <c r="H30" s="11">
        <v>74.072776794433594</v>
      </c>
      <c r="I30" s="11">
        <v>74.8370361328125</v>
      </c>
      <c r="J30" s="11">
        <v>88.196037292480469</v>
      </c>
      <c r="K30" s="11">
        <v>67.749626159667969</v>
      </c>
      <c r="L30" s="11">
        <v>71.9310302734375</v>
      </c>
      <c r="M30" s="11">
        <v>57.700202941894531</v>
      </c>
      <c r="N30" s="11">
        <v>52.444545745849609</v>
      </c>
      <c r="O30" s="11">
        <v>61.623340606689453</v>
      </c>
      <c r="P30" s="11">
        <v>74.839584350585938</v>
      </c>
      <c r="Q30" s="11">
        <v>58.741420745849609</v>
      </c>
      <c r="R30" s="11">
        <v>31.054122924804688</v>
      </c>
      <c r="S30" s="11">
        <v>58.470874786376953</v>
      </c>
      <c r="T30" s="11">
        <v>69.086845397949219</v>
      </c>
      <c r="U30" s="11">
        <v>54.510009765625</v>
      </c>
    </row>
    <row r="31" spans="1:21" x14ac:dyDescent="0.2">
      <c r="A31" t="s">
        <v>259</v>
      </c>
      <c r="B31" t="s">
        <v>260</v>
      </c>
      <c r="C31" s="11">
        <v>53.337245941162109</v>
      </c>
      <c r="D31" s="3">
        <v>127</v>
      </c>
      <c r="E31" s="11">
        <v>86.85552978515625</v>
      </c>
      <c r="F31" s="11">
        <v>46.699451446533203</v>
      </c>
      <c r="G31" s="11">
        <v>37.254810333251953</v>
      </c>
      <c r="H31" s="11">
        <v>29.554994583129883</v>
      </c>
      <c r="I31" s="11">
        <v>32.7816162109375</v>
      </c>
      <c r="J31" s="11">
        <v>64.13507080078125</v>
      </c>
      <c r="K31" s="11">
        <v>46.653205871582031</v>
      </c>
      <c r="L31" s="11">
        <v>28.057426452636719</v>
      </c>
      <c r="M31" s="11">
        <v>22.589630126953125</v>
      </c>
      <c r="N31" s="11">
        <v>49.521408081054688</v>
      </c>
      <c r="O31" s="11">
        <v>73.436195373535156</v>
      </c>
      <c r="P31" s="11">
        <v>77.38043212890625</v>
      </c>
      <c r="Q31" s="11">
        <v>94.009536743164063</v>
      </c>
      <c r="R31" s="11">
        <v>26.512121200561523</v>
      </c>
      <c r="S31" s="11">
        <v>72.054786682128906</v>
      </c>
      <c r="T31" s="11">
        <v>59.406845092773438</v>
      </c>
      <c r="U31" s="11">
        <v>59.830120086669922</v>
      </c>
    </row>
    <row r="32" spans="1:21" x14ac:dyDescent="0.2">
      <c r="A32" t="s">
        <v>297</v>
      </c>
      <c r="B32" t="s">
        <v>298</v>
      </c>
      <c r="C32" s="11">
        <v>52.826580047607422</v>
      </c>
      <c r="D32" s="3">
        <v>130</v>
      </c>
      <c r="E32" s="11">
        <v>74.8714599609375</v>
      </c>
      <c r="F32" s="11">
        <v>48.038032531738281</v>
      </c>
      <c r="G32" s="11">
        <v>43.978122711181641</v>
      </c>
      <c r="H32" s="11">
        <v>62.558193206787109</v>
      </c>
      <c r="I32" s="11">
        <v>49.443183898925781</v>
      </c>
      <c r="J32" s="11">
        <v>69.287094116210938</v>
      </c>
      <c r="K32" s="11">
        <v>48.692420959472656</v>
      </c>
      <c r="L32" s="11">
        <v>32.187335968017578</v>
      </c>
      <c r="M32" s="11">
        <v>6.7183732986450195</v>
      </c>
      <c r="N32" s="11">
        <v>39.892242431640625</v>
      </c>
      <c r="O32" s="11">
        <v>25.750261306762695</v>
      </c>
      <c r="P32" s="11">
        <v>81.368553161621094</v>
      </c>
      <c r="Q32" s="11">
        <v>93.237449645996094</v>
      </c>
      <c r="R32" s="11">
        <v>41.716255187988281</v>
      </c>
      <c r="S32" s="11">
        <v>67.148185729980469</v>
      </c>
      <c r="T32" s="11">
        <v>56.699630737304688</v>
      </c>
      <c r="U32" s="11">
        <v>56.465087890625</v>
      </c>
    </row>
    <row r="33" spans="1:21" x14ac:dyDescent="0.2">
      <c r="A33" t="s">
        <v>337</v>
      </c>
      <c r="B33" t="s">
        <v>338</v>
      </c>
      <c r="C33" s="11">
        <v>42.655391693115234</v>
      </c>
      <c r="D33" s="3">
        <v>155</v>
      </c>
      <c r="E33" s="11">
        <v>12.946677207946777</v>
      </c>
      <c r="F33" s="11">
        <v>36.070846557617188</v>
      </c>
      <c r="G33" s="11">
        <v>38.385890960693359</v>
      </c>
      <c r="H33" s="11">
        <v>54.613021850585938</v>
      </c>
      <c r="I33" s="11">
        <v>32.129421234130859</v>
      </c>
      <c r="J33" s="11">
        <v>55.363315582275391</v>
      </c>
      <c r="K33" s="11">
        <v>30.592855453491211</v>
      </c>
      <c r="L33" s="11">
        <v>37.836780548095703</v>
      </c>
      <c r="M33" s="11">
        <v>2.594843864440918</v>
      </c>
      <c r="N33" s="11">
        <v>52.616493225097656</v>
      </c>
      <c r="O33" s="11">
        <v>35.725700378417969</v>
      </c>
      <c r="P33" s="11">
        <v>79.959648132324219</v>
      </c>
      <c r="Q33" s="11">
        <v>93.049026489257813</v>
      </c>
      <c r="R33" s="11">
        <v>10.529840469360352</v>
      </c>
      <c r="S33" s="11">
        <v>62.612468719482422</v>
      </c>
      <c r="T33" s="11">
        <v>45.018520355224609</v>
      </c>
      <c r="U33" s="11">
        <v>45.096324920654297</v>
      </c>
    </row>
    <row r="34" spans="1:21" x14ac:dyDescent="0.2">
      <c r="A34" t="s">
        <v>321</v>
      </c>
      <c r="B34" t="s">
        <v>322</v>
      </c>
      <c r="C34" s="11">
        <v>50.884723663330078</v>
      </c>
      <c r="D34" s="3">
        <v>135</v>
      </c>
      <c r="E34" s="11">
        <v>39.664863586425781</v>
      </c>
      <c r="F34" s="11">
        <v>38.651641845703125</v>
      </c>
      <c r="G34" s="11">
        <v>51.090831756591797</v>
      </c>
      <c r="H34" s="11">
        <v>60.989578247070313</v>
      </c>
      <c r="I34" s="11">
        <v>49.547832489013672</v>
      </c>
      <c r="J34" s="11">
        <v>51.881622314453125</v>
      </c>
      <c r="K34" s="11">
        <v>38.022266387939453</v>
      </c>
      <c r="L34" s="11">
        <v>38.137218475341797</v>
      </c>
      <c r="M34" s="11">
        <v>4.7751474380493164</v>
      </c>
      <c r="N34" s="11">
        <v>33.014270782470703</v>
      </c>
      <c r="O34" s="11">
        <v>44.011131286621094</v>
      </c>
      <c r="P34" s="11">
        <v>78.123199462890625</v>
      </c>
      <c r="Q34" s="11">
        <v>94.700332641601563</v>
      </c>
      <c r="R34" s="11">
        <v>31.131641387939453</v>
      </c>
      <c r="S34" s="11">
        <v>88.255355834960938</v>
      </c>
      <c r="T34" s="11">
        <v>66.936813354492188</v>
      </c>
      <c r="U34" s="11">
        <v>56.106525421142578</v>
      </c>
    </row>
    <row r="35" spans="1:21" x14ac:dyDescent="0.2">
      <c r="A35" t="s">
        <v>171</v>
      </c>
      <c r="B35" t="s">
        <v>172</v>
      </c>
      <c r="C35" s="11">
        <v>64.802635192871094</v>
      </c>
      <c r="D35" s="3">
        <v>88</v>
      </c>
      <c r="E35" s="11">
        <v>93.688552856445313</v>
      </c>
      <c r="F35" s="11">
        <v>52.720012664794922</v>
      </c>
      <c r="G35" s="11">
        <v>81.282020568847656</v>
      </c>
      <c r="H35" s="11">
        <v>75.023361206054688</v>
      </c>
      <c r="I35" s="11">
        <v>70.166908264160156</v>
      </c>
      <c r="J35" s="11">
        <v>89.057327270507813</v>
      </c>
      <c r="K35" s="11">
        <v>83.704063415527344</v>
      </c>
      <c r="L35" s="11">
        <v>55.040672302246094</v>
      </c>
      <c r="M35" s="11">
        <v>28.74163818359375</v>
      </c>
      <c r="N35" s="11">
        <v>19.946121215820313</v>
      </c>
      <c r="O35" s="11">
        <v>89.840713500976563</v>
      </c>
      <c r="P35" s="11">
        <v>74.690444946289063</v>
      </c>
      <c r="Q35" s="11">
        <v>87.043067932128906</v>
      </c>
      <c r="R35" s="11">
        <v>35.073196411132813</v>
      </c>
      <c r="S35" s="11">
        <v>53.969722747802734</v>
      </c>
      <c r="T35" s="11">
        <v>48.471889495849609</v>
      </c>
      <c r="U35" s="11">
        <v>63.185054779052734</v>
      </c>
    </row>
    <row r="36" spans="1:21" x14ac:dyDescent="0.2">
      <c r="A36" t="s">
        <v>123</v>
      </c>
      <c r="B36" t="s">
        <v>124</v>
      </c>
      <c r="C36" s="11">
        <v>69.812034606933594</v>
      </c>
      <c r="D36" s="3">
        <v>53</v>
      </c>
      <c r="E36" s="11" t="s">
        <v>464</v>
      </c>
      <c r="F36" s="11">
        <v>54.829952239990234</v>
      </c>
      <c r="G36" s="11">
        <v>87.590431213378906</v>
      </c>
      <c r="H36" s="11">
        <v>83.140274047851563</v>
      </c>
      <c r="I36" s="11">
        <v>75.237945556640625</v>
      </c>
      <c r="J36" s="11">
        <v>91.53314208984375</v>
      </c>
      <c r="K36" s="11">
        <v>90.605125427246094</v>
      </c>
      <c r="L36" s="11">
        <v>73.320022583007813</v>
      </c>
      <c r="M36" s="11">
        <v>32.103870391845703</v>
      </c>
      <c r="N36" s="11">
        <v>34.189258575439453</v>
      </c>
      <c r="O36" s="11">
        <v>91.46295166015625</v>
      </c>
      <c r="P36" s="11">
        <v>72.905494689941406</v>
      </c>
      <c r="Q36" s="11">
        <v>87.65557861328125</v>
      </c>
      <c r="R36" s="11">
        <v>50.588542938232422</v>
      </c>
      <c r="S36" s="11">
        <v>60.717494964599609</v>
      </c>
      <c r="T36" s="11">
        <v>59.737098693847656</v>
      </c>
      <c r="U36" s="11">
        <v>71.375350952148438</v>
      </c>
    </row>
    <row r="37" spans="1:21" x14ac:dyDescent="0.2">
      <c r="A37" t="s">
        <v>111</v>
      </c>
      <c r="B37" t="s">
        <v>112</v>
      </c>
      <c r="C37" s="11">
        <v>75.548721313476563</v>
      </c>
      <c r="D37" s="3">
        <v>29</v>
      </c>
      <c r="E37" s="11">
        <v>97.997413635253906</v>
      </c>
      <c r="F37" s="11">
        <v>61.332019805908203</v>
      </c>
      <c r="G37" s="11">
        <v>89.346351623535156</v>
      </c>
      <c r="H37" s="11">
        <v>89.704719543457031</v>
      </c>
      <c r="I37" s="11">
        <v>82.232643127441406</v>
      </c>
      <c r="J37" s="11">
        <v>92.337310791015625</v>
      </c>
      <c r="K37" s="11">
        <v>81.253532409667969</v>
      </c>
      <c r="L37" s="11">
        <v>90.469482421875</v>
      </c>
      <c r="M37" s="11">
        <v>11.63555908203125</v>
      </c>
      <c r="N37" s="11" t="s">
        <v>464</v>
      </c>
      <c r="O37" s="11">
        <v>84.864532470703125</v>
      </c>
      <c r="P37" s="11">
        <v>74.299720764160156</v>
      </c>
      <c r="Q37" s="11">
        <v>81.656837463378906</v>
      </c>
      <c r="R37" s="11">
        <v>43.289649963378906</v>
      </c>
      <c r="S37" s="11">
        <v>61.718044281005859</v>
      </c>
      <c r="T37" s="11">
        <v>66.641769409179688</v>
      </c>
      <c r="U37" s="11">
        <v>100</v>
      </c>
    </row>
    <row r="38" spans="1:21" x14ac:dyDescent="0.2">
      <c r="A38" t="s">
        <v>137</v>
      </c>
      <c r="B38" t="s">
        <v>138</v>
      </c>
      <c r="C38" s="11">
        <v>70.598075866699219</v>
      </c>
      <c r="D38" s="3">
        <v>50</v>
      </c>
      <c r="E38" s="11">
        <v>99.925682067871094</v>
      </c>
      <c r="F38" s="11">
        <v>55.434490203857422</v>
      </c>
      <c r="G38" s="11">
        <v>92.426101684570313</v>
      </c>
      <c r="H38" s="11">
        <v>93.276863098144531</v>
      </c>
      <c r="I38" s="11">
        <v>67.747917175292969</v>
      </c>
      <c r="J38" s="11">
        <v>89.850860595703125</v>
      </c>
      <c r="K38" s="11">
        <v>85.915618896484375</v>
      </c>
      <c r="L38" s="11">
        <v>73.753677368164063</v>
      </c>
      <c r="M38" s="11">
        <v>39.637344360351563</v>
      </c>
      <c r="N38" s="11">
        <v>74.941246032714844</v>
      </c>
      <c r="O38" s="11">
        <v>92.812881469726563</v>
      </c>
      <c r="P38" s="11">
        <v>39.619400024414063</v>
      </c>
      <c r="Q38" s="11">
        <v>68.071784973144531</v>
      </c>
      <c r="R38" s="11">
        <v>43.684810638427734</v>
      </c>
      <c r="S38" s="11">
        <v>81.637657165527344</v>
      </c>
      <c r="T38" s="11">
        <v>75.05853271484375</v>
      </c>
      <c r="U38" s="11">
        <v>26.372447967529297</v>
      </c>
    </row>
    <row r="39" spans="1:21" x14ac:dyDescent="0.2">
      <c r="A39" t="s">
        <v>435</v>
      </c>
      <c r="B39" t="s">
        <v>36</v>
      </c>
      <c r="C39" s="11">
        <v>81.898399353027344</v>
      </c>
      <c r="D39" s="3">
        <v>5</v>
      </c>
      <c r="E39" s="11">
        <v>99.735214233398438</v>
      </c>
      <c r="F39" s="11">
        <v>64.512191772460938</v>
      </c>
      <c r="G39" s="11">
        <v>91.411140441894531</v>
      </c>
      <c r="H39" s="11">
        <v>91.618690490722656</v>
      </c>
      <c r="I39" s="11">
        <v>69.899887084960938</v>
      </c>
      <c r="J39" s="11">
        <v>95.906097412109375</v>
      </c>
      <c r="K39" s="11">
        <v>87.90301513671875</v>
      </c>
      <c r="L39" s="11">
        <v>87.947113037109375</v>
      </c>
      <c r="M39" s="11">
        <v>60.861591339111328</v>
      </c>
      <c r="N39" s="11">
        <v>98.383674621582031</v>
      </c>
      <c r="O39" s="11">
        <v>90.892196655273438</v>
      </c>
      <c r="P39" s="11">
        <v>70.408592224121094</v>
      </c>
      <c r="Q39" s="11">
        <v>84.990882873535156</v>
      </c>
      <c r="R39" s="11" t="s">
        <v>464</v>
      </c>
      <c r="S39" s="11">
        <v>84.119583129882813</v>
      </c>
      <c r="T39" s="11">
        <v>71.484336853027344</v>
      </c>
      <c r="U39" s="11">
        <v>60.300220489501953</v>
      </c>
    </row>
    <row r="40" spans="1:21" x14ac:dyDescent="0.2">
      <c r="A40" t="s">
        <v>27</v>
      </c>
      <c r="B40" t="s">
        <v>28</v>
      </c>
      <c r="C40" s="11">
        <v>81.67926025390625</v>
      </c>
      <c r="D40" s="3">
        <v>6</v>
      </c>
      <c r="E40" s="11">
        <v>99.822372436523438</v>
      </c>
      <c r="F40" s="11">
        <v>75.445533752441406</v>
      </c>
      <c r="G40" s="11">
        <v>94.321128845214844</v>
      </c>
      <c r="H40" s="11">
        <v>98.299720764160156</v>
      </c>
      <c r="I40" s="11">
        <v>79.122421264648438</v>
      </c>
      <c r="J40" s="11">
        <v>93.345283508300781</v>
      </c>
      <c r="K40" s="11">
        <v>87.73712158203125</v>
      </c>
      <c r="L40" s="11">
        <v>85.192550659179688</v>
      </c>
      <c r="M40" s="11">
        <v>80.989936828613281</v>
      </c>
      <c r="N40" s="11">
        <v>86.920387268066406</v>
      </c>
      <c r="O40" s="11">
        <v>95.415115356445313</v>
      </c>
      <c r="P40" s="11">
        <v>54.972667694091797</v>
      </c>
      <c r="Q40" s="11">
        <v>84.31927490234375</v>
      </c>
      <c r="R40" s="11">
        <v>49.297779083251953</v>
      </c>
      <c r="S40" s="11">
        <v>77.35003662109375</v>
      </c>
      <c r="T40" s="11">
        <v>81.461700439453125</v>
      </c>
      <c r="U40" s="11">
        <v>64.534393310546875</v>
      </c>
    </row>
    <row r="41" spans="1:21" x14ac:dyDescent="0.2">
      <c r="A41" t="s">
        <v>319</v>
      </c>
      <c r="B41" t="s">
        <v>320</v>
      </c>
      <c r="C41" s="11">
        <v>49.588417053222656</v>
      </c>
      <c r="D41" s="3">
        <v>141</v>
      </c>
      <c r="E41" s="11">
        <v>83.928451538085938</v>
      </c>
      <c r="F41" s="11">
        <v>37.008750915527344</v>
      </c>
      <c r="G41" s="11">
        <v>56.910099029541016</v>
      </c>
      <c r="H41" s="11">
        <v>7.9561033248901367</v>
      </c>
      <c r="I41" s="11">
        <v>32.415382385253906</v>
      </c>
      <c r="J41" s="11">
        <v>54.975517272949219</v>
      </c>
      <c r="K41" s="11">
        <v>62.659614562988281</v>
      </c>
      <c r="L41" s="11">
        <v>48.499095916748047</v>
      </c>
      <c r="M41" s="11">
        <v>5.0856027603149414</v>
      </c>
      <c r="N41" s="11">
        <v>46.798877716064453</v>
      </c>
      <c r="O41" s="11">
        <v>61.127838134765625</v>
      </c>
      <c r="P41" s="11">
        <v>79.153709411621094</v>
      </c>
      <c r="Q41" s="11">
        <v>62.865875244140625</v>
      </c>
      <c r="R41" s="11">
        <v>32.261848449707031</v>
      </c>
      <c r="S41" s="11">
        <v>12.32110595703125</v>
      </c>
      <c r="T41" s="11">
        <v>77.142959594726563</v>
      </c>
      <c r="U41" s="11">
        <v>81.892242431640625</v>
      </c>
    </row>
    <row r="42" spans="1:21" x14ac:dyDescent="0.2">
      <c r="A42" t="s">
        <v>25</v>
      </c>
      <c r="B42" t="s">
        <v>26</v>
      </c>
      <c r="C42" s="11">
        <v>84.164901733398438</v>
      </c>
      <c r="D42" s="3">
        <v>2</v>
      </c>
      <c r="E42" s="11">
        <v>98.790084838867188</v>
      </c>
      <c r="F42" s="11">
        <v>74.78472900390625</v>
      </c>
      <c r="G42" s="11">
        <v>94.543190002441406</v>
      </c>
      <c r="H42" s="11">
        <v>95.406600952148438</v>
      </c>
      <c r="I42" s="11">
        <v>83.514266967773438</v>
      </c>
      <c r="J42" s="11">
        <v>94.131271362304688</v>
      </c>
      <c r="K42" s="11">
        <v>88.844154357910156</v>
      </c>
      <c r="L42" s="11">
        <v>81.836784362792969</v>
      </c>
      <c r="M42" s="11">
        <v>89.837760925292969</v>
      </c>
      <c r="N42" s="11">
        <v>89.92950439453125</v>
      </c>
      <c r="O42" s="11">
        <v>97.273849487304688</v>
      </c>
      <c r="P42" s="11">
        <v>55.724994659423828</v>
      </c>
      <c r="Q42" s="11">
        <v>83.250442504882813</v>
      </c>
      <c r="R42" s="11">
        <v>42.412731170654297</v>
      </c>
      <c r="S42" s="11">
        <v>79.071731567382813</v>
      </c>
      <c r="T42" s="11">
        <v>88.679779052734375</v>
      </c>
      <c r="U42" s="11">
        <v>92.771453857421875</v>
      </c>
    </row>
    <row r="43" spans="1:21" x14ac:dyDescent="0.2">
      <c r="A43" t="s">
        <v>143</v>
      </c>
      <c r="B43" t="s">
        <v>144</v>
      </c>
      <c r="C43" s="11">
        <v>67.223213195800781</v>
      </c>
      <c r="D43" s="3">
        <v>70</v>
      </c>
      <c r="E43" s="11">
        <v>99.779876708984375</v>
      </c>
      <c r="F43" s="11">
        <v>50.969127655029297</v>
      </c>
      <c r="G43" s="11">
        <v>69.101478576660156</v>
      </c>
      <c r="H43" s="11">
        <v>72.255744934082031</v>
      </c>
      <c r="I43" s="11">
        <v>72.187484741210938</v>
      </c>
      <c r="J43" s="11">
        <v>78.889915466308594</v>
      </c>
      <c r="K43" s="11">
        <v>82.438072204589844</v>
      </c>
      <c r="L43" s="11">
        <v>65.090286254882813</v>
      </c>
      <c r="M43" s="11">
        <v>24.818780899047852</v>
      </c>
      <c r="N43" s="11">
        <v>38.373355865478516</v>
      </c>
      <c r="O43" s="11">
        <v>79.676406860351563</v>
      </c>
      <c r="P43" s="11">
        <v>78.753646850585938</v>
      </c>
      <c r="Q43" s="11">
        <v>87.508255004882813</v>
      </c>
      <c r="R43" s="11">
        <v>56.281352996826172</v>
      </c>
      <c r="S43" s="11">
        <v>68.719451904296875</v>
      </c>
      <c r="T43" s="11">
        <v>46.400894165039063</v>
      </c>
      <c r="U43" s="11">
        <v>71.550544738769531</v>
      </c>
    </row>
    <row r="44" spans="1:21" x14ac:dyDescent="0.2">
      <c r="A44" t="s">
        <v>161</v>
      </c>
      <c r="B44" t="s">
        <v>162</v>
      </c>
      <c r="C44" s="11">
        <v>68.763450622558594</v>
      </c>
      <c r="D44" s="3">
        <v>64</v>
      </c>
      <c r="E44" s="11">
        <v>98.044631958007813</v>
      </c>
      <c r="F44" s="11">
        <v>50.922809600830078</v>
      </c>
      <c r="G44" s="11">
        <v>75.809745788574219</v>
      </c>
      <c r="H44" s="11">
        <v>79.222892761230469</v>
      </c>
      <c r="I44" s="11">
        <v>47.406410217285156</v>
      </c>
      <c r="J44" s="11">
        <v>68.292289733886719</v>
      </c>
      <c r="K44" s="11">
        <v>79.466873168945313</v>
      </c>
      <c r="L44" s="11">
        <v>64.238662719726563</v>
      </c>
      <c r="M44" s="11">
        <v>19.861026763916016</v>
      </c>
      <c r="N44" s="11" t="s">
        <v>464</v>
      </c>
      <c r="O44" s="11">
        <v>75.39453125</v>
      </c>
      <c r="P44" s="11">
        <v>81.501632690429688</v>
      </c>
      <c r="Q44" s="11">
        <v>90.548423767089844</v>
      </c>
      <c r="R44" s="11">
        <v>45.372234344482422</v>
      </c>
      <c r="S44" s="11">
        <v>60.060840606689453</v>
      </c>
      <c r="T44" s="11">
        <v>64.07220458984375</v>
      </c>
      <c r="U44" s="11">
        <v>100</v>
      </c>
    </row>
    <row r="45" spans="1:21" x14ac:dyDescent="0.2">
      <c r="A45" t="s">
        <v>167</v>
      </c>
      <c r="B45" t="s">
        <v>168</v>
      </c>
      <c r="C45" s="11">
        <v>69.044258117675781</v>
      </c>
      <c r="D45" s="3">
        <v>60</v>
      </c>
      <c r="E45" s="11">
        <v>94.65478515625</v>
      </c>
      <c r="F45" s="11">
        <v>48.528079986572266</v>
      </c>
      <c r="G45" s="11">
        <v>77.728012084960938</v>
      </c>
      <c r="H45" s="11">
        <v>78.24755859375</v>
      </c>
      <c r="I45" s="11">
        <v>76.599403381347656</v>
      </c>
      <c r="J45" s="11">
        <v>87.746109008789063</v>
      </c>
      <c r="K45" s="11">
        <v>81.45257568359375</v>
      </c>
      <c r="L45" s="11">
        <v>65.300941467285156</v>
      </c>
      <c r="M45" s="11">
        <v>25.330379486083984</v>
      </c>
      <c r="N45" s="11">
        <v>43.216598510742188</v>
      </c>
      <c r="O45" s="11">
        <v>92.317642211914063</v>
      </c>
      <c r="P45" s="11">
        <v>73.359893798828125</v>
      </c>
      <c r="Q45" s="11">
        <v>88.089118957519531</v>
      </c>
      <c r="R45" s="11">
        <v>52.348026275634766</v>
      </c>
      <c r="S45" s="11">
        <v>57.530460357666016</v>
      </c>
      <c r="T45" s="11">
        <v>54.965610504150391</v>
      </c>
      <c r="U45" s="11">
        <v>76.337196350097656</v>
      </c>
    </row>
    <row r="46" spans="1:21" x14ac:dyDescent="0.2">
      <c r="A46" t="s">
        <v>181</v>
      </c>
      <c r="B46" t="s">
        <v>182</v>
      </c>
      <c r="C46" s="11">
        <v>64.920578002929688</v>
      </c>
      <c r="D46" s="3">
        <v>87</v>
      </c>
      <c r="E46" s="11">
        <v>99.627304077148438</v>
      </c>
      <c r="F46" s="11">
        <v>49.583808898925781</v>
      </c>
      <c r="G46" s="11">
        <v>73.115402221679688</v>
      </c>
      <c r="H46" s="11">
        <v>75.75079345703125</v>
      </c>
      <c r="I46" s="11">
        <v>46.335247039794922</v>
      </c>
      <c r="J46" s="11">
        <v>71.627738952636719</v>
      </c>
      <c r="K46" s="11">
        <v>89.2059326171875</v>
      </c>
      <c r="L46" s="11">
        <v>49.81884765625</v>
      </c>
      <c r="M46" s="11">
        <v>30.498317718505859</v>
      </c>
      <c r="N46" s="11" t="s">
        <v>464</v>
      </c>
      <c r="O46" s="11">
        <v>50</v>
      </c>
      <c r="P46" s="11">
        <v>73.097145080566406</v>
      </c>
      <c r="Q46" s="11">
        <v>88.469879150390625</v>
      </c>
      <c r="R46" s="11">
        <v>47.556728363037109</v>
      </c>
      <c r="S46" s="11">
        <v>56.897998809814453</v>
      </c>
      <c r="T46" s="11">
        <v>67.635482788085938</v>
      </c>
      <c r="U46" s="11">
        <v>69.508674621582031</v>
      </c>
    </row>
    <row r="47" spans="1:21" x14ac:dyDescent="0.2">
      <c r="A47" t="s">
        <v>51</v>
      </c>
      <c r="B47" t="s">
        <v>52</v>
      </c>
      <c r="C47" s="11">
        <v>76.751457214355469</v>
      </c>
      <c r="D47" s="3">
        <v>25</v>
      </c>
      <c r="E47" s="11">
        <v>98.394210815429688</v>
      </c>
      <c r="F47" s="11">
        <v>60.92218017578125</v>
      </c>
      <c r="G47" s="11">
        <v>93.924331665039063</v>
      </c>
      <c r="H47" s="11">
        <v>88.878128051757813</v>
      </c>
      <c r="I47" s="11">
        <v>80.585159301757813</v>
      </c>
      <c r="J47" s="11">
        <v>91.515945434570313</v>
      </c>
      <c r="K47" s="11">
        <v>91.194694519042969</v>
      </c>
      <c r="L47" s="11">
        <v>80.885391235351563</v>
      </c>
      <c r="M47" s="11">
        <v>66.873237609863281</v>
      </c>
      <c r="N47" s="11">
        <v>70.413246154785156</v>
      </c>
      <c r="O47" s="11">
        <v>97.955390930175781</v>
      </c>
      <c r="P47" s="11">
        <v>60.771583557128906</v>
      </c>
      <c r="Q47" s="11">
        <v>84.895355224609375</v>
      </c>
      <c r="R47" s="11">
        <v>45.289268493652344</v>
      </c>
      <c r="S47" s="11">
        <v>58.338130950927734</v>
      </c>
      <c r="T47" s="11">
        <v>69.478965759277344</v>
      </c>
      <c r="U47" s="11">
        <v>64.459609985351563</v>
      </c>
    </row>
    <row r="48" spans="1:21" x14ac:dyDescent="0.2">
      <c r="A48" t="s">
        <v>39</v>
      </c>
      <c r="B48" t="s">
        <v>40</v>
      </c>
      <c r="C48" s="11">
        <v>78.5592041015625</v>
      </c>
      <c r="D48" s="3">
        <v>15</v>
      </c>
      <c r="E48" s="11">
        <v>99.178634643554688</v>
      </c>
      <c r="F48" s="11">
        <v>63.625484466552734</v>
      </c>
      <c r="G48" s="11">
        <v>87.364723205566406</v>
      </c>
      <c r="H48" s="11">
        <v>94.021629333496094</v>
      </c>
      <c r="I48" s="11">
        <v>73.922012329101563</v>
      </c>
      <c r="J48" s="11">
        <v>96.262367248535156</v>
      </c>
      <c r="K48" s="11">
        <v>81.407028198242188</v>
      </c>
      <c r="L48" s="11">
        <v>79.501029968261719</v>
      </c>
      <c r="M48" s="11">
        <v>60.968929290771484</v>
      </c>
      <c r="N48" s="11">
        <v>78.265602111816406</v>
      </c>
      <c r="O48" s="11">
        <v>98.249107360839844</v>
      </c>
      <c r="P48" s="11">
        <v>60.881671905517578</v>
      </c>
      <c r="Q48" s="11">
        <v>75.12841796875</v>
      </c>
      <c r="R48" s="11">
        <v>74.434761047363281</v>
      </c>
      <c r="S48" s="11">
        <v>78.661224365234375</v>
      </c>
      <c r="T48" s="11">
        <v>79.229118347167969</v>
      </c>
      <c r="U48" s="11">
        <v>54.404735565185547</v>
      </c>
    </row>
    <row r="49" spans="1:21" x14ac:dyDescent="0.2">
      <c r="A49" t="s">
        <v>307</v>
      </c>
      <c r="B49" t="s">
        <v>308</v>
      </c>
      <c r="C49" s="11">
        <v>53.496246337890625</v>
      </c>
      <c r="D49" s="3">
        <v>126</v>
      </c>
      <c r="E49" s="11">
        <v>82.803291320800781</v>
      </c>
      <c r="F49" s="11">
        <v>38.162273406982422</v>
      </c>
      <c r="G49" s="11">
        <v>48.991130828857422</v>
      </c>
      <c r="H49" s="11">
        <v>38.641960144042969</v>
      </c>
      <c r="I49" s="11">
        <v>53.206314086914063</v>
      </c>
      <c r="J49" s="11">
        <v>57.160633087158203</v>
      </c>
      <c r="K49" s="11">
        <v>30.397214889526367</v>
      </c>
      <c r="L49" s="11">
        <v>41.352222442626953</v>
      </c>
      <c r="M49" s="11">
        <v>11.893957138061523</v>
      </c>
      <c r="N49" s="11">
        <v>78.208282470703125</v>
      </c>
      <c r="O49" s="11">
        <v>61.916400909423828</v>
      </c>
      <c r="P49" s="11">
        <v>78.621986389160156</v>
      </c>
      <c r="Q49" s="11">
        <v>74.980072021484375</v>
      </c>
      <c r="R49" s="11" t="s">
        <v>464</v>
      </c>
      <c r="S49" s="11">
        <v>55.096260070800781</v>
      </c>
      <c r="T49" s="11">
        <v>52.906143188476563</v>
      </c>
      <c r="U49" s="11">
        <v>51.601776123046875</v>
      </c>
    </row>
    <row r="50" spans="1:21" x14ac:dyDescent="0.2">
      <c r="A50" t="s">
        <v>21</v>
      </c>
      <c r="B50" t="s">
        <v>22</v>
      </c>
      <c r="C50" s="11">
        <v>84.0198974609375</v>
      </c>
      <c r="D50" s="3">
        <v>3</v>
      </c>
      <c r="E50" s="11">
        <v>99.8939208984375</v>
      </c>
      <c r="F50" s="11">
        <v>66.08758544921875</v>
      </c>
      <c r="G50" s="11">
        <v>96.510345458984375</v>
      </c>
      <c r="H50" s="11">
        <v>90.1181640625</v>
      </c>
      <c r="I50" s="11">
        <v>87.899917602539063</v>
      </c>
      <c r="J50" s="11">
        <v>96.252113342285156</v>
      </c>
      <c r="K50" s="11">
        <v>93.129707336425781</v>
      </c>
      <c r="L50" s="11">
        <v>77.646102905273438</v>
      </c>
      <c r="M50" s="11">
        <v>87.575180053710938</v>
      </c>
      <c r="N50" s="11">
        <v>95.546516418457031</v>
      </c>
      <c r="O50" s="11">
        <v>99.4423828125</v>
      </c>
      <c r="P50" s="11">
        <v>53.546199798583984</v>
      </c>
      <c r="Q50" s="11">
        <v>68.663604736328125</v>
      </c>
      <c r="R50" s="11">
        <v>75.981552124023438</v>
      </c>
      <c r="S50" s="11">
        <v>67.620964050292969</v>
      </c>
      <c r="T50" s="11">
        <v>91.319404602050781</v>
      </c>
      <c r="U50" s="11">
        <v>81.1046142578125</v>
      </c>
    </row>
    <row r="51" spans="1:21" x14ac:dyDescent="0.2">
      <c r="A51" t="s">
        <v>31</v>
      </c>
      <c r="B51" t="s">
        <v>32</v>
      </c>
      <c r="C51" s="11">
        <v>80.315399169921875</v>
      </c>
      <c r="D51" s="3">
        <v>10</v>
      </c>
      <c r="E51" s="11">
        <v>99.723907470703125</v>
      </c>
      <c r="F51" s="11">
        <v>71.559059143066406</v>
      </c>
      <c r="G51" s="11">
        <v>93.121040344238281</v>
      </c>
      <c r="H51" s="11">
        <v>91.323501586914063</v>
      </c>
      <c r="I51" s="11">
        <v>77.96356201171875</v>
      </c>
      <c r="J51" s="11">
        <v>95.37640380859375</v>
      </c>
      <c r="K51" s="11">
        <v>94.639289855957031</v>
      </c>
      <c r="L51" s="11">
        <v>79.651168823242188</v>
      </c>
      <c r="M51" s="11">
        <v>77.219070434570313</v>
      </c>
      <c r="N51" s="11">
        <v>78.408897399902344</v>
      </c>
      <c r="O51" s="11">
        <v>96.406448364257813</v>
      </c>
      <c r="P51" s="11">
        <v>56.683528900146484</v>
      </c>
      <c r="Q51" s="11">
        <v>79.176872253417969</v>
      </c>
      <c r="R51" s="11">
        <v>58.456485748291016</v>
      </c>
      <c r="S51" s="11">
        <v>73.366020202636719</v>
      </c>
      <c r="T51" s="11">
        <v>71.5682373046875</v>
      </c>
      <c r="U51" s="11">
        <v>70.718353271484375</v>
      </c>
    </row>
    <row r="52" spans="1:21" x14ac:dyDescent="0.2">
      <c r="A52" t="s">
        <v>245</v>
      </c>
      <c r="B52" t="s">
        <v>246</v>
      </c>
      <c r="C52" s="11">
        <v>65.136032104492188</v>
      </c>
      <c r="D52" s="3">
        <v>85</v>
      </c>
      <c r="E52" s="11">
        <v>97.861328125</v>
      </c>
      <c r="F52" s="11">
        <v>50.654422760009766</v>
      </c>
      <c r="G52" s="11">
        <v>52.911811828613281</v>
      </c>
      <c r="H52" s="11">
        <v>66.350326538085938</v>
      </c>
      <c r="I52" s="11">
        <v>50.607578277587891</v>
      </c>
      <c r="J52" s="11">
        <v>78.7208251953125</v>
      </c>
      <c r="K52" s="11">
        <v>73.679496765136719</v>
      </c>
      <c r="L52" s="11">
        <v>49.408626556396484</v>
      </c>
      <c r="M52" s="11">
        <v>17.04316520690918</v>
      </c>
      <c r="N52" s="11">
        <v>52.387229919433594</v>
      </c>
      <c r="O52" s="11">
        <v>69.509719848632813</v>
      </c>
      <c r="P52" s="11">
        <v>78.22344970703125</v>
      </c>
      <c r="Q52" s="11">
        <v>89.637443542480469</v>
      </c>
      <c r="R52" s="11">
        <v>44.577003479003906</v>
      </c>
      <c r="S52" s="11">
        <v>83.043815612792969</v>
      </c>
      <c r="T52" s="11">
        <v>52.696243286132813</v>
      </c>
      <c r="U52" s="11">
        <v>100</v>
      </c>
    </row>
    <row r="53" spans="1:21" x14ac:dyDescent="0.2">
      <c r="A53" t="s">
        <v>41</v>
      </c>
      <c r="B53" t="s">
        <v>42</v>
      </c>
      <c r="C53" s="11">
        <v>78.278091430664063</v>
      </c>
      <c r="D53" s="3">
        <v>16</v>
      </c>
      <c r="E53" s="11">
        <v>99.790603637695313</v>
      </c>
      <c r="F53" s="11">
        <v>70.119430541992188</v>
      </c>
      <c r="G53" s="11">
        <v>94.027854919433594</v>
      </c>
      <c r="H53" s="11">
        <v>99.842422485351563</v>
      </c>
      <c r="I53" s="11">
        <v>80.904006958007813</v>
      </c>
      <c r="J53" s="11">
        <v>94.308021545410156</v>
      </c>
      <c r="K53" s="11">
        <v>87.801094055175781</v>
      </c>
      <c r="L53" s="11">
        <v>84.574943542480469</v>
      </c>
      <c r="M53" s="11">
        <v>80.694610595703125</v>
      </c>
      <c r="N53" s="11">
        <v>79.927780151367188</v>
      </c>
      <c r="O53" s="11">
        <v>96.344482421875</v>
      </c>
      <c r="P53" s="11">
        <v>51.587322235107422</v>
      </c>
      <c r="Q53" s="11">
        <v>74.887123107910156</v>
      </c>
      <c r="R53" s="11">
        <v>52.746635437011719</v>
      </c>
      <c r="S53" s="11">
        <v>64.526718139648438</v>
      </c>
      <c r="T53" s="11">
        <v>81.368003845214844</v>
      </c>
      <c r="U53" s="11">
        <v>37.276466369628906</v>
      </c>
    </row>
    <row r="54" spans="1:21" x14ac:dyDescent="0.2">
      <c r="A54" t="s">
        <v>103</v>
      </c>
      <c r="B54" t="s">
        <v>104</v>
      </c>
      <c r="C54" s="11">
        <v>68.579109191894531</v>
      </c>
      <c r="D54" s="3">
        <v>66</v>
      </c>
      <c r="E54" s="11">
        <v>92.646011352539063</v>
      </c>
      <c r="F54" s="11">
        <v>51.050846099853516</v>
      </c>
      <c r="G54" s="11">
        <v>73.342132568359375</v>
      </c>
      <c r="H54" s="11">
        <v>96.098907470703125</v>
      </c>
      <c r="I54" s="11">
        <v>58.767051696777344</v>
      </c>
      <c r="J54" s="11">
        <v>93.067771911621094</v>
      </c>
      <c r="K54" s="11">
        <v>76.56256103515625</v>
      </c>
      <c r="L54" s="11">
        <v>50.866455078125</v>
      </c>
      <c r="M54" s="11">
        <v>23.96710205078125</v>
      </c>
      <c r="N54" s="11">
        <v>58.376796722412109</v>
      </c>
      <c r="O54" s="11">
        <v>89.67041015625</v>
      </c>
      <c r="P54" s="11">
        <v>71.215629577636719</v>
      </c>
      <c r="Q54" s="11">
        <v>83.109092712402344</v>
      </c>
      <c r="R54" s="11">
        <v>45.745830535888672</v>
      </c>
      <c r="S54" s="11">
        <v>59.875442504882813</v>
      </c>
      <c r="T54" s="11">
        <v>73.164459228515625</v>
      </c>
      <c r="U54" s="11">
        <v>68.318374633789063</v>
      </c>
    </row>
    <row r="55" spans="1:21" x14ac:dyDescent="0.2">
      <c r="A55" t="s">
        <v>263</v>
      </c>
      <c r="B55" t="s">
        <v>264</v>
      </c>
      <c r="C55" s="11">
        <v>59.897331237792969</v>
      </c>
      <c r="D55" s="3">
        <v>109</v>
      </c>
      <c r="E55" s="11">
        <v>79.502517700195313</v>
      </c>
      <c r="F55" s="11">
        <v>54.263595581054688</v>
      </c>
      <c r="G55" s="11">
        <v>54.897315979003906</v>
      </c>
      <c r="H55" s="11">
        <v>68.606452941894531</v>
      </c>
      <c r="I55" s="11">
        <v>48.485015869140625</v>
      </c>
      <c r="J55" s="11">
        <v>68.79425048828125</v>
      </c>
      <c r="K55" s="11">
        <v>53.624362945556641</v>
      </c>
      <c r="L55" s="11">
        <v>54.016193389892578</v>
      </c>
      <c r="M55" s="11">
        <v>22.624664306640625</v>
      </c>
      <c r="N55" s="11">
        <v>50.696392059326172</v>
      </c>
      <c r="O55" s="11">
        <v>54.367156982421875</v>
      </c>
      <c r="P55" s="11">
        <v>78.099952697753906</v>
      </c>
      <c r="Q55" s="11">
        <v>87.999977111816406</v>
      </c>
      <c r="R55" s="11">
        <v>45.227149963378906</v>
      </c>
      <c r="S55" s="11">
        <v>71.590599060058594</v>
      </c>
      <c r="T55" s="11">
        <v>66.962684631347656</v>
      </c>
      <c r="U55" s="11">
        <v>58.496322631835938</v>
      </c>
    </row>
    <row r="56" spans="1:21" x14ac:dyDescent="0.2">
      <c r="A56" t="s">
        <v>303</v>
      </c>
      <c r="B56" t="s">
        <v>304</v>
      </c>
      <c r="C56" s="11">
        <v>48.781768798828125</v>
      </c>
      <c r="D56" s="3">
        <v>144</v>
      </c>
      <c r="E56" s="11">
        <v>54.180294036865234</v>
      </c>
      <c r="F56" s="11">
        <v>45.943046569824219</v>
      </c>
      <c r="G56" s="11">
        <v>32.561241149902344</v>
      </c>
      <c r="H56" s="11">
        <v>16.494068145751953</v>
      </c>
      <c r="I56" s="11">
        <v>30.446254730224609</v>
      </c>
      <c r="J56" s="11">
        <v>55.008682250976563</v>
      </c>
      <c r="K56" s="11">
        <v>10.292281150817871</v>
      </c>
      <c r="L56" s="11">
        <v>36.082771301269531</v>
      </c>
      <c r="M56" s="11">
        <v>4.1693606376647949</v>
      </c>
      <c r="N56" s="11">
        <v>76.603424072265625</v>
      </c>
      <c r="O56" s="11">
        <v>58.353115081787109</v>
      </c>
      <c r="P56" s="11">
        <v>79.04998779296875</v>
      </c>
      <c r="Q56" s="11">
        <v>92.997657775878906</v>
      </c>
      <c r="R56" s="11">
        <v>44.707450866699219</v>
      </c>
      <c r="S56" s="11">
        <v>80.538192749023438</v>
      </c>
      <c r="T56" s="11">
        <v>48.809238433837891</v>
      </c>
      <c r="U56" s="11">
        <v>63.053001403808594</v>
      </c>
    </row>
    <row r="57" spans="1:21" x14ac:dyDescent="0.2">
      <c r="A57" t="s">
        <v>277</v>
      </c>
      <c r="B57" t="s">
        <v>278</v>
      </c>
      <c r="C57" s="11">
        <v>47.820415496826172</v>
      </c>
      <c r="D57" s="3">
        <v>148</v>
      </c>
      <c r="E57" s="11">
        <v>40.585655212402344</v>
      </c>
      <c r="F57" s="11">
        <v>44.460109710693359</v>
      </c>
      <c r="G57" s="11">
        <v>49.267326354980469</v>
      </c>
      <c r="H57" s="11">
        <v>35.086326599121094</v>
      </c>
      <c r="I57" s="11">
        <v>36.565059661865234</v>
      </c>
      <c r="J57" s="11">
        <v>67.762725830078125</v>
      </c>
      <c r="K57" s="11">
        <v>22.488561630249023</v>
      </c>
      <c r="L57" s="11">
        <v>17.048345565795898</v>
      </c>
      <c r="M57" s="11">
        <v>12.547503471374512</v>
      </c>
      <c r="N57" s="11">
        <v>37.628246307373047</v>
      </c>
      <c r="O57" s="11">
        <v>53.93408203125</v>
      </c>
      <c r="P57" s="11">
        <v>78.142158508300781</v>
      </c>
      <c r="Q57" s="11">
        <v>78.363136291503906</v>
      </c>
      <c r="R57" s="11">
        <v>41.498325347900391</v>
      </c>
      <c r="S57" s="11">
        <v>67.285171508789063</v>
      </c>
      <c r="T57" s="11">
        <v>64.272262573242188</v>
      </c>
      <c r="U57" s="11">
        <v>66.012054443359375</v>
      </c>
    </row>
    <row r="58" spans="1:21" x14ac:dyDescent="0.2">
      <c r="A58" t="s">
        <v>75</v>
      </c>
      <c r="B58" t="s">
        <v>76</v>
      </c>
      <c r="C58" s="11">
        <v>72.88934326171875</v>
      </c>
      <c r="D58" s="3">
        <v>38</v>
      </c>
      <c r="E58" s="11">
        <v>97.620574951171875</v>
      </c>
      <c r="F58" s="11">
        <v>66.355171203613281</v>
      </c>
      <c r="G58" s="11">
        <v>89.258880615234375</v>
      </c>
      <c r="H58" s="11">
        <v>88.849411010742188</v>
      </c>
      <c r="I58" s="11">
        <v>60.807964324951172</v>
      </c>
      <c r="J58" s="11">
        <v>94.659652709960938</v>
      </c>
      <c r="K58" s="11">
        <v>86.247100830078125</v>
      </c>
      <c r="L58" s="11">
        <v>66.116928100585938</v>
      </c>
      <c r="M58" s="11">
        <v>46.182373046875</v>
      </c>
      <c r="N58" s="11">
        <v>68.149253845214844</v>
      </c>
      <c r="O58" s="11">
        <v>95.724906921386719</v>
      </c>
      <c r="P58" s="11">
        <v>46.351654052734375</v>
      </c>
      <c r="Q58" s="11">
        <v>70.64605712890625</v>
      </c>
      <c r="R58" s="11">
        <v>57.925388336181641</v>
      </c>
      <c r="S58" s="11">
        <v>73.576171875</v>
      </c>
      <c r="T58" s="11">
        <v>65.306800842285156</v>
      </c>
      <c r="U58" s="11">
        <v>65.340522766113281</v>
      </c>
    </row>
    <row r="59" spans="1:21" x14ac:dyDescent="0.2">
      <c r="A59" t="s">
        <v>273</v>
      </c>
      <c r="B59" t="s">
        <v>274</v>
      </c>
      <c r="C59" s="11">
        <v>58.322341918945313</v>
      </c>
      <c r="D59" s="3">
        <v>112</v>
      </c>
      <c r="E59" s="11">
        <v>90.448410034179688</v>
      </c>
      <c r="F59" s="11">
        <v>39.6334228515625</v>
      </c>
      <c r="G59" s="11">
        <v>68.608856201171875</v>
      </c>
      <c r="H59" s="11">
        <v>64.883033752441406</v>
      </c>
      <c r="I59" s="11">
        <v>56.515811920166016</v>
      </c>
      <c r="J59" s="11">
        <v>82.380134582519531</v>
      </c>
      <c r="K59" s="11">
        <v>56.956695556640625</v>
      </c>
      <c r="L59" s="11">
        <v>60.69525146484375</v>
      </c>
      <c r="M59" s="11">
        <v>13.401149749755859</v>
      </c>
      <c r="N59" s="11">
        <v>33.816699981689453</v>
      </c>
      <c r="O59" s="11">
        <v>81.520561218261719</v>
      </c>
      <c r="P59" s="11">
        <v>74.655136108398438</v>
      </c>
      <c r="Q59" s="11">
        <v>88.654365539550781</v>
      </c>
      <c r="R59" s="11">
        <v>31.583148956298828</v>
      </c>
      <c r="S59" s="11">
        <v>43.889656066894531</v>
      </c>
      <c r="T59" s="11">
        <v>50.999580383300781</v>
      </c>
      <c r="U59" s="11">
        <v>52.837909698486328</v>
      </c>
    </row>
    <row r="60" spans="1:21" x14ac:dyDescent="0.2">
      <c r="A60" t="s">
        <v>211</v>
      </c>
      <c r="B60" t="s">
        <v>212</v>
      </c>
      <c r="C60" s="11">
        <v>64.66217041015625</v>
      </c>
      <c r="D60" s="3">
        <v>91</v>
      </c>
      <c r="E60" s="11">
        <v>94.041366577148438</v>
      </c>
      <c r="F60" s="11">
        <v>55.379142761230469</v>
      </c>
      <c r="G60" s="11">
        <v>64.551612854003906</v>
      </c>
      <c r="H60" s="11">
        <v>68.381546020507813</v>
      </c>
      <c r="I60" s="11">
        <v>63.833137512207031</v>
      </c>
      <c r="J60" s="11">
        <v>91.96978759765625</v>
      </c>
      <c r="K60" s="11">
        <v>89.414749145507813</v>
      </c>
      <c r="L60" s="11">
        <v>58.212669372558594</v>
      </c>
      <c r="M60" s="11">
        <v>18.29377555847168</v>
      </c>
      <c r="N60" s="11">
        <v>72.963836669921875</v>
      </c>
      <c r="O60" s="11">
        <v>81.833335876464844</v>
      </c>
      <c r="P60" s="11">
        <v>43.832027435302734</v>
      </c>
      <c r="Q60" s="11">
        <v>44.628662109375</v>
      </c>
      <c r="R60" s="11">
        <v>52.264263153076172</v>
      </c>
      <c r="S60" s="11">
        <v>86.250831604003906</v>
      </c>
      <c r="T60" s="11">
        <v>52.739246368408203</v>
      </c>
      <c r="U60" s="11">
        <v>60.666873931884766</v>
      </c>
    </row>
    <row r="61" spans="1:21" x14ac:dyDescent="0.2">
      <c r="A61" t="s">
        <v>251</v>
      </c>
      <c r="B61" t="s">
        <v>252</v>
      </c>
      <c r="C61" s="11">
        <v>61.654609680175781</v>
      </c>
      <c r="D61" s="3">
        <v>104</v>
      </c>
      <c r="E61" s="11">
        <v>80.238151550292969</v>
      </c>
      <c r="F61" s="11">
        <v>47.179206848144531</v>
      </c>
      <c r="G61" s="11">
        <v>73.026527404785156</v>
      </c>
      <c r="H61" s="11">
        <v>71.646965026855469</v>
      </c>
      <c r="I61" s="11">
        <v>65.473854064941406</v>
      </c>
      <c r="J61" s="11">
        <v>86.9266357421875</v>
      </c>
      <c r="K61" s="11">
        <v>67.170928955078125</v>
      </c>
      <c r="L61" s="11">
        <v>49.317523956298828</v>
      </c>
      <c r="M61" s="11">
        <v>12.56047248840332</v>
      </c>
      <c r="N61" s="11">
        <v>28.142372131347656</v>
      </c>
      <c r="O61" s="11">
        <v>80.107353210449219</v>
      </c>
      <c r="P61" s="11">
        <v>76.30865478515625</v>
      </c>
      <c r="Q61" s="11">
        <v>87.138198852539063</v>
      </c>
      <c r="R61" s="11">
        <v>41.772090911865234</v>
      </c>
      <c r="S61" s="11">
        <v>60.071929931640625</v>
      </c>
      <c r="T61" s="11">
        <v>48.607074737548828</v>
      </c>
      <c r="U61" s="11">
        <v>72.440406799316406</v>
      </c>
    </row>
    <row r="62" spans="1:21" x14ac:dyDescent="0.2">
      <c r="A62" t="s">
        <v>43</v>
      </c>
      <c r="B62" t="s">
        <v>44</v>
      </c>
      <c r="C62" s="11">
        <v>76.882652282714844</v>
      </c>
      <c r="D62" s="3">
        <v>24</v>
      </c>
      <c r="E62" s="11">
        <v>99.180335998535156</v>
      </c>
      <c r="F62" s="11">
        <v>67.885231018066406</v>
      </c>
      <c r="G62" s="11">
        <v>88.232681274414063</v>
      </c>
      <c r="H62" s="11">
        <v>85.507766723632813</v>
      </c>
      <c r="I62" s="11">
        <v>58.780471801757813</v>
      </c>
      <c r="J62" s="11">
        <v>95.715324401855469</v>
      </c>
      <c r="K62" s="11">
        <v>85.4901123046875</v>
      </c>
      <c r="L62" s="11">
        <v>70.55145263671875</v>
      </c>
      <c r="M62" s="11">
        <v>46.587928771972656</v>
      </c>
      <c r="N62" s="11">
        <v>80.0997314453125</v>
      </c>
      <c r="O62" s="11">
        <v>90.565338134765625</v>
      </c>
      <c r="P62" s="11">
        <v>71.451972961425781</v>
      </c>
      <c r="Q62" s="11">
        <v>88.76873779296875</v>
      </c>
      <c r="R62" s="11">
        <v>62.649059295654297</v>
      </c>
      <c r="S62" s="11">
        <v>81.291175842285156</v>
      </c>
      <c r="T62" s="11">
        <v>62.291271209716797</v>
      </c>
      <c r="U62" s="11">
        <v>71.956527709960938</v>
      </c>
    </row>
    <row r="63" spans="1:21" x14ac:dyDescent="0.2">
      <c r="A63" t="s">
        <v>323</v>
      </c>
      <c r="B63" t="s">
        <v>324</v>
      </c>
      <c r="C63" s="11">
        <v>44.082935333251953</v>
      </c>
      <c r="D63" s="3">
        <v>152</v>
      </c>
      <c r="E63" s="11">
        <v>33.76568603515625</v>
      </c>
      <c r="F63" s="11">
        <v>40.034885406494141</v>
      </c>
      <c r="G63" s="11">
        <v>44.641098022460938</v>
      </c>
      <c r="H63" s="11">
        <v>46.652839660644531</v>
      </c>
      <c r="I63" s="11">
        <v>38.079563140869141</v>
      </c>
      <c r="J63" s="11">
        <v>54.424442291259766</v>
      </c>
      <c r="K63" s="11">
        <v>18.403591156005859</v>
      </c>
      <c r="L63" s="11">
        <v>37.81005859375</v>
      </c>
      <c r="M63" s="11">
        <v>2.3194601535797119</v>
      </c>
      <c r="N63" s="11">
        <v>0</v>
      </c>
      <c r="O63" s="11">
        <v>44.048927307128906</v>
      </c>
      <c r="P63" s="11">
        <v>77.6737060546875</v>
      </c>
      <c r="Q63" s="11">
        <v>91.007698059082031</v>
      </c>
      <c r="R63" s="11">
        <v>34.943565368652344</v>
      </c>
      <c r="S63" s="11">
        <v>39.701396942138672</v>
      </c>
      <c r="T63" s="11">
        <v>45.902969360351563</v>
      </c>
      <c r="U63" s="11">
        <v>100</v>
      </c>
    </row>
    <row r="64" spans="1:21" x14ac:dyDescent="0.2">
      <c r="A64" t="s">
        <v>63</v>
      </c>
      <c r="B64" t="s">
        <v>64</v>
      </c>
      <c r="C64" s="11">
        <v>77.998916625976563</v>
      </c>
      <c r="D64" s="3">
        <v>18</v>
      </c>
      <c r="E64" s="11">
        <v>99.465522766113281</v>
      </c>
      <c r="F64" s="11">
        <v>69.899284362792969</v>
      </c>
      <c r="G64" s="11">
        <v>83.729301452636719</v>
      </c>
      <c r="H64" s="11">
        <v>89.0887451171875</v>
      </c>
      <c r="I64" s="11">
        <v>66.067840576171875</v>
      </c>
      <c r="J64" s="11">
        <v>97.6434326171875</v>
      </c>
      <c r="K64" s="11">
        <v>81.673423767089844</v>
      </c>
      <c r="L64" s="11">
        <v>79.67864990234375</v>
      </c>
      <c r="M64" s="11">
        <v>46.462184906005859</v>
      </c>
      <c r="N64" s="11">
        <v>85.716743469238281</v>
      </c>
      <c r="O64" s="11">
        <v>88.662551879882813</v>
      </c>
      <c r="P64" s="11">
        <v>68.938766479492188</v>
      </c>
      <c r="Q64" s="11">
        <v>92.302352905273438</v>
      </c>
      <c r="R64" s="11" t="s">
        <v>464</v>
      </c>
      <c r="S64" s="11">
        <v>79.844139099121094</v>
      </c>
      <c r="T64" s="11">
        <v>58.165660858154297</v>
      </c>
      <c r="U64" s="11">
        <v>60.644012451171875</v>
      </c>
    </row>
    <row r="65" spans="1:21" x14ac:dyDescent="0.2">
      <c r="A65" t="s">
        <v>169</v>
      </c>
      <c r="B65" t="s">
        <v>170</v>
      </c>
      <c r="C65" s="11">
        <v>62.883823394775391</v>
      </c>
      <c r="D65" s="3">
        <v>100</v>
      </c>
      <c r="E65" s="11">
        <v>94.638427734375</v>
      </c>
      <c r="F65" s="11">
        <v>46.899303436279297</v>
      </c>
      <c r="G65" s="11">
        <v>60.705047607421875</v>
      </c>
      <c r="H65" s="11">
        <v>76.186042785644531</v>
      </c>
      <c r="I65" s="11">
        <v>59.347736358642578</v>
      </c>
      <c r="J65" s="11">
        <v>81.646530151367188</v>
      </c>
      <c r="K65" s="11">
        <v>64.791748046875</v>
      </c>
      <c r="L65" s="11">
        <v>67.656394958496094</v>
      </c>
      <c r="M65" s="11">
        <v>25.422952651977539</v>
      </c>
      <c r="N65" s="11">
        <v>60.153610229492188</v>
      </c>
      <c r="O65" s="11">
        <v>58.680557250976563</v>
      </c>
      <c r="P65" s="11">
        <v>79.262466430664063</v>
      </c>
      <c r="Q65" s="11">
        <v>88.510787963867188</v>
      </c>
      <c r="R65" s="11">
        <v>44.498989105224609</v>
      </c>
      <c r="S65" s="11">
        <v>44.203742980957031</v>
      </c>
      <c r="T65" s="11">
        <v>69.886199951171875</v>
      </c>
      <c r="U65" s="11">
        <v>46.534442901611328</v>
      </c>
    </row>
    <row r="66" spans="1:21" x14ac:dyDescent="0.2">
      <c r="A66" t="s">
        <v>243</v>
      </c>
      <c r="B66" t="s">
        <v>244</v>
      </c>
      <c r="C66" s="11">
        <v>58.068820953369141</v>
      </c>
      <c r="D66" s="3">
        <v>116</v>
      </c>
      <c r="E66" s="11">
        <v>93.385078430175781</v>
      </c>
      <c r="F66" s="11">
        <v>36.852024078369141</v>
      </c>
      <c r="G66" s="11">
        <v>55.213714599609375</v>
      </c>
      <c r="H66" s="11">
        <v>65.300369262695313</v>
      </c>
      <c r="I66" s="11">
        <v>33.300739288330078</v>
      </c>
      <c r="J66" s="11">
        <v>73.716346740722656</v>
      </c>
      <c r="K66" s="11">
        <v>53.973793029785156</v>
      </c>
      <c r="L66" s="11">
        <v>68.254425048828125</v>
      </c>
      <c r="M66" s="11">
        <v>33.077934265136719</v>
      </c>
      <c r="N66" s="11">
        <v>72.533958435058594</v>
      </c>
      <c r="O66" s="11">
        <v>34.302524566650391</v>
      </c>
      <c r="P66" s="11">
        <v>81.556205749511719</v>
      </c>
      <c r="Q66" s="11">
        <v>74.665122985839844</v>
      </c>
      <c r="R66" s="11">
        <v>42.901557922363281</v>
      </c>
      <c r="S66" s="11">
        <v>46.971038818359375</v>
      </c>
      <c r="T66" s="11">
        <v>69.426445007324219</v>
      </c>
      <c r="U66" s="11">
        <v>51.738662719726563</v>
      </c>
    </row>
    <row r="67" spans="1:21" x14ac:dyDescent="0.2">
      <c r="A67" t="s">
        <v>53</v>
      </c>
      <c r="B67" t="s">
        <v>54</v>
      </c>
      <c r="C67" s="11">
        <v>77.920616149902344</v>
      </c>
      <c r="D67" s="3">
        <v>19</v>
      </c>
      <c r="E67" s="11">
        <v>99.723709106445313</v>
      </c>
      <c r="F67" s="11">
        <v>73.157554626464844</v>
      </c>
      <c r="G67" s="11">
        <v>94.351272583007813</v>
      </c>
      <c r="H67" s="11">
        <v>90.021224975585938</v>
      </c>
      <c r="I67" s="11">
        <v>72.877372741699219</v>
      </c>
      <c r="J67" s="11">
        <v>90.222404479980469</v>
      </c>
      <c r="K67" s="11">
        <v>86.42706298828125</v>
      </c>
      <c r="L67" s="11">
        <v>82.444915771484375</v>
      </c>
      <c r="M67" s="11">
        <v>70.513916015625</v>
      </c>
      <c r="N67" s="11">
        <v>80.071075439453125</v>
      </c>
      <c r="O67" s="11">
        <v>96.835952758789063</v>
      </c>
      <c r="P67" s="11">
        <v>46.949783325195313</v>
      </c>
      <c r="Q67" s="11">
        <v>85.69390869140625</v>
      </c>
      <c r="R67" s="11">
        <v>48.113216400146484</v>
      </c>
      <c r="S67" s="11">
        <v>74.577743530273438</v>
      </c>
      <c r="T67" s="11">
        <v>87.50469970703125</v>
      </c>
      <c r="U67" s="11">
        <v>45.164615631103516</v>
      </c>
    </row>
    <row r="68" spans="1:21" x14ac:dyDescent="0.2">
      <c r="A68" t="s">
        <v>191</v>
      </c>
      <c r="B68" t="s">
        <v>192</v>
      </c>
      <c r="C68" s="11">
        <v>64.7003173828125</v>
      </c>
      <c r="D68" s="3">
        <v>89</v>
      </c>
      <c r="E68" s="11">
        <v>99.975395202636719</v>
      </c>
      <c r="F68" s="11">
        <v>51.330020904541016</v>
      </c>
      <c r="G68" s="11">
        <v>77.170509338378906</v>
      </c>
      <c r="H68" s="11">
        <v>84.52490234375</v>
      </c>
      <c r="I68" s="11">
        <v>41.924640655517578</v>
      </c>
      <c r="J68" s="11">
        <v>68.425567626953125</v>
      </c>
      <c r="K68" s="11">
        <v>78.193031311035156</v>
      </c>
      <c r="L68" s="11">
        <v>71.361763000488281</v>
      </c>
      <c r="M68" s="11">
        <v>26.691362380981445</v>
      </c>
      <c r="N68" s="11">
        <v>66.229156494140625</v>
      </c>
      <c r="O68" s="11">
        <v>74.8621826171875</v>
      </c>
      <c r="P68" s="11">
        <v>68.293266296386719</v>
      </c>
      <c r="Q68" s="11">
        <v>73.429084777832031</v>
      </c>
      <c r="R68" s="11">
        <v>52.374366760253906</v>
      </c>
      <c r="S68" s="11">
        <v>56.738777160644531</v>
      </c>
      <c r="T68" s="11">
        <v>57.527076721191406</v>
      </c>
      <c r="U68" s="11">
        <v>50.854324340820313</v>
      </c>
    </row>
    <row r="69" spans="1:21" x14ac:dyDescent="0.2">
      <c r="A69" t="s">
        <v>229</v>
      </c>
      <c r="B69" t="s">
        <v>230</v>
      </c>
      <c r="C69" s="11">
        <v>56.630474090576172</v>
      </c>
      <c r="D69" s="3">
        <v>118</v>
      </c>
      <c r="E69" s="11">
        <v>99.053390502929688</v>
      </c>
      <c r="F69" s="11">
        <v>36.648422241210938</v>
      </c>
      <c r="G69" s="11">
        <v>62.182281494140625</v>
      </c>
      <c r="H69" s="11">
        <v>52.616146087646484</v>
      </c>
      <c r="I69" s="11">
        <v>36.507938385009766</v>
      </c>
      <c r="J69" s="11">
        <v>60.796527862548828</v>
      </c>
      <c r="K69" s="11">
        <v>77.101272583007813</v>
      </c>
      <c r="L69" s="11">
        <v>47.906410217285156</v>
      </c>
      <c r="M69" s="11">
        <v>4.7213234901428223</v>
      </c>
      <c r="N69" s="11">
        <v>84.713706970214844</v>
      </c>
      <c r="O69" s="11">
        <v>66.808929443359375</v>
      </c>
      <c r="P69" s="11">
        <v>76.993354797363281</v>
      </c>
      <c r="Q69" s="11">
        <v>86.768577575683594</v>
      </c>
      <c r="R69" s="11">
        <v>19.637678146362305</v>
      </c>
      <c r="S69" s="11">
        <v>30.803157806396484</v>
      </c>
      <c r="T69" s="11">
        <v>69.458915710449219</v>
      </c>
      <c r="U69" s="11">
        <v>50</v>
      </c>
    </row>
    <row r="70" spans="1:21" x14ac:dyDescent="0.2">
      <c r="A70" t="s">
        <v>77</v>
      </c>
      <c r="B70" t="s">
        <v>78</v>
      </c>
      <c r="C70" s="11">
        <v>79.29339599609375</v>
      </c>
      <c r="D70" s="3">
        <v>14</v>
      </c>
      <c r="E70" s="11">
        <v>99.694778442382813</v>
      </c>
      <c r="F70" s="11">
        <v>74.75579833984375</v>
      </c>
      <c r="G70" s="11">
        <v>95.754463195800781</v>
      </c>
      <c r="H70" s="11">
        <v>94.135650634765625</v>
      </c>
      <c r="I70" s="11">
        <v>92.604339599609375</v>
      </c>
      <c r="J70" s="11">
        <v>94.200714111328125</v>
      </c>
      <c r="K70" s="11">
        <v>98.862220764160156</v>
      </c>
      <c r="L70" s="11">
        <v>75.340507507324219</v>
      </c>
      <c r="M70" s="11">
        <v>67.032562255859375</v>
      </c>
      <c r="N70" s="11">
        <v>96.062362670898438</v>
      </c>
      <c r="O70" s="11">
        <v>99.256507873535156</v>
      </c>
      <c r="P70" s="11">
        <v>51.798942565917969</v>
      </c>
      <c r="Q70" s="11">
        <v>85.268295288085938</v>
      </c>
      <c r="R70" s="11">
        <v>29.993658065795898</v>
      </c>
      <c r="S70" s="11">
        <v>37.254894256591797</v>
      </c>
      <c r="T70" s="11">
        <v>92.368576049804688</v>
      </c>
      <c r="U70" s="11">
        <v>63.603481292724609</v>
      </c>
    </row>
    <row r="71" spans="1:21" x14ac:dyDescent="0.2">
      <c r="A71" t="s">
        <v>115</v>
      </c>
      <c r="B71" t="s">
        <v>116</v>
      </c>
      <c r="C71" s="11">
        <v>70.137542724609375</v>
      </c>
      <c r="D71" s="3">
        <v>52</v>
      </c>
      <c r="E71" s="11">
        <v>99.541290283203125</v>
      </c>
      <c r="F71" s="11">
        <v>61.005653381347656</v>
      </c>
      <c r="G71" s="11">
        <v>96.084831237792969</v>
      </c>
      <c r="H71" s="11">
        <v>94.2296142578125</v>
      </c>
      <c r="I71" s="11">
        <v>73.485389709472656</v>
      </c>
      <c r="J71" s="11">
        <v>74.846771240234375</v>
      </c>
      <c r="K71" s="11">
        <v>88.627227783203125</v>
      </c>
      <c r="L71" s="11">
        <v>82.657600402832031</v>
      </c>
      <c r="M71" s="11">
        <v>69.671928405761719</v>
      </c>
      <c r="N71" s="11">
        <v>50.667732238769531</v>
      </c>
      <c r="O71" s="11">
        <v>91.07806396484375</v>
      </c>
      <c r="P71" s="11">
        <v>47.153480529785156</v>
      </c>
      <c r="Q71" s="11">
        <v>83.083221435546875</v>
      </c>
      <c r="R71" s="11">
        <v>35.051239013671875</v>
      </c>
      <c r="S71" s="11">
        <v>31.33137321472168</v>
      </c>
      <c r="T71" s="11">
        <v>62.650470733642578</v>
      </c>
      <c r="U71" s="11">
        <v>51.172328948974609</v>
      </c>
    </row>
    <row r="72" spans="1:21" x14ac:dyDescent="0.2">
      <c r="A72" t="s">
        <v>67</v>
      </c>
      <c r="B72" t="s">
        <v>68</v>
      </c>
      <c r="C72" s="11">
        <v>75.497833251953125</v>
      </c>
      <c r="D72" s="3">
        <v>30</v>
      </c>
      <c r="E72" s="11">
        <v>98.506698608398438</v>
      </c>
      <c r="F72" s="11">
        <v>68.326179504394531</v>
      </c>
      <c r="G72" s="11">
        <v>91.825416564941406</v>
      </c>
      <c r="H72" s="11">
        <v>90.883140563964844</v>
      </c>
      <c r="I72" s="11">
        <v>67.329063415527344</v>
      </c>
      <c r="J72" s="11">
        <v>90.909912109375</v>
      </c>
      <c r="K72" s="11">
        <v>88.001434326171875</v>
      </c>
      <c r="L72" s="11">
        <v>78.971290588378906</v>
      </c>
      <c r="M72" s="11">
        <v>60.708827972412109</v>
      </c>
      <c r="N72" s="11">
        <v>72.505302429199219</v>
      </c>
      <c r="O72" s="11">
        <v>91.78021240234375</v>
      </c>
      <c r="P72" s="11">
        <v>56.747756958007813</v>
      </c>
      <c r="Q72" s="11">
        <v>75.682723999023438</v>
      </c>
      <c r="R72" s="11">
        <v>47.563304901123047</v>
      </c>
      <c r="S72" s="11">
        <v>78.173255920410156</v>
      </c>
      <c r="T72" s="11">
        <v>59.840625762939453</v>
      </c>
      <c r="U72" s="11">
        <v>65.708076477050781</v>
      </c>
    </row>
    <row r="73" spans="1:21" x14ac:dyDescent="0.2">
      <c r="A73" t="s">
        <v>183</v>
      </c>
      <c r="B73" t="s">
        <v>184</v>
      </c>
      <c r="C73" s="11">
        <v>66.570106506347656</v>
      </c>
      <c r="D73" s="3">
        <v>74</v>
      </c>
      <c r="E73" s="11">
        <v>99.242607116699219</v>
      </c>
      <c r="F73" s="11">
        <v>47.283596038818359</v>
      </c>
      <c r="G73" s="11">
        <v>82.784408569335938</v>
      </c>
      <c r="H73" s="11">
        <v>80.237831115722656</v>
      </c>
      <c r="I73" s="11">
        <v>71.784927368164063</v>
      </c>
      <c r="J73" s="11">
        <v>87.437355041503906</v>
      </c>
      <c r="K73" s="11">
        <v>76.29632568359375</v>
      </c>
      <c r="L73" s="11">
        <v>61.848472595214844</v>
      </c>
      <c r="M73" s="11">
        <v>24.408016204833984</v>
      </c>
      <c r="N73" s="11">
        <v>42.987331390380859</v>
      </c>
      <c r="O73" s="11">
        <v>88.395751953125</v>
      </c>
      <c r="P73" s="11">
        <v>76.8265380859375</v>
      </c>
      <c r="Q73" s="11">
        <v>78.005653381347656</v>
      </c>
      <c r="R73" s="11">
        <v>33.202381134033203</v>
      </c>
      <c r="S73" s="11">
        <v>48.853469848632813</v>
      </c>
      <c r="T73" s="11">
        <v>56.246994018554688</v>
      </c>
      <c r="U73" s="11">
        <v>75.85015869140625</v>
      </c>
    </row>
    <row r="74" spans="1:21" x14ac:dyDescent="0.2">
      <c r="A74" t="s">
        <v>173</v>
      </c>
      <c r="B74" t="s">
        <v>174</v>
      </c>
      <c r="C74" s="11">
        <v>65.960952758789063</v>
      </c>
      <c r="D74" s="3">
        <v>80</v>
      </c>
      <c r="E74" s="11">
        <v>99.965446472167969</v>
      </c>
      <c r="F74" s="11">
        <v>47.723148345947266</v>
      </c>
      <c r="G74" s="11">
        <v>77.721748352050781</v>
      </c>
      <c r="H74" s="11">
        <v>87.489501953125</v>
      </c>
      <c r="I74" s="11">
        <v>42.021240234375</v>
      </c>
      <c r="J74" s="11">
        <v>65.504043579101563</v>
      </c>
      <c r="K74" s="11">
        <v>85.78814697265625</v>
      </c>
      <c r="L74" s="11">
        <v>56.939994812011719</v>
      </c>
      <c r="M74" s="11">
        <v>31.482135772705078</v>
      </c>
      <c r="N74" s="11">
        <v>65.5126953125</v>
      </c>
      <c r="O74" s="11">
        <v>76.742225646972656</v>
      </c>
      <c r="P74" s="11">
        <v>75.480087280273438</v>
      </c>
      <c r="Q74" s="11">
        <v>86.284698486328125</v>
      </c>
      <c r="R74" s="11">
        <v>33.411865234375</v>
      </c>
      <c r="S74" s="11">
        <v>40.233139038085938</v>
      </c>
      <c r="T74" s="11">
        <v>74.758163452148438</v>
      </c>
      <c r="U74" s="11">
        <v>74.27789306640625</v>
      </c>
    </row>
    <row r="75" spans="1:21" x14ac:dyDescent="0.2">
      <c r="A75" t="s">
        <v>61</v>
      </c>
      <c r="B75" t="s">
        <v>62</v>
      </c>
      <c r="C75" s="11">
        <v>80.182380676269531</v>
      </c>
      <c r="D75" s="3">
        <v>11</v>
      </c>
      <c r="E75" s="11">
        <v>99.277542114257813</v>
      </c>
      <c r="F75" s="11">
        <v>74.570213317871094</v>
      </c>
      <c r="G75" s="11">
        <v>94.315315246582031</v>
      </c>
      <c r="H75" s="11">
        <v>96.358871459960938</v>
      </c>
      <c r="I75" s="11">
        <v>60.674476623535156</v>
      </c>
      <c r="J75" s="11">
        <v>94.299949645996094</v>
      </c>
      <c r="K75" s="11">
        <v>87.846572875976563</v>
      </c>
      <c r="L75" s="11">
        <v>92.089874267578125</v>
      </c>
      <c r="M75" s="11">
        <v>87.321243286132813</v>
      </c>
      <c r="N75" s="11">
        <v>81.246063232421875</v>
      </c>
      <c r="O75" s="11">
        <v>95.090469360351563</v>
      </c>
      <c r="P75" s="11">
        <v>55.507480621337891</v>
      </c>
      <c r="Q75" s="11">
        <v>79.950263977050781</v>
      </c>
      <c r="R75" s="11">
        <v>59.006992340087891</v>
      </c>
      <c r="S75" s="11">
        <v>64.945892333984375</v>
      </c>
      <c r="T75" s="11">
        <v>88.317863464355469</v>
      </c>
      <c r="U75" s="11">
        <v>52.281402587890625</v>
      </c>
    </row>
    <row r="76" spans="1:21" x14ac:dyDescent="0.2">
      <c r="A76" t="s">
        <v>151</v>
      </c>
      <c r="B76" t="s">
        <v>152</v>
      </c>
      <c r="C76" s="11">
        <v>71.093528747558594</v>
      </c>
      <c r="D76" s="3">
        <v>46</v>
      </c>
      <c r="E76" s="11">
        <v>99.975723266601563</v>
      </c>
      <c r="F76" s="11">
        <v>49.155918121337891</v>
      </c>
      <c r="G76" s="11">
        <v>74.085556030273438</v>
      </c>
      <c r="H76" s="11">
        <v>86.005271911621094</v>
      </c>
      <c r="I76" s="11">
        <v>76.306953430175781</v>
      </c>
      <c r="J76" s="11">
        <v>92.399742126464844</v>
      </c>
      <c r="K76" s="11">
        <v>73.98614501953125</v>
      </c>
      <c r="L76" s="11">
        <v>75.002326965332031</v>
      </c>
      <c r="M76" s="11">
        <v>36.902854919433594</v>
      </c>
      <c r="N76" s="11">
        <v>97.810516357421875</v>
      </c>
      <c r="O76" s="11">
        <v>88.318862915039063</v>
      </c>
      <c r="P76" s="11">
        <v>54.992057800292969</v>
      </c>
      <c r="Q76" s="11">
        <v>75.575569152832031</v>
      </c>
      <c r="R76" s="11" t="s">
        <v>464</v>
      </c>
      <c r="S76" s="11">
        <v>45.687618255615234</v>
      </c>
      <c r="T76" s="11">
        <v>63.179485321044922</v>
      </c>
      <c r="U76" s="11">
        <v>48.111862182617188</v>
      </c>
    </row>
    <row r="77" spans="1:21" x14ac:dyDescent="0.2">
      <c r="A77" t="s">
        <v>265</v>
      </c>
      <c r="B77" t="s">
        <v>266</v>
      </c>
      <c r="C77" s="11">
        <v>54.930751800537109</v>
      </c>
      <c r="D77" s="3">
        <v>125</v>
      </c>
      <c r="E77" s="11">
        <v>76.744308471679688</v>
      </c>
      <c r="F77" s="11">
        <v>48.355484008789063</v>
      </c>
      <c r="G77" s="11">
        <v>45.779933929443359</v>
      </c>
      <c r="H77" s="11">
        <v>59.329685211181641</v>
      </c>
      <c r="I77" s="11">
        <v>64.375144958496094</v>
      </c>
      <c r="J77" s="11">
        <v>53.466350555419922</v>
      </c>
      <c r="K77" s="11">
        <v>34.556526184082031</v>
      </c>
      <c r="L77" s="11">
        <v>57.192615509033203</v>
      </c>
      <c r="M77" s="11">
        <v>25.565950393676758</v>
      </c>
      <c r="N77" s="11">
        <v>34.246574401855469</v>
      </c>
      <c r="O77" s="11">
        <v>64.900726318359375</v>
      </c>
      <c r="P77" s="11">
        <v>80.258934020996094</v>
      </c>
      <c r="Q77" s="11">
        <v>71.965858459472656</v>
      </c>
      <c r="R77" s="11">
        <v>42.005558013916016</v>
      </c>
      <c r="S77" s="11">
        <v>53.466796875</v>
      </c>
      <c r="T77" s="11">
        <v>58.906005859375</v>
      </c>
      <c r="U77" s="11">
        <v>62.706348419189453</v>
      </c>
    </row>
    <row r="78" spans="1:21" x14ac:dyDescent="0.2">
      <c r="A78" t="s">
        <v>109</v>
      </c>
      <c r="B78" t="s">
        <v>110</v>
      </c>
      <c r="C78" s="11">
        <v>70.669357299804688</v>
      </c>
      <c r="D78" s="3">
        <v>49</v>
      </c>
      <c r="E78" s="11">
        <v>99.348625183105469</v>
      </c>
      <c r="F78" s="11">
        <v>59.932872772216797</v>
      </c>
      <c r="G78" s="11">
        <v>72.574417114257813</v>
      </c>
      <c r="H78" s="11">
        <v>84.942695617675781</v>
      </c>
      <c r="I78" s="11">
        <v>64.592636108398438</v>
      </c>
      <c r="J78" s="11">
        <v>86.343765258789063</v>
      </c>
      <c r="K78" s="11">
        <v>84.817405700683594</v>
      </c>
      <c r="L78" s="11">
        <v>38.312465667724609</v>
      </c>
      <c r="M78" s="11">
        <v>13.573533058166504</v>
      </c>
      <c r="N78" s="11">
        <v>96.406257629394531</v>
      </c>
      <c r="O78" s="11">
        <v>87.396682739257813</v>
      </c>
      <c r="P78" s="11">
        <v>74.249763488769531</v>
      </c>
      <c r="Q78" s="11">
        <v>83.116523742675781</v>
      </c>
      <c r="R78" s="11" t="s">
        <v>464</v>
      </c>
      <c r="S78" s="11">
        <v>58.557193756103516</v>
      </c>
      <c r="T78" s="11">
        <v>56.944732666015625</v>
      </c>
      <c r="U78" s="11">
        <v>69.600135803222656</v>
      </c>
    </row>
    <row r="79" spans="1:21" x14ac:dyDescent="0.2">
      <c r="A79" t="s">
        <v>225</v>
      </c>
      <c r="B79" t="s">
        <v>226</v>
      </c>
      <c r="C79" s="11">
        <v>58.173931121826172</v>
      </c>
      <c r="D79" s="3">
        <v>114</v>
      </c>
      <c r="E79" s="11">
        <v>99.842437744140625</v>
      </c>
      <c r="F79" s="11">
        <v>49.726593017578125</v>
      </c>
      <c r="G79" s="11">
        <v>62.11962890625</v>
      </c>
      <c r="H79" s="11">
        <v>60.405696868896484</v>
      </c>
      <c r="I79" s="11">
        <v>55.389511108398438</v>
      </c>
      <c r="J79" s="11">
        <v>71.168540954589844</v>
      </c>
      <c r="K79" s="11">
        <v>33.402381896972656</v>
      </c>
      <c r="L79" s="11">
        <v>52.175670623779297</v>
      </c>
      <c r="M79" s="11">
        <v>16.752288818359375</v>
      </c>
      <c r="N79" s="11">
        <v>85.114921569824219</v>
      </c>
      <c r="O79" s="11">
        <v>75.924430847167969</v>
      </c>
      <c r="P79" s="11">
        <v>80.83868408203125</v>
      </c>
      <c r="Q79" s="11">
        <v>64.401611328125</v>
      </c>
      <c r="R79" s="11">
        <v>29.256141662597656</v>
      </c>
      <c r="S79" s="11">
        <v>43.740550994873047</v>
      </c>
      <c r="T79" s="11">
        <v>54.593021392822266</v>
      </c>
      <c r="U79" s="11">
        <v>54.104732513427734</v>
      </c>
    </row>
    <row r="80" spans="1:21" x14ac:dyDescent="0.2">
      <c r="A80" t="s">
        <v>81</v>
      </c>
      <c r="B80" t="s">
        <v>82</v>
      </c>
      <c r="C80" s="11">
        <v>75.479362487792969</v>
      </c>
      <c r="D80" s="3">
        <v>31</v>
      </c>
      <c r="E80" s="11">
        <v>97.663604736328125</v>
      </c>
      <c r="F80" s="11">
        <v>76.493354797363281</v>
      </c>
      <c r="G80" s="11">
        <v>92.105255126953125</v>
      </c>
      <c r="H80" s="11">
        <v>91.117691040039063</v>
      </c>
      <c r="I80" s="11">
        <v>63.503501892089844</v>
      </c>
      <c r="J80" s="11">
        <v>84.121475219726563</v>
      </c>
      <c r="K80" s="11">
        <v>88.905723571777344</v>
      </c>
      <c r="L80" s="11">
        <v>78.625869750976563</v>
      </c>
      <c r="M80" s="11">
        <v>84.932319641113281</v>
      </c>
      <c r="N80" s="11" t="s">
        <v>464</v>
      </c>
      <c r="O80" s="11">
        <v>86.060226440429688</v>
      </c>
      <c r="P80" s="11">
        <v>64.763633728027344</v>
      </c>
      <c r="Q80" s="11">
        <v>79.790443420410156</v>
      </c>
      <c r="R80" s="11">
        <v>49.680862426757813</v>
      </c>
      <c r="S80" s="11">
        <v>48.280143737792969</v>
      </c>
      <c r="T80" s="11">
        <v>65.941795349121094</v>
      </c>
      <c r="U80" s="11">
        <v>55.683891296386719</v>
      </c>
    </row>
    <row r="81" spans="1:21" x14ac:dyDescent="0.2">
      <c r="A81" t="s">
        <v>235</v>
      </c>
      <c r="B81" t="s">
        <v>236</v>
      </c>
      <c r="C81" s="11">
        <v>62.398468017578125</v>
      </c>
      <c r="D81" s="3">
        <v>102</v>
      </c>
      <c r="E81" s="11">
        <v>99.463706970214844</v>
      </c>
      <c r="F81" s="11">
        <v>64.209861755371094</v>
      </c>
      <c r="G81" s="11">
        <v>85.970413208007813</v>
      </c>
      <c r="H81" s="11">
        <v>76.281219482421875</v>
      </c>
      <c r="I81" s="11">
        <v>48.931182861328125</v>
      </c>
      <c r="J81" s="11">
        <v>49.491870880126953</v>
      </c>
      <c r="K81" s="11">
        <v>85.860084533691406</v>
      </c>
      <c r="L81" s="11">
        <v>91.731407165527344</v>
      </c>
      <c r="M81" s="11">
        <v>43.838886260986328</v>
      </c>
      <c r="N81" s="11" t="s">
        <v>464</v>
      </c>
      <c r="O81" s="11">
        <v>26.394050598144531</v>
      </c>
      <c r="P81" s="11">
        <v>24.305517196655273</v>
      </c>
      <c r="Q81" s="11">
        <v>58.558559417724609</v>
      </c>
      <c r="R81" s="11">
        <v>36.448379516601563</v>
      </c>
      <c r="S81" s="11">
        <v>40.366233825683594</v>
      </c>
      <c r="T81" s="11">
        <v>66.524131774902344</v>
      </c>
      <c r="U81" s="11">
        <v>100</v>
      </c>
    </row>
    <row r="82" spans="1:21" x14ac:dyDescent="0.2">
      <c r="A82" t="s">
        <v>249</v>
      </c>
      <c r="B82" t="s">
        <v>250</v>
      </c>
      <c r="C82" s="11">
        <v>61.374114990234375</v>
      </c>
      <c r="D82" s="3">
        <v>107</v>
      </c>
      <c r="E82" s="11">
        <v>86.092529296875</v>
      </c>
      <c r="F82" s="11">
        <v>51.434421539306641</v>
      </c>
      <c r="G82" s="11">
        <v>55.808006286621094</v>
      </c>
      <c r="H82" s="11">
        <v>64.200408935546875</v>
      </c>
      <c r="I82" s="11">
        <v>68.276565551757813</v>
      </c>
      <c r="J82" s="11">
        <v>79.282669067382813</v>
      </c>
      <c r="K82" s="11">
        <v>38.141223907470703</v>
      </c>
      <c r="L82" s="11">
        <v>65.958778381347656</v>
      </c>
      <c r="M82" s="11">
        <v>12.935364723205566</v>
      </c>
      <c r="N82" s="11">
        <v>64.681610107421875</v>
      </c>
      <c r="O82" s="11">
        <v>67.398391723632813</v>
      </c>
      <c r="P82" s="11">
        <v>78.793655395507813</v>
      </c>
      <c r="Q82" s="11">
        <v>81.789253234863281</v>
      </c>
      <c r="R82" s="11" t="s">
        <v>464</v>
      </c>
      <c r="S82" s="11">
        <v>51.307704925537109</v>
      </c>
      <c r="T82" s="11">
        <v>63.578239440917969</v>
      </c>
      <c r="U82" s="11">
        <v>52.307025909423828</v>
      </c>
    </row>
    <row r="83" spans="1:21" x14ac:dyDescent="0.2">
      <c r="A83" t="s">
        <v>209</v>
      </c>
      <c r="B83" t="s">
        <v>210</v>
      </c>
      <c r="C83" s="11">
        <v>64.928535461425781</v>
      </c>
      <c r="D83" s="3">
        <v>86</v>
      </c>
      <c r="E83" s="11">
        <v>95.532852172851563</v>
      </c>
      <c r="F83" s="11">
        <v>44.476360321044922</v>
      </c>
      <c r="G83" s="11">
        <v>80.468620300292969</v>
      </c>
      <c r="H83" s="11">
        <v>72.128669738769531</v>
      </c>
      <c r="I83" s="11">
        <v>39.063472747802734</v>
      </c>
      <c r="J83" s="11">
        <v>80.536277770996094</v>
      </c>
      <c r="K83" s="11">
        <v>87.544425964355469</v>
      </c>
      <c r="L83" s="11">
        <v>75.55718994140625</v>
      </c>
      <c r="M83" s="11">
        <v>35.405422210693359</v>
      </c>
      <c r="N83" s="11">
        <v>67.232185363769531</v>
      </c>
      <c r="O83" s="11">
        <v>72.016754150390625</v>
      </c>
      <c r="P83" s="11">
        <v>73.440238952636719</v>
      </c>
      <c r="Q83" s="11">
        <v>77.681427001953125</v>
      </c>
      <c r="R83" s="11">
        <v>36.556545257568359</v>
      </c>
      <c r="S83" s="11">
        <v>50.681430816650391</v>
      </c>
      <c r="T83" s="11">
        <v>58.965755462646484</v>
      </c>
      <c r="U83" s="11">
        <v>56.497459411621094</v>
      </c>
    </row>
    <row r="84" spans="1:21" x14ac:dyDescent="0.2">
      <c r="A84" t="s">
        <v>333</v>
      </c>
      <c r="B84" t="s">
        <v>334</v>
      </c>
      <c r="C84" s="11">
        <v>42.820667266845703</v>
      </c>
      <c r="D84" s="3">
        <v>154</v>
      </c>
      <c r="E84" s="11">
        <v>9.8144893646240234</v>
      </c>
      <c r="F84" s="11">
        <v>43.573169708251953</v>
      </c>
      <c r="G84" s="11">
        <v>31.017829895019531</v>
      </c>
      <c r="H84" s="11">
        <v>12.05637264251709</v>
      </c>
      <c r="I84" s="11">
        <v>37.368942260742188</v>
      </c>
      <c r="J84" s="11">
        <v>59.573749542236328</v>
      </c>
      <c r="K84" s="11">
        <v>1.6766632637940822E-14</v>
      </c>
      <c r="L84" s="11">
        <v>47.406871795654297</v>
      </c>
      <c r="M84" s="11">
        <v>8.7637290954589844</v>
      </c>
      <c r="N84" s="11">
        <v>68.722412109375</v>
      </c>
      <c r="O84" s="11">
        <v>49.318462371826172</v>
      </c>
      <c r="P84" s="11">
        <v>82.8680419921875</v>
      </c>
      <c r="Q84" s="11">
        <v>74.461036682128906</v>
      </c>
      <c r="R84" s="11">
        <v>44.755393981933594</v>
      </c>
      <c r="S84" s="11">
        <v>55.866058349609375</v>
      </c>
      <c r="T84" s="11">
        <v>52.632968902587891</v>
      </c>
      <c r="U84" s="11">
        <v>49.751819610595703</v>
      </c>
    </row>
    <row r="85" spans="1:21" x14ac:dyDescent="0.2">
      <c r="A85" t="s">
        <v>185</v>
      </c>
      <c r="B85" t="s">
        <v>186</v>
      </c>
      <c r="C85" s="11">
        <v>65.910682678222656</v>
      </c>
      <c r="D85" s="3">
        <v>81</v>
      </c>
      <c r="E85" s="11">
        <v>99.620010375976563</v>
      </c>
      <c r="F85" s="11">
        <v>41.165939331054688</v>
      </c>
      <c r="G85" s="11">
        <v>86.234405517578125</v>
      </c>
      <c r="H85" s="11">
        <v>90.092369079589844</v>
      </c>
      <c r="I85" s="11">
        <v>47.629158020019531</v>
      </c>
      <c r="J85" s="11">
        <v>86.193649291992188</v>
      </c>
      <c r="K85" s="11">
        <v>57.963207244873047</v>
      </c>
      <c r="L85" s="11">
        <v>80.222900390625</v>
      </c>
      <c r="M85" s="11">
        <v>17.917217254638672</v>
      </c>
      <c r="N85" s="11">
        <v>61.042011260986328</v>
      </c>
      <c r="O85" s="11">
        <v>73.093490600585938</v>
      </c>
      <c r="P85" s="11">
        <v>66.978889465332031</v>
      </c>
      <c r="Q85" s="11">
        <v>83.682060241699219</v>
      </c>
      <c r="R85" s="11">
        <v>54.504829406738281</v>
      </c>
      <c r="S85" s="11">
        <v>60.680572509765625</v>
      </c>
      <c r="T85" s="11">
        <v>70.003440856933594</v>
      </c>
      <c r="U85" s="11">
        <v>43.457462310791016</v>
      </c>
    </row>
    <row r="86" spans="1:21" x14ac:dyDescent="0.2">
      <c r="A86" t="s">
        <v>305</v>
      </c>
      <c r="B86" t="s">
        <v>306</v>
      </c>
      <c r="C86" s="11">
        <v>52.966930389404297</v>
      </c>
      <c r="D86" s="3">
        <v>128</v>
      </c>
      <c r="E86" s="11">
        <v>31.627462387084961</v>
      </c>
      <c r="F86" s="11">
        <v>51.164150238037109</v>
      </c>
      <c r="G86" s="11">
        <v>34.288810729980469</v>
      </c>
      <c r="H86" s="11">
        <v>54.868251800537109</v>
      </c>
      <c r="I86" s="11">
        <v>73.7900390625</v>
      </c>
      <c r="J86" s="11">
        <v>70.950897216796875</v>
      </c>
      <c r="K86" s="11">
        <v>28.647037506103516</v>
      </c>
      <c r="L86" s="11">
        <v>27.521949768066406</v>
      </c>
      <c r="M86" s="11">
        <v>15.95068359375</v>
      </c>
      <c r="N86" s="11">
        <v>17.99736213684082</v>
      </c>
      <c r="O86" s="11">
        <v>76.407424926757813</v>
      </c>
      <c r="P86" s="11">
        <v>79.154953002929688</v>
      </c>
      <c r="Q86" s="11">
        <v>73.018661499023438</v>
      </c>
      <c r="R86" s="11" t="s">
        <v>464</v>
      </c>
      <c r="S86" s="11">
        <v>67.147994995117188</v>
      </c>
      <c r="T86" s="11">
        <v>44.935188293457031</v>
      </c>
      <c r="U86" s="11">
        <v>100</v>
      </c>
    </row>
    <row r="87" spans="1:21" x14ac:dyDescent="0.2">
      <c r="A87" t="s">
        <v>93</v>
      </c>
      <c r="B87" t="s">
        <v>94</v>
      </c>
      <c r="C87" s="11">
        <v>73.626411437988281</v>
      </c>
      <c r="D87" s="3">
        <v>36</v>
      </c>
      <c r="E87" s="11">
        <v>99.115058898925781</v>
      </c>
      <c r="F87" s="11">
        <v>65.257278442382813</v>
      </c>
      <c r="G87" s="11">
        <v>83.746292114257813</v>
      </c>
      <c r="H87" s="11">
        <v>96.750358581542969</v>
      </c>
      <c r="I87" s="11">
        <v>70.843559265136719</v>
      </c>
      <c r="J87" s="11">
        <v>92.410812377929688</v>
      </c>
      <c r="K87" s="11">
        <v>66.666664123535156</v>
      </c>
      <c r="L87" s="11">
        <v>78.889579772949219</v>
      </c>
      <c r="M87" s="11">
        <v>51.630657196044922</v>
      </c>
      <c r="N87" s="11">
        <v>72.533958435058594</v>
      </c>
      <c r="O87" s="11">
        <v>92.028274536132813</v>
      </c>
      <c r="P87" s="11">
        <v>65.810333251953125</v>
      </c>
      <c r="Q87" s="11">
        <v>76.640953063964844</v>
      </c>
      <c r="R87" s="11">
        <v>43.822837829589844</v>
      </c>
      <c r="S87" s="11">
        <v>82.85858154296875</v>
      </c>
      <c r="T87" s="11">
        <v>63.656261444091797</v>
      </c>
      <c r="U87" s="11">
        <v>48.987529754638672</v>
      </c>
    </row>
    <row r="88" spans="1:21" x14ac:dyDescent="0.2">
      <c r="A88" t="s">
        <v>85</v>
      </c>
      <c r="B88" t="s">
        <v>86</v>
      </c>
      <c r="C88" s="11">
        <v>74.997245788574219</v>
      </c>
      <c r="D88" s="3">
        <v>33</v>
      </c>
      <c r="E88" s="11">
        <v>99.603439331054688</v>
      </c>
      <c r="F88" s="11">
        <v>66.940010070800781</v>
      </c>
      <c r="G88" s="11">
        <v>93.893379211425781</v>
      </c>
      <c r="H88" s="11">
        <v>86.453033447265625</v>
      </c>
      <c r="I88" s="11">
        <v>72.696807861328125</v>
      </c>
      <c r="J88" s="11">
        <v>88.091194152832031</v>
      </c>
      <c r="K88" s="11">
        <v>66.666664123535156</v>
      </c>
      <c r="L88" s="11">
        <v>92.457489013671875</v>
      </c>
      <c r="M88" s="11">
        <v>64.640533447265625</v>
      </c>
      <c r="N88" s="11">
        <v>73.565658569335938</v>
      </c>
      <c r="O88" s="11">
        <v>93.866172790527344</v>
      </c>
      <c r="P88" s="11">
        <v>34.268917083740234</v>
      </c>
      <c r="Q88" s="11">
        <v>72.777664184570313</v>
      </c>
      <c r="R88" s="11" t="s">
        <v>464</v>
      </c>
      <c r="S88" s="11">
        <v>50.93353271484375</v>
      </c>
      <c r="T88" s="11">
        <v>91.800727844238281</v>
      </c>
      <c r="U88" s="11">
        <v>51.300735473632813</v>
      </c>
    </row>
    <row r="89" spans="1:21" x14ac:dyDescent="0.2">
      <c r="A89" t="s">
        <v>47</v>
      </c>
      <c r="B89" t="s">
        <v>48</v>
      </c>
      <c r="C89" s="11">
        <v>75.227745056152344</v>
      </c>
      <c r="D89" s="3">
        <v>32</v>
      </c>
      <c r="E89" s="11">
        <v>98.909439086914063</v>
      </c>
      <c r="F89" s="11">
        <v>63.536281585693359</v>
      </c>
      <c r="G89" s="11">
        <v>82.305625915527344</v>
      </c>
      <c r="H89" s="11">
        <v>92.660690307617188</v>
      </c>
      <c r="I89" s="11">
        <v>70.437545776367188</v>
      </c>
      <c r="J89" s="11">
        <v>92.201957702636719</v>
      </c>
      <c r="K89" s="11">
        <v>84.57501220703125</v>
      </c>
      <c r="L89" s="11">
        <v>85.287063598632813</v>
      </c>
      <c r="M89" s="11">
        <v>42.773845672607422</v>
      </c>
      <c r="N89" s="11">
        <v>71.588233947753906</v>
      </c>
      <c r="O89" s="11">
        <v>90.018074035644531</v>
      </c>
      <c r="P89" s="11">
        <v>71.960250854492188</v>
      </c>
      <c r="Q89" s="11">
        <v>78.781440734863281</v>
      </c>
      <c r="R89" s="11">
        <v>57.154228210449219</v>
      </c>
      <c r="S89" s="11">
        <v>78.323562622070313</v>
      </c>
      <c r="T89" s="11">
        <v>66.203964233398438</v>
      </c>
      <c r="U89" s="11">
        <v>52.154476165771484</v>
      </c>
    </row>
    <row r="90" spans="1:21" x14ac:dyDescent="0.2">
      <c r="A90" t="s">
        <v>159</v>
      </c>
      <c r="B90" t="s">
        <v>160</v>
      </c>
      <c r="C90" s="11">
        <v>66.661727905273438</v>
      </c>
      <c r="D90" s="3">
        <v>73</v>
      </c>
      <c r="E90" s="11">
        <v>99.6373291015625</v>
      </c>
      <c r="F90" s="11">
        <v>52.453468322753906</v>
      </c>
      <c r="G90" s="11">
        <v>71.515975952148438</v>
      </c>
      <c r="H90" s="11">
        <v>70.790802001953125</v>
      </c>
      <c r="I90" s="11">
        <v>39.599288940429688</v>
      </c>
      <c r="J90" s="11">
        <v>77.63232421875</v>
      </c>
      <c r="K90" s="11">
        <v>76.222526550292969</v>
      </c>
      <c r="L90" s="11">
        <v>59.337879180908203</v>
      </c>
      <c r="M90" s="11">
        <v>30.675399780273438</v>
      </c>
      <c r="N90" s="11">
        <v>56.571327209472656</v>
      </c>
      <c r="O90" s="11">
        <v>85.236282348632813</v>
      </c>
      <c r="P90" s="11">
        <v>67.141647338867188</v>
      </c>
      <c r="Q90" s="11">
        <v>84.090324401855469</v>
      </c>
      <c r="R90" s="11">
        <v>51.825447082519531</v>
      </c>
      <c r="S90" s="11">
        <v>70.2596435546875</v>
      </c>
      <c r="T90" s="11">
        <v>68.758895874023438</v>
      </c>
      <c r="U90" s="11">
        <v>71.500755310058594</v>
      </c>
    </row>
    <row r="91" spans="1:21" x14ac:dyDescent="0.2">
      <c r="A91" t="s">
        <v>69</v>
      </c>
      <c r="B91" t="s">
        <v>70</v>
      </c>
      <c r="C91" s="11">
        <v>74.216323852539063</v>
      </c>
      <c r="D91" s="3">
        <v>34</v>
      </c>
      <c r="E91" s="11">
        <v>99.98443603515625</v>
      </c>
      <c r="F91" s="11">
        <v>59.069747924804688</v>
      </c>
      <c r="G91" s="11">
        <v>74.42340087890625</v>
      </c>
      <c r="H91" s="11">
        <v>86.030693054199219</v>
      </c>
      <c r="I91" s="11">
        <v>68.748649597167969</v>
      </c>
      <c r="J91" s="11">
        <v>86.343154907226563</v>
      </c>
      <c r="K91" s="11">
        <v>80.189468383789063</v>
      </c>
      <c r="L91" s="11">
        <v>54.727249145507813</v>
      </c>
      <c r="M91" s="11">
        <v>23.331558227539063</v>
      </c>
      <c r="N91" s="11">
        <v>96.377601623535156</v>
      </c>
      <c r="O91" s="11">
        <v>85.963966369628906</v>
      </c>
      <c r="P91" s="11">
        <v>80.406036376953125</v>
      </c>
      <c r="Q91" s="11">
        <v>94.355300903320313</v>
      </c>
      <c r="R91" s="11" t="s">
        <v>464</v>
      </c>
      <c r="S91" s="11">
        <v>62.412982940673828</v>
      </c>
      <c r="T91" s="11">
        <v>53.366420745849609</v>
      </c>
      <c r="U91" s="11">
        <v>81.730575561523438</v>
      </c>
    </row>
    <row r="92" spans="1:21" x14ac:dyDescent="0.2">
      <c r="A92" t="s">
        <v>331</v>
      </c>
      <c r="B92" t="s">
        <v>332</v>
      </c>
      <c r="C92" s="11">
        <v>43.498912811279297</v>
      </c>
      <c r="D92" s="3">
        <v>153</v>
      </c>
      <c r="E92" s="11">
        <v>0</v>
      </c>
      <c r="F92" s="11">
        <v>28.159805297851563</v>
      </c>
      <c r="G92" s="11">
        <v>42.053489685058594</v>
      </c>
      <c r="H92" s="11">
        <v>35.568912506103516</v>
      </c>
      <c r="I92" s="11">
        <v>71.041366577148438</v>
      </c>
      <c r="J92" s="11">
        <v>44.355400085449219</v>
      </c>
      <c r="K92" s="11">
        <v>4.2254018783569336</v>
      </c>
      <c r="L92" s="11">
        <v>42.830589294433594</v>
      </c>
      <c r="M92" s="11">
        <v>6.2887301445007324</v>
      </c>
      <c r="N92" s="11">
        <v>51.040290832519531</v>
      </c>
      <c r="O92" s="11">
        <v>47.532302856445313</v>
      </c>
      <c r="P92" s="11">
        <v>75.996269226074219</v>
      </c>
      <c r="Q92" s="11">
        <v>87.985633850097656</v>
      </c>
      <c r="R92" s="11">
        <v>49.264003753662109</v>
      </c>
      <c r="S92" s="11">
        <v>55.500587463378906</v>
      </c>
      <c r="T92" s="11">
        <v>54.358131408691406</v>
      </c>
      <c r="U92" s="11">
        <v>43.280612945556641</v>
      </c>
    </row>
    <row r="93" spans="1:21" x14ac:dyDescent="0.2">
      <c r="A93" t="s">
        <v>179</v>
      </c>
      <c r="B93" t="s">
        <v>180</v>
      </c>
      <c r="C93" s="11">
        <v>69.132667541503906</v>
      </c>
      <c r="D93" s="3">
        <v>58</v>
      </c>
      <c r="E93" s="11">
        <v>97.894683837890625</v>
      </c>
      <c r="F93" s="11">
        <v>53.569183349609375</v>
      </c>
      <c r="G93" s="11">
        <v>83.680183410644531</v>
      </c>
      <c r="H93" s="11">
        <v>81.337059020996094</v>
      </c>
      <c r="I93" s="11">
        <v>74.860885620117188</v>
      </c>
      <c r="J93" s="11">
        <v>87.494529724121094</v>
      </c>
      <c r="K93" s="11">
        <v>79.446792602539063</v>
      </c>
      <c r="L93" s="11">
        <v>70.307243347167969</v>
      </c>
      <c r="M93" s="11">
        <v>38.530418395996094</v>
      </c>
      <c r="N93" s="11">
        <v>35.106319427490234</v>
      </c>
      <c r="O93" s="11">
        <v>89.48992919921875</v>
      </c>
      <c r="P93" s="11">
        <v>73.314796447753906</v>
      </c>
      <c r="Q93" s="11">
        <v>84.980430603027344</v>
      </c>
      <c r="R93" s="11">
        <v>61.085418701171875</v>
      </c>
      <c r="S93" s="11">
        <v>41.978298187255859</v>
      </c>
      <c r="T93" s="11">
        <v>52.212734222412109</v>
      </c>
      <c r="U93" s="11">
        <v>69.966445922851563</v>
      </c>
    </row>
    <row r="94" spans="1:21" x14ac:dyDescent="0.2">
      <c r="A94" t="s">
        <v>465</v>
      </c>
      <c r="B94" t="s">
        <v>140</v>
      </c>
      <c r="C94" s="11">
        <v>69.355644226074219</v>
      </c>
      <c r="D94" s="3">
        <v>57</v>
      </c>
      <c r="E94" s="11">
        <v>99.465782165527344</v>
      </c>
      <c r="F94" s="11">
        <v>56.001548767089844</v>
      </c>
      <c r="G94" s="11">
        <v>80.855064392089844</v>
      </c>
      <c r="H94" s="11">
        <v>79.07080078125</v>
      </c>
      <c r="I94" s="11">
        <v>53.915294647216797</v>
      </c>
      <c r="J94" s="11">
        <v>93.829689025878906</v>
      </c>
      <c r="K94" s="11">
        <v>72.406967163085938</v>
      </c>
      <c r="L94" s="11">
        <v>49.194358825683594</v>
      </c>
      <c r="M94" s="11">
        <v>32.193733215332031</v>
      </c>
      <c r="N94" s="11">
        <v>47.028141021728516</v>
      </c>
      <c r="O94" s="11">
        <v>78.776199340820313</v>
      </c>
      <c r="P94" s="11">
        <v>66.945777893066406</v>
      </c>
      <c r="Q94" s="11">
        <v>85.436248779296875</v>
      </c>
      <c r="R94" s="11" t="s">
        <v>464</v>
      </c>
      <c r="S94" s="11">
        <v>70.446723937988281</v>
      </c>
      <c r="T94" s="11">
        <v>68.066497802734375</v>
      </c>
      <c r="U94" s="11">
        <v>76.057525634765625</v>
      </c>
    </row>
    <row r="95" spans="1:21" x14ac:dyDescent="0.2">
      <c r="A95" t="s">
        <v>281</v>
      </c>
      <c r="B95" t="s">
        <v>282</v>
      </c>
      <c r="C95" s="11">
        <v>48.542793273925781</v>
      </c>
      <c r="D95" s="3">
        <v>146</v>
      </c>
      <c r="E95" s="11">
        <v>66.4127197265625</v>
      </c>
      <c r="F95" s="11">
        <v>39.702075958251953</v>
      </c>
      <c r="G95" s="11">
        <v>30.391349792480469</v>
      </c>
      <c r="H95" s="11">
        <v>3.9077746868133545</v>
      </c>
      <c r="I95" s="11">
        <v>27.935834884643555</v>
      </c>
      <c r="J95" s="11">
        <v>66.701286315917969</v>
      </c>
      <c r="K95" s="11">
        <v>9.9893417358398438</v>
      </c>
      <c r="L95" s="11">
        <v>44.598838806152344</v>
      </c>
      <c r="M95" s="11">
        <v>10.112866401672363</v>
      </c>
      <c r="N95" s="11">
        <v>78.580841064453125</v>
      </c>
      <c r="O95" s="11">
        <v>47.136585235595703</v>
      </c>
      <c r="P95" s="11">
        <v>76.207275390625</v>
      </c>
      <c r="Q95" s="11">
        <v>84.679847717285156</v>
      </c>
      <c r="R95" s="11" t="s">
        <v>464</v>
      </c>
      <c r="S95" s="11">
        <v>66.943756103515625</v>
      </c>
      <c r="T95" s="11">
        <v>63.016178131103516</v>
      </c>
      <c r="U95" s="11">
        <v>60.368133544921875</v>
      </c>
    </row>
    <row r="96" spans="1:21" x14ac:dyDescent="0.2">
      <c r="A96" t="s">
        <v>101</v>
      </c>
      <c r="B96" t="s">
        <v>102</v>
      </c>
      <c r="C96" s="11">
        <v>77.0203857421875</v>
      </c>
      <c r="D96" s="3">
        <v>22</v>
      </c>
      <c r="E96" s="11">
        <v>99.923568725585938</v>
      </c>
      <c r="F96" s="11">
        <v>62.290981292724609</v>
      </c>
      <c r="G96" s="11">
        <v>91.145187377929688</v>
      </c>
      <c r="H96" s="11">
        <v>92.267166137695313</v>
      </c>
      <c r="I96" s="11">
        <v>55.912216186523438</v>
      </c>
      <c r="J96" s="11">
        <v>76.501022338867188</v>
      </c>
      <c r="K96" s="11">
        <v>89.17840576171875</v>
      </c>
      <c r="L96" s="11">
        <v>93.052497863769531</v>
      </c>
      <c r="M96" s="11">
        <v>41.418998718261719</v>
      </c>
      <c r="N96" s="11">
        <v>92.738006591796875</v>
      </c>
      <c r="O96" s="11">
        <v>94.361831665039063</v>
      </c>
      <c r="P96" s="11">
        <v>51.836116790771484</v>
      </c>
      <c r="Q96" s="11">
        <v>88.936737060546875</v>
      </c>
      <c r="R96" s="11">
        <v>63.903194427490234</v>
      </c>
      <c r="S96" s="11">
        <v>78.440032958984375</v>
      </c>
      <c r="T96" s="11">
        <v>76.334083557128906</v>
      </c>
      <c r="U96" s="11">
        <v>61.106460571289063</v>
      </c>
    </row>
    <row r="97" spans="1:21" x14ac:dyDescent="0.2">
      <c r="A97" t="s">
        <v>269</v>
      </c>
      <c r="B97" t="s">
        <v>270</v>
      </c>
      <c r="C97" s="11">
        <v>59.535346984863281</v>
      </c>
      <c r="D97" s="3">
        <v>110</v>
      </c>
      <c r="E97" s="11">
        <v>87.540168762207031</v>
      </c>
      <c r="F97" s="11">
        <v>52.244808197021484</v>
      </c>
      <c r="G97" s="11">
        <v>56.729022979736328</v>
      </c>
      <c r="H97" s="11">
        <v>67.850112915039063</v>
      </c>
      <c r="I97" s="11">
        <v>67.834999084472656</v>
      </c>
      <c r="J97" s="11">
        <v>84.346817016601563</v>
      </c>
      <c r="K97" s="11">
        <v>36.869129180908203</v>
      </c>
      <c r="L97" s="11">
        <v>51.526790618896484</v>
      </c>
      <c r="M97" s="11">
        <v>13.340433120727539</v>
      </c>
      <c r="N97" s="11" t="s">
        <v>464</v>
      </c>
      <c r="O97" s="11">
        <v>27.735618591308594</v>
      </c>
      <c r="P97" s="11">
        <v>77.610801696777344</v>
      </c>
      <c r="Q97" s="11">
        <v>81.647171020507813</v>
      </c>
      <c r="R97" s="11">
        <v>38.392890930175781</v>
      </c>
      <c r="S97" s="11">
        <v>51.29510498046875</v>
      </c>
      <c r="T97" s="11">
        <v>57.601680755615234</v>
      </c>
      <c r="U97" s="11">
        <v>100</v>
      </c>
    </row>
    <row r="98" spans="1:21" x14ac:dyDescent="0.2">
      <c r="A98" t="s">
        <v>153</v>
      </c>
      <c r="B98" t="s">
        <v>154</v>
      </c>
      <c r="C98" s="11">
        <v>67.293228149414063</v>
      </c>
      <c r="D98" s="3">
        <v>69</v>
      </c>
      <c r="E98" s="11">
        <v>99.9814453125</v>
      </c>
      <c r="F98" s="11">
        <v>47.571002960205078</v>
      </c>
      <c r="G98" s="11">
        <v>77.914138793945313</v>
      </c>
      <c r="H98" s="11">
        <v>88.374221801757813</v>
      </c>
      <c r="I98" s="11">
        <v>49.610813140869141</v>
      </c>
      <c r="J98" s="11">
        <v>94.177383422851563</v>
      </c>
      <c r="K98" s="11">
        <v>79.842658996582031</v>
      </c>
      <c r="L98" s="11">
        <v>55.333530426025391</v>
      </c>
      <c r="M98" s="11">
        <v>26.374668121337891</v>
      </c>
      <c r="N98" s="11">
        <v>81.761909484863281</v>
      </c>
      <c r="O98" s="11">
        <v>86.771591186523438</v>
      </c>
      <c r="P98" s="11">
        <v>50.234424591064453</v>
      </c>
      <c r="Q98" s="11">
        <v>66.184104919433594</v>
      </c>
      <c r="R98" s="11">
        <v>33.619682312011719</v>
      </c>
      <c r="S98" s="11">
        <v>35.147541046142578</v>
      </c>
      <c r="T98" s="11">
        <v>71.085777282714844</v>
      </c>
      <c r="U98" s="11">
        <v>100</v>
      </c>
    </row>
    <row r="99" spans="1:21" x14ac:dyDescent="0.2">
      <c r="A99" t="s">
        <v>231</v>
      </c>
      <c r="B99" t="s">
        <v>232</v>
      </c>
      <c r="C99" s="11">
        <v>64.180450439453125</v>
      </c>
      <c r="D99" s="3">
        <v>95</v>
      </c>
      <c r="E99" s="11">
        <v>99.795150756835938</v>
      </c>
      <c r="F99" s="11">
        <v>49.642768859863281</v>
      </c>
      <c r="G99" s="11">
        <v>67.382347106933594</v>
      </c>
      <c r="H99" s="11">
        <v>85.896537780761719</v>
      </c>
      <c r="I99" s="11">
        <v>68.981513977050781</v>
      </c>
      <c r="J99" s="11">
        <v>69.715087890625</v>
      </c>
      <c r="K99" s="11">
        <v>39.810932159423828</v>
      </c>
      <c r="L99" s="11">
        <v>73.470794677734375</v>
      </c>
      <c r="M99" s="11">
        <v>20.864080429077148</v>
      </c>
      <c r="N99" s="11">
        <v>81.446662902832031</v>
      </c>
      <c r="O99" s="11">
        <v>54.056106567382813</v>
      </c>
      <c r="P99" s="11">
        <v>71.658401489257813</v>
      </c>
      <c r="Q99" s="11">
        <v>67.231651306152344</v>
      </c>
      <c r="R99" s="11" t="s">
        <v>464</v>
      </c>
      <c r="S99" s="11">
        <v>60.807933807373047</v>
      </c>
      <c r="T99" s="11">
        <v>57.173919677734375</v>
      </c>
      <c r="U99" s="11">
        <v>58.953273773193359</v>
      </c>
    </row>
    <row r="100" spans="1:21" x14ac:dyDescent="0.2">
      <c r="A100" t="s">
        <v>317</v>
      </c>
      <c r="B100" t="s">
        <v>318</v>
      </c>
      <c r="C100" s="11">
        <v>49.238529205322266</v>
      </c>
      <c r="D100" s="3">
        <v>143</v>
      </c>
      <c r="E100" s="11">
        <v>23.501163482666016</v>
      </c>
      <c r="F100" s="11">
        <v>38.264518737792969</v>
      </c>
      <c r="G100" s="11">
        <v>30.935647964477539</v>
      </c>
      <c r="H100" s="11">
        <v>48.237117767333984</v>
      </c>
      <c r="I100" s="11">
        <v>56.287845611572266</v>
      </c>
      <c r="J100" s="11">
        <v>46.940635681152344</v>
      </c>
      <c r="K100" s="11">
        <v>36.092998504638672</v>
      </c>
      <c r="L100" s="11">
        <v>30.680580139160156</v>
      </c>
      <c r="M100" s="11">
        <v>7.9734721183776855</v>
      </c>
      <c r="N100" s="11">
        <v>42.6434326171875</v>
      </c>
      <c r="O100" s="11">
        <v>53.557731628417969</v>
      </c>
      <c r="P100" s="11">
        <v>84.731773376464844</v>
      </c>
      <c r="Q100" s="11">
        <v>77.98236083984375</v>
      </c>
      <c r="R100" s="11">
        <v>64.70916748046875</v>
      </c>
      <c r="S100" s="11">
        <v>63.194656372070313</v>
      </c>
      <c r="T100" s="11">
        <v>55.124164581298828</v>
      </c>
      <c r="U100" s="11">
        <v>76.197761535644531</v>
      </c>
    </row>
    <row r="101" spans="1:21" x14ac:dyDescent="0.2">
      <c r="A101" t="s">
        <v>285</v>
      </c>
      <c r="B101" t="s">
        <v>286</v>
      </c>
      <c r="C101" s="11">
        <v>51.14337158203125</v>
      </c>
      <c r="D101" s="3">
        <v>133</v>
      </c>
      <c r="E101" s="11">
        <v>94.4139404296875</v>
      </c>
      <c r="F101" s="11">
        <v>50.9498291015625</v>
      </c>
      <c r="G101" s="11">
        <v>47.478256225585938</v>
      </c>
      <c r="H101" s="11">
        <v>34.827919006347656</v>
      </c>
      <c r="I101" s="11">
        <v>29.037130355834961</v>
      </c>
      <c r="J101" s="11">
        <v>58.412437438964844</v>
      </c>
      <c r="K101" s="11">
        <v>36.754493713378906</v>
      </c>
      <c r="L101" s="11">
        <v>39.802207946777344</v>
      </c>
      <c r="M101" s="11">
        <v>6.3943696022033691</v>
      </c>
      <c r="N101" s="11">
        <v>80.357650756835938</v>
      </c>
      <c r="O101" s="11">
        <v>29.708700180053711</v>
      </c>
      <c r="P101" s="11">
        <v>80.711868286132813</v>
      </c>
      <c r="Q101" s="11">
        <v>75.181167602539063</v>
      </c>
      <c r="R101" s="11">
        <v>40.810401916503906</v>
      </c>
      <c r="S101" s="11">
        <v>63.054710388183594</v>
      </c>
      <c r="T101" s="11">
        <v>45.346138000488281</v>
      </c>
      <c r="U101" s="11">
        <v>56.196063995361328</v>
      </c>
    </row>
    <row r="102" spans="1:21" x14ac:dyDescent="0.2">
      <c r="A102" t="s">
        <v>205</v>
      </c>
      <c r="B102" t="s">
        <v>206</v>
      </c>
      <c r="C102" s="11">
        <v>62.124820709228516</v>
      </c>
      <c r="D102" s="3">
        <v>103</v>
      </c>
      <c r="E102" s="11">
        <v>99.760894775390625</v>
      </c>
      <c r="F102" s="11">
        <v>41.347579956054688</v>
      </c>
      <c r="G102" s="11">
        <v>79.477073669433594</v>
      </c>
      <c r="H102" s="11">
        <v>83.75653076171875</v>
      </c>
      <c r="I102" s="11">
        <v>54.194408416748047</v>
      </c>
      <c r="J102" s="11">
        <v>69.103874206542969</v>
      </c>
      <c r="K102" s="11">
        <v>85.275917053222656</v>
      </c>
      <c r="L102" s="11">
        <v>71.337882995605469</v>
      </c>
      <c r="M102" s="11">
        <v>26.113208770751953</v>
      </c>
      <c r="N102" s="11">
        <v>70.556541442871094</v>
      </c>
      <c r="O102" s="11">
        <v>94.936767578125</v>
      </c>
      <c r="P102" s="11">
        <v>52.768947601318359</v>
      </c>
      <c r="Q102" s="11">
        <v>43.750579833984375</v>
      </c>
      <c r="R102" s="11">
        <v>42.352203369140625</v>
      </c>
      <c r="S102" s="11">
        <v>11.075340270996094</v>
      </c>
      <c r="T102" s="11">
        <v>67.462486267089844</v>
      </c>
      <c r="U102" s="11">
        <v>62.851715087890625</v>
      </c>
    </row>
    <row r="103" spans="1:21" x14ac:dyDescent="0.2">
      <c r="A103" t="s">
        <v>289</v>
      </c>
      <c r="B103" t="s">
        <v>290</v>
      </c>
      <c r="C103" s="11">
        <v>48.022632598876953</v>
      </c>
      <c r="D103" s="3">
        <v>147</v>
      </c>
      <c r="E103" s="11">
        <v>16.983957290649414</v>
      </c>
      <c r="F103" s="11">
        <v>45.834842681884766</v>
      </c>
      <c r="G103" s="11">
        <v>42.417522430419922</v>
      </c>
      <c r="H103" s="11">
        <v>36.718803405761719</v>
      </c>
      <c r="I103" s="11">
        <v>64.447219848632813</v>
      </c>
      <c r="J103" s="11">
        <v>78.194190979003906</v>
      </c>
      <c r="K103" s="11">
        <v>2.0728230476379395</v>
      </c>
      <c r="L103" s="11">
        <v>32.730533599853516</v>
      </c>
      <c r="M103" s="11">
        <v>12.04289722442627</v>
      </c>
      <c r="N103" s="11">
        <v>41.095890045166016</v>
      </c>
      <c r="O103" s="11">
        <v>55.076728820800781</v>
      </c>
      <c r="P103" s="11">
        <v>83.912063598632813</v>
      </c>
      <c r="Q103" s="11">
        <v>65.436882019042969</v>
      </c>
      <c r="R103" s="11" t="s">
        <v>464</v>
      </c>
      <c r="S103" s="11">
        <v>65.039512634277344</v>
      </c>
      <c r="T103" s="11">
        <v>48.977531433105469</v>
      </c>
      <c r="U103" s="11">
        <v>77.380744934082031</v>
      </c>
    </row>
    <row r="104" spans="1:21" x14ac:dyDescent="0.2">
      <c r="A104" t="s">
        <v>175</v>
      </c>
      <c r="B104" t="s">
        <v>176</v>
      </c>
      <c r="C104" s="11">
        <v>69.678817749023438</v>
      </c>
      <c r="D104" s="3">
        <v>54</v>
      </c>
      <c r="E104" s="11">
        <v>98.226387023925781</v>
      </c>
      <c r="F104" s="11">
        <v>54.087390899658203</v>
      </c>
      <c r="G104" s="11">
        <v>83.132369995117188</v>
      </c>
      <c r="H104" s="11">
        <v>88.082138061523438</v>
      </c>
      <c r="I104" s="11">
        <v>51.193824768066406</v>
      </c>
      <c r="J104" s="11">
        <v>90.048019409179688</v>
      </c>
      <c r="K104" s="11">
        <v>84.099937438964844</v>
      </c>
      <c r="L104" s="11">
        <v>71.163993835449219</v>
      </c>
      <c r="M104" s="11">
        <v>60.754940032958984</v>
      </c>
      <c r="N104" s="11">
        <v>40.694675445556641</v>
      </c>
      <c r="O104" s="11">
        <v>94.547706604003906</v>
      </c>
      <c r="P104" s="11">
        <v>69.714378356933594</v>
      </c>
      <c r="Q104" s="11">
        <v>82.396034240722656</v>
      </c>
      <c r="R104" s="11">
        <v>45.863285064697266</v>
      </c>
      <c r="S104" s="11">
        <v>31.609563827514648</v>
      </c>
      <c r="T104" s="11">
        <v>79.013442993164063</v>
      </c>
      <c r="U104" s="11">
        <v>59.911808013916016</v>
      </c>
    </row>
    <row r="105" spans="1:21" x14ac:dyDescent="0.2">
      <c r="A105" t="s">
        <v>237</v>
      </c>
      <c r="B105" t="s">
        <v>238</v>
      </c>
      <c r="C105" s="11">
        <v>59.272232055664063</v>
      </c>
      <c r="D105" s="3">
        <v>111</v>
      </c>
      <c r="E105" s="11">
        <v>75.528823852539063</v>
      </c>
      <c r="F105" s="11">
        <v>28.019527435302734</v>
      </c>
      <c r="G105" s="11">
        <v>55.879768371582031</v>
      </c>
      <c r="H105" s="11">
        <v>69.417922973632813</v>
      </c>
      <c r="I105" s="11">
        <v>84.147079467773438</v>
      </c>
      <c r="J105" s="11">
        <v>76.1539306640625</v>
      </c>
      <c r="K105" s="11">
        <v>38.785289764404297</v>
      </c>
      <c r="L105" s="11">
        <v>37.974822998046875</v>
      </c>
      <c r="M105" s="11">
        <v>25.684698104858398</v>
      </c>
      <c r="N105" s="11">
        <v>0</v>
      </c>
      <c r="O105" s="11">
        <v>76.00787353515625</v>
      </c>
      <c r="P105" s="11">
        <v>69.7164306640625</v>
      </c>
      <c r="Q105" s="11">
        <v>54.50946044921875</v>
      </c>
      <c r="R105" s="11">
        <v>63.909339904785156</v>
      </c>
      <c r="S105" s="11">
        <v>89.28704833984375</v>
      </c>
      <c r="T105" s="11">
        <v>69.93048095703125</v>
      </c>
      <c r="U105" s="11">
        <v>92.675445556640625</v>
      </c>
    </row>
    <row r="106" spans="1:21" x14ac:dyDescent="0.2">
      <c r="A106" t="s">
        <v>341</v>
      </c>
      <c r="B106" t="s">
        <v>342</v>
      </c>
      <c r="C106" s="11">
        <v>44.797267913818359</v>
      </c>
      <c r="D106" s="3">
        <v>151</v>
      </c>
      <c r="E106" s="11">
        <v>50.692031860351563</v>
      </c>
      <c r="F106" s="11">
        <v>34.03564453125</v>
      </c>
      <c r="G106" s="11">
        <v>34.301811218261719</v>
      </c>
      <c r="H106" s="11">
        <v>6.2205977439880371</v>
      </c>
      <c r="I106" s="11">
        <v>21.081438064575195</v>
      </c>
      <c r="J106" s="11">
        <v>50.966884613037109</v>
      </c>
      <c r="K106" s="11">
        <v>2.8352880477905273</v>
      </c>
      <c r="L106" s="11">
        <v>42.635772705078125</v>
      </c>
      <c r="M106" s="11">
        <v>2.6013877391815186</v>
      </c>
      <c r="N106" s="11">
        <v>75.858314514160156</v>
      </c>
      <c r="O106" s="11">
        <v>39.833641052246094</v>
      </c>
      <c r="P106" s="11">
        <v>78.389778137207031</v>
      </c>
      <c r="Q106" s="11">
        <v>65.885635375976563</v>
      </c>
      <c r="R106" s="11" t="s">
        <v>464</v>
      </c>
      <c r="S106" s="11">
        <v>66.30010986328125</v>
      </c>
      <c r="T106" s="11">
        <v>71.114540100097656</v>
      </c>
      <c r="U106" s="11">
        <v>74.003402709960938</v>
      </c>
    </row>
    <row r="107" spans="1:21" x14ac:dyDescent="0.2">
      <c r="A107" t="s">
        <v>311</v>
      </c>
      <c r="B107" t="s">
        <v>312</v>
      </c>
      <c r="C107" s="11">
        <v>48.648014068603516</v>
      </c>
      <c r="D107" s="3">
        <v>145</v>
      </c>
      <c r="E107" s="11">
        <v>49.325614929199219</v>
      </c>
      <c r="F107" s="11">
        <v>46.487155914306641</v>
      </c>
      <c r="G107" s="11">
        <v>27.561077117919922</v>
      </c>
      <c r="H107" s="11">
        <v>41.950977325439453</v>
      </c>
      <c r="I107" s="11">
        <v>35.542755126953125</v>
      </c>
      <c r="J107" s="11">
        <v>62.973716735839844</v>
      </c>
      <c r="K107" s="11">
        <v>38.113487243652344</v>
      </c>
      <c r="L107" s="11">
        <v>49.241348266601563</v>
      </c>
      <c r="M107" s="11">
        <v>15.23066520690918</v>
      </c>
      <c r="N107" s="11">
        <v>50.123226165771484</v>
      </c>
      <c r="O107" s="11">
        <v>31.040891647338867</v>
      </c>
      <c r="P107" s="11">
        <v>76.251144409179688</v>
      </c>
      <c r="Q107" s="11">
        <v>89.51568603515625</v>
      </c>
      <c r="R107" s="11">
        <v>36.505893707275391</v>
      </c>
      <c r="S107" s="11">
        <v>75.303482055664063</v>
      </c>
      <c r="T107" s="11">
        <v>51.361991882324219</v>
      </c>
      <c r="U107" s="11">
        <v>50.487140655517578</v>
      </c>
    </row>
    <row r="108" spans="1:21" x14ac:dyDescent="0.2">
      <c r="A108" t="s">
        <v>227</v>
      </c>
      <c r="B108" t="s">
        <v>228</v>
      </c>
      <c r="C108" s="11">
        <v>63.108993530273438</v>
      </c>
      <c r="D108" s="3">
        <v>97</v>
      </c>
      <c r="E108" s="11">
        <v>93.350433349609375</v>
      </c>
      <c r="F108" s="11">
        <v>47.0457763671875</v>
      </c>
      <c r="G108" s="11">
        <v>74.618583679199219</v>
      </c>
      <c r="H108" s="11">
        <v>61.596916198730469</v>
      </c>
      <c r="I108" s="11">
        <v>78.80804443359375</v>
      </c>
      <c r="J108" s="11">
        <v>81.75189208984375</v>
      </c>
      <c r="K108" s="11">
        <v>64.788681030273438</v>
      </c>
      <c r="L108" s="11">
        <v>46.798568725585938</v>
      </c>
      <c r="M108" s="11">
        <v>10.931525230407715</v>
      </c>
      <c r="N108" s="11">
        <v>38.430671691894531</v>
      </c>
      <c r="O108" s="11">
        <v>85.050384521484375</v>
      </c>
      <c r="P108" s="11">
        <v>77.757118225097656</v>
      </c>
      <c r="Q108" s="11">
        <v>87.843765258789063</v>
      </c>
      <c r="R108" s="11">
        <v>40.692119598388672</v>
      </c>
      <c r="S108" s="11">
        <v>64.644332885742188</v>
      </c>
      <c r="T108" s="11">
        <v>50.893512725830078</v>
      </c>
      <c r="U108" s="11">
        <v>67.850540161132813</v>
      </c>
    </row>
    <row r="109" spans="1:21" x14ac:dyDescent="0.2">
      <c r="A109" t="s">
        <v>59</v>
      </c>
      <c r="B109" t="s">
        <v>60</v>
      </c>
      <c r="C109" s="11">
        <v>79.938552856445313</v>
      </c>
      <c r="D109" s="3">
        <v>13</v>
      </c>
      <c r="E109" s="11">
        <v>99.54827880859375</v>
      </c>
      <c r="F109" s="11">
        <v>72.459152221679688</v>
      </c>
      <c r="G109" s="11">
        <v>95.808830261230469</v>
      </c>
      <c r="H109" s="11">
        <v>93.446151733398438</v>
      </c>
      <c r="I109" s="11">
        <v>81.20172119140625</v>
      </c>
      <c r="J109" s="11">
        <v>93.481094360351563</v>
      </c>
      <c r="K109" s="11">
        <v>84.832649230957031</v>
      </c>
      <c r="L109" s="11">
        <v>87.7572021484375</v>
      </c>
      <c r="M109" s="11">
        <v>82.955520629882813</v>
      </c>
      <c r="N109" s="11">
        <v>93.053245544433594</v>
      </c>
      <c r="O109" s="11">
        <v>95.043365478515625</v>
      </c>
      <c r="P109" s="11">
        <v>52.074840545654297</v>
      </c>
      <c r="Q109" s="11">
        <v>65.943611145019531</v>
      </c>
      <c r="R109" s="11">
        <v>49.510971069335938</v>
      </c>
      <c r="S109" s="11">
        <v>74.5841064453125</v>
      </c>
      <c r="T109" s="11">
        <v>81.4683837890625</v>
      </c>
      <c r="U109" s="11">
        <v>55.786216735839844</v>
      </c>
    </row>
    <row r="110" spans="1:21" x14ac:dyDescent="0.2">
      <c r="A110" t="s">
        <v>33</v>
      </c>
      <c r="B110" t="s">
        <v>34</v>
      </c>
      <c r="C110" s="11">
        <v>83.9368896484375</v>
      </c>
      <c r="D110" s="3">
        <v>4</v>
      </c>
      <c r="E110" s="11">
        <v>99.62481689453125</v>
      </c>
      <c r="F110" s="11">
        <v>62.500762939453125</v>
      </c>
      <c r="G110" s="11">
        <v>96.670616149902344</v>
      </c>
      <c r="H110" s="11">
        <v>97.47381591796875</v>
      </c>
      <c r="I110" s="11">
        <v>86.802413940429688</v>
      </c>
      <c r="J110" s="11">
        <v>91.859939575195313</v>
      </c>
      <c r="K110" s="11">
        <v>97.50830078125</v>
      </c>
      <c r="L110" s="11">
        <v>95.758804321289063</v>
      </c>
      <c r="M110" s="11">
        <v>77.631256103515625</v>
      </c>
      <c r="N110" s="11">
        <v>99.042816162109375</v>
      </c>
      <c r="O110" s="11">
        <v>98.38909912109375</v>
      </c>
      <c r="P110" s="11">
        <v>38.10052490234375</v>
      </c>
      <c r="Q110" s="11">
        <v>79.871833801269531</v>
      </c>
      <c r="R110" s="11">
        <v>65.560523986816406</v>
      </c>
      <c r="S110" s="11">
        <v>66.969993591308594</v>
      </c>
      <c r="T110" s="11">
        <v>82.539398193359375</v>
      </c>
      <c r="U110" s="11">
        <v>90.622146606445313</v>
      </c>
    </row>
    <row r="111" spans="1:21" x14ac:dyDescent="0.2">
      <c r="A111" t="s">
        <v>217</v>
      </c>
      <c r="B111" t="s">
        <v>218</v>
      </c>
      <c r="C111" s="11">
        <v>61.566909790039063</v>
      </c>
      <c r="D111" s="3">
        <v>105</v>
      </c>
      <c r="E111" s="11">
        <v>94.706878662109375</v>
      </c>
      <c r="F111" s="11">
        <v>47.124168395996094</v>
      </c>
      <c r="G111" s="11">
        <v>60.259777069091797</v>
      </c>
      <c r="H111" s="11">
        <v>63.654926300048828</v>
      </c>
      <c r="I111" s="11">
        <v>61.111419677734375</v>
      </c>
      <c r="J111" s="11">
        <v>79.026023864746094</v>
      </c>
      <c r="K111" s="11">
        <v>51.778762817382813</v>
      </c>
      <c r="L111" s="11">
        <v>43.701713562011719</v>
      </c>
      <c r="M111" s="11">
        <v>10.518770217895508</v>
      </c>
      <c r="N111" s="11">
        <v>79.154006958007813</v>
      </c>
      <c r="O111" s="11">
        <v>33.277267456054688</v>
      </c>
      <c r="P111" s="11">
        <v>84.478263854980469</v>
      </c>
      <c r="Q111" s="11">
        <v>89.872238159179688</v>
      </c>
      <c r="R111" s="11" t="s">
        <v>464</v>
      </c>
      <c r="S111" s="11">
        <v>66.225372314453125</v>
      </c>
      <c r="T111" s="11">
        <v>57.645778656005859</v>
      </c>
      <c r="U111" s="11">
        <v>62.535205841064453</v>
      </c>
    </row>
    <row r="112" spans="1:21" x14ac:dyDescent="0.2">
      <c r="A112" t="s">
        <v>73</v>
      </c>
      <c r="B112" t="s">
        <v>74</v>
      </c>
      <c r="C112" s="11">
        <v>77.618667602539063</v>
      </c>
      <c r="D112" s="3">
        <v>20</v>
      </c>
      <c r="E112" s="11">
        <v>99.97564697265625</v>
      </c>
      <c r="F112" s="11">
        <v>64.278770446777344</v>
      </c>
      <c r="G112" s="11">
        <v>93.447189331054688</v>
      </c>
      <c r="H112" s="11">
        <v>94.891914367675781</v>
      </c>
      <c r="I112" s="11">
        <v>80.648910522460938</v>
      </c>
      <c r="J112" s="11">
        <v>94.51446533203125</v>
      </c>
      <c r="K112" s="11">
        <v>92.720390319824219</v>
      </c>
      <c r="L112" s="11">
        <v>78.3280029296875</v>
      </c>
      <c r="M112" s="11">
        <v>71.138442993164063</v>
      </c>
      <c r="N112" s="11" t="s">
        <v>464</v>
      </c>
      <c r="O112" s="11">
        <v>100</v>
      </c>
      <c r="P112" s="11">
        <v>54.777015686035156</v>
      </c>
      <c r="Q112" s="11">
        <v>83.834144592285156</v>
      </c>
      <c r="R112" s="11">
        <v>51.8106689453125</v>
      </c>
      <c r="S112" s="11">
        <v>28.597066879272461</v>
      </c>
      <c r="T112" s="11">
        <v>86.60711669921875</v>
      </c>
      <c r="U112" s="11">
        <v>66.328956604003906</v>
      </c>
    </row>
    <row r="113" spans="1:21" x14ac:dyDescent="0.2">
      <c r="A113" t="s">
        <v>199</v>
      </c>
      <c r="B113" t="s">
        <v>200</v>
      </c>
      <c r="C113" s="11">
        <v>64.305923461914063</v>
      </c>
      <c r="D113" s="3">
        <v>94</v>
      </c>
      <c r="E113" s="11">
        <v>98.653831481933594</v>
      </c>
      <c r="F113" s="11">
        <v>53.909446716308594</v>
      </c>
      <c r="G113" s="11">
        <v>85.105369567871094</v>
      </c>
      <c r="H113" s="11">
        <v>79.795570373535156</v>
      </c>
      <c r="I113" s="11">
        <v>32.198654174804688</v>
      </c>
      <c r="J113" s="11">
        <v>50.080268859863281</v>
      </c>
      <c r="K113" s="11">
        <v>78.564842224121094</v>
      </c>
      <c r="L113" s="11">
        <v>73.031822204589844</v>
      </c>
      <c r="M113" s="11">
        <v>42.504222869873047</v>
      </c>
      <c r="N113" s="11" t="s">
        <v>464</v>
      </c>
      <c r="O113" s="11">
        <v>66.7271728515625</v>
      </c>
      <c r="P113" s="11">
        <v>61.283660888671875</v>
      </c>
      <c r="Q113" s="11">
        <v>74.354278564453125</v>
      </c>
      <c r="R113" s="11">
        <v>55.362869262695313</v>
      </c>
      <c r="S113" s="11">
        <v>37.471576690673828</v>
      </c>
      <c r="T113" s="11">
        <v>78.797904968261719</v>
      </c>
      <c r="U113" s="11">
        <v>61.053310394287109</v>
      </c>
    </row>
    <row r="114" spans="1:21" x14ac:dyDescent="0.2">
      <c r="A114" t="s">
        <v>275</v>
      </c>
      <c r="B114" t="s">
        <v>276</v>
      </c>
      <c r="C114" s="11">
        <v>55.629737854003906</v>
      </c>
      <c r="D114" s="3">
        <v>122</v>
      </c>
      <c r="E114" s="11">
        <v>97.034576416015625</v>
      </c>
      <c r="F114" s="11">
        <v>36.007221221923828</v>
      </c>
      <c r="G114" s="11">
        <v>51.608436584472656</v>
      </c>
      <c r="H114" s="11">
        <v>40.219821929931641</v>
      </c>
      <c r="I114" s="11">
        <v>28.673994064331055</v>
      </c>
      <c r="J114" s="11">
        <v>66.810798645019531</v>
      </c>
      <c r="K114" s="11">
        <v>65.244064331054688</v>
      </c>
      <c r="L114" s="11">
        <v>45.606372833251953</v>
      </c>
      <c r="M114" s="11">
        <v>18.750083923339844</v>
      </c>
      <c r="N114" s="11">
        <v>85.315528869628906</v>
      </c>
      <c r="O114" s="11">
        <v>44.034664154052734</v>
      </c>
      <c r="P114" s="11">
        <v>79.19635009765625</v>
      </c>
      <c r="Q114" s="11">
        <v>87.997817993164063</v>
      </c>
      <c r="R114" s="11">
        <v>46.017932891845703</v>
      </c>
      <c r="S114" s="11">
        <v>57.864269256591797</v>
      </c>
      <c r="T114" s="11">
        <v>51.956344604492188</v>
      </c>
      <c r="U114" s="11">
        <v>43.367282867431641</v>
      </c>
    </row>
    <row r="115" spans="1:21" x14ac:dyDescent="0.2">
      <c r="A115" t="s">
        <v>213</v>
      </c>
      <c r="B115" t="s">
        <v>214</v>
      </c>
      <c r="C115" s="11">
        <v>63.937885284423828</v>
      </c>
      <c r="D115" s="3">
        <v>96</v>
      </c>
      <c r="E115" s="11">
        <v>97.967094421386719</v>
      </c>
      <c r="F115" s="11">
        <v>46.895889282226563</v>
      </c>
      <c r="G115" s="11">
        <v>77.978187561035156</v>
      </c>
      <c r="H115" s="11">
        <v>85.538017272949219</v>
      </c>
      <c r="I115" s="11">
        <v>63.754058837890625</v>
      </c>
      <c r="J115" s="11">
        <v>85.1451416015625</v>
      </c>
      <c r="K115" s="11">
        <v>80.05682373046875</v>
      </c>
      <c r="L115" s="11">
        <v>71.37286376953125</v>
      </c>
      <c r="M115" s="11">
        <v>28.800025939941406</v>
      </c>
      <c r="N115" s="11">
        <v>27.970424652099609</v>
      </c>
      <c r="O115" s="11">
        <v>94.387519836425781</v>
      </c>
      <c r="P115" s="11">
        <v>70.609146118164063</v>
      </c>
      <c r="Q115" s="11">
        <v>82.454750061035156</v>
      </c>
      <c r="R115" s="11">
        <v>38.636821746826172</v>
      </c>
      <c r="S115" s="11">
        <v>53.458274841308594</v>
      </c>
      <c r="T115" s="11">
        <v>52.022079467773438</v>
      </c>
      <c r="U115" s="11">
        <v>29.896940231323242</v>
      </c>
    </row>
    <row r="116" spans="1:21" x14ac:dyDescent="0.2">
      <c r="A116" t="s">
        <v>149</v>
      </c>
      <c r="B116" t="s">
        <v>150</v>
      </c>
      <c r="C116" s="11">
        <v>65.967338562011719</v>
      </c>
      <c r="D116" s="3">
        <v>79</v>
      </c>
      <c r="E116" s="11">
        <v>97.7901611328125</v>
      </c>
      <c r="F116" s="11">
        <v>56.840648651123047</v>
      </c>
      <c r="G116" s="11">
        <v>79.77386474609375</v>
      </c>
      <c r="H116" s="11">
        <v>82.151908874511719</v>
      </c>
      <c r="I116" s="11">
        <v>67.036430358886719</v>
      </c>
      <c r="J116" s="11">
        <v>84.64447021484375</v>
      </c>
      <c r="K116" s="11">
        <v>74.643447875976563</v>
      </c>
      <c r="L116" s="11">
        <v>52.183647155761719</v>
      </c>
      <c r="M116" s="11">
        <v>23.276409149169922</v>
      </c>
      <c r="N116" s="11">
        <v>46.770217895507813</v>
      </c>
      <c r="O116" s="11">
        <v>79.894950866699219</v>
      </c>
      <c r="P116" s="11">
        <v>73.237152099609375</v>
      </c>
      <c r="Q116" s="11">
        <v>84.076766967773438</v>
      </c>
      <c r="R116" s="11">
        <v>49.391593933105469</v>
      </c>
      <c r="S116" s="11">
        <v>58.697006225585938</v>
      </c>
      <c r="T116" s="11">
        <v>53.391532897949219</v>
      </c>
      <c r="U116" s="11">
        <v>57.644504547119141</v>
      </c>
    </row>
    <row r="117" spans="1:21" x14ac:dyDescent="0.2">
      <c r="A117" t="s">
        <v>215</v>
      </c>
      <c r="B117" t="s">
        <v>216</v>
      </c>
      <c r="C117" s="11">
        <v>64.330307006835938</v>
      </c>
      <c r="D117" s="3">
        <v>93</v>
      </c>
      <c r="E117" s="11">
        <v>92.526092529296875</v>
      </c>
      <c r="F117" s="11">
        <v>50.238185882568359</v>
      </c>
      <c r="G117" s="11">
        <v>61.129329681396484</v>
      </c>
      <c r="H117" s="11">
        <v>84.049537658691406</v>
      </c>
      <c r="I117" s="11">
        <v>64.537994384765625</v>
      </c>
      <c r="J117" s="11">
        <v>85.505859375</v>
      </c>
      <c r="K117" s="11">
        <v>64.642631530761719</v>
      </c>
      <c r="L117" s="11">
        <v>60.759021759033203</v>
      </c>
      <c r="M117" s="11">
        <v>24.519983291625977</v>
      </c>
      <c r="N117" s="11">
        <v>49.922622680664063</v>
      </c>
      <c r="O117" s="11">
        <v>67.963935852050781</v>
      </c>
      <c r="P117" s="11">
        <v>82.171600341796875</v>
      </c>
      <c r="Q117" s="11">
        <v>88.453765869140625</v>
      </c>
      <c r="R117" s="11">
        <v>50.6912841796875</v>
      </c>
      <c r="S117" s="11">
        <v>51.532238006591797</v>
      </c>
      <c r="T117" s="11">
        <v>61.065719604492188</v>
      </c>
      <c r="U117" s="11">
        <v>53.905406951904297</v>
      </c>
    </row>
    <row r="118" spans="1:21" x14ac:dyDescent="0.2">
      <c r="A118" t="s">
        <v>37</v>
      </c>
      <c r="B118" t="s">
        <v>38</v>
      </c>
      <c r="C118" s="11">
        <v>75.783355712890625</v>
      </c>
      <c r="D118" s="3">
        <v>27</v>
      </c>
      <c r="E118" s="11">
        <v>99.954452514648438</v>
      </c>
      <c r="F118" s="11">
        <v>63.447006225585938</v>
      </c>
      <c r="G118" s="11">
        <v>85.657302856445313</v>
      </c>
      <c r="H118" s="11">
        <v>93.690696716308594</v>
      </c>
      <c r="I118" s="11">
        <v>68.611061096191406</v>
      </c>
      <c r="J118" s="11">
        <v>95.213409423828125</v>
      </c>
      <c r="K118" s="11">
        <v>81.359367370605469</v>
      </c>
      <c r="L118" s="11">
        <v>86.311378479003906</v>
      </c>
      <c r="M118" s="11">
        <v>46.653774261474609</v>
      </c>
      <c r="N118" s="11">
        <v>81.33203125</v>
      </c>
      <c r="O118" s="11">
        <v>88.673080444335938</v>
      </c>
      <c r="P118" s="11">
        <v>72.593833923339844</v>
      </c>
      <c r="Q118" s="11">
        <v>82.883842468261719</v>
      </c>
      <c r="R118" s="11">
        <v>31.202455520629883</v>
      </c>
      <c r="S118" s="11">
        <v>83.877861022949219</v>
      </c>
      <c r="T118" s="11">
        <v>68.593704223632813</v>
      </c>
      <c r="U118" s="11">
        <v>58.261768341064453</v>
      </c>
    </row>
    <row r="119" spans="1:21" x14ac:dyDescent="0.2">
      <c r="A119" t="s">
        <v>55</v>
      </c>
      <c r="B119" t="s">
        <v>56</v>
      </c>
      <c r="C119" s="11">
        <v>75.570289611816406</v>
      </c>
      <c r="D119" s="3">
        <v>28</v>
      </c>
      <c r="E119" s="11">
        <v>99.223701477050781</v>
      </c>
      <c r="F119" s="11">
        <v>60.803657531738281</v>
      </c>
      <c r="G119" s="11">
        <v>90.610992431640625</v>
      </c>
      <c r="H119" s="11">
        <v>85.416885375976563</v>
      </c>
      <c r="I119" s="11">
        <v>82.162071228027344</v>
      </c>
      <c r="J119" s="11">
        <v>96.061309814453125</v>
      </c>
      <c r="K119" s="11">
        <v>91.420608520507813</v>
      </c>
      <c r="L119" s="11">
        <v>78.283027648925781</v>
      </c>
      <c r="M119" s="11">
        <v>56.564975738525391</v>
      </c>
      <c r="N119" s="11">
        <v>69.983375549316406</v>
      </c>
      <c r="O119" s="11">
        <v>98.017349243164063</v>
      </c>
      <c r="P119" s="11">
        <v>55.475650787353516</v>
      </c>
      <c r="Q119" s="11">
        <v>86.263275146484375</v>
      </c>
      <c r="R119" s="11">
        <v>50.166919708251953</v>
      </c>
      <c r="S119" s="11">
        <v>48.946067810058594</v>
      </c>
      <c r="T119" s="11">
        <v>71.904090881347656</v>
      </c>
      <c r="U119" s="11">
        <v>63.391006469726563</v>
      </c>
    </row>
    <row r="120" spans="1:21" x14ac:dyDescent="0.2">
      <c r="A120" t="s">
        <v>195</v>
      </c>
      <c r="B120" t="s">
        <v>196</v>
      </c>
      <c r="C120" s="11">
        <v>66.135391235351563</v>
      </c>
      <c r="D120" s="3">
        <v>75</v>
      </c>
      <c r="E120" s="11">
        <v>97.925636291503906</v>
      </c>
      <c r="F120" s="11">
        <v>64.218925476074219</v>
      </c>
      <c r="G120" s="11">
        <v>76.002693176269531</v>
      </c>
      <c r="H120" s="11">
        <v>75.535614013671875</v>
      </c>
      <c r="I120" s="11">
        <v>65.64227294921875</v>
      </c>
      <c r="J120" s="11">
        <v>95.337982177734375</v>
      </c>
      <c r="K120" s="11">
        <v>84.250259399414063</v>
      </c>
      <c r="L120" s="11">
        <v>45.402565002441406</v>
      </c>
      <c r="M120" s="11">
        <v>17.139274597167969</v>
      </c>
      <c r="N120" s="11">
        <v>25.190574645996094</v>
      </c>
      <c r="O120" s="11">
        <v>91.279045104980469</v>
      </c>
      <c r="P120" s="11">
        <v>71.286491394042969</v>
      </c>
      <c r="Q120" s="11">
        <v>83.690155029296875</v>
      </c>
      <c r="R120" s="11" t="s">
        <v>464</v>
      </c>
      <c r="S120" s="11">
        <v>45.449272155761719</v>
      </c>
      <c r="T120" s="11">
        <v>52.644321441650391</v>
      </c>
      <c r="U120" s="11">
        <v>67.171119689941406</v>
      </c>
    </row>
    <row r="121" spans="1:21" x14ac:dyDescent="0.2">
      <c r="A121" t="s">
        <v>219</v>
      </c>
      <c r="B121" t="s">
        <v>220</v>
      </c>
      <c r="C121" s="11">
        <v>63.101627349853516</v>
      </c>
      <c r="D121" s="3">
        <v>98</v>
      </c>
      <c r="E121" s="11">
        <v>99.790855407714844</v>
      </c>
      <c r="F121" s="11">
        <v>57.774246215820313</v>
      </c>
      <c r="G121" s="11">
        <v>89.307296752929688</v>
      </c>
      <c r="H121" s="11">
        <v>81.448898315429688</v>
      </c>
      <c r="I121" s="11">
        <v>48.009452819824219</v>
      </c>
      <c r="J121" s="11">
        <v>49.431816101074219</v>
      </c>
      <c r="K121" s="11">
        <v>78.393707275390625</v>
      </c>
      <c r="L121" s="11">
        <v>80.639663696289063</v>
      </c>
      <c r="M121" s="11">
        <v>50.102027893066406</v>
      </c>
      <c r="N121" s="11">
        <v>57.488395690917969</v>
      </c>
      <c r="O121" s="11">
        <v>46.884983062744141</v>
      </c>
      <c r="P121" s="11">
        <v>56.722789764404297</v>
      </c>
      <c r="Q121" s="11">
        <v>58.558559417724609</v>
      </c>
      <c r="R121" s="11">
        <v>39.225410461425781</v>
      </c>
      <c r="S121" s="11">
        <v>40.074253082275391</v>
      </c>
      <c r="T121" s="11">
        <v>86.888412475585938</v>
      </c>
      <c r="U121" s="11">
        <v>51.986915588378906</v>
      </c>
    </row>
    <row r="122" spans="1:21" x14ac:dyDescent="0.2">
      <c r="A122" t="s">
        <v>89</v>
      </c>
      <c r="B122" t="s">
        <v>90</v>
      </c>
      <c r="C122" s="11">
        <v>74.129852294921875</v>
      </c>
      <c r="D122" s="3">
        <v>35</v>
      </c>
      <c r="E122" s="11">
        <v>99.8515625</v>
      </c>
      <c r="F122" s="11">
        <v>51.857753753662109</v>
      </c>
      <c r="G122" s="11">
        <v>79.252235412597656</v>
      </c>
      <c r="H122" s="11">
        <v>82.631790161132813</v>
      </c>
      <c r="I122" s="11">
        <v>61.545677185058594</v>
      </c>
      <c r="J122" s="11">
        <v>90.892807006835938</v>
      </c>
      <c r="K122" s="11">
        <v>81.841621398925781</v>
      </c>
      <c r="L122" s="11">
        <v>77.745399475097656</v>
      </c>
      <c r="M122" s="11">
        <v>34.667469024658203</v>
      </c>
      <c r="N122" s="11">
        <v>94.600791931152344</v>
      </c>
      <c r="O122" s="11">
        <v>84.014869689941406</v>
      </c>
      <c r="P122" s="11">
        <v>65.417594909667969</v>
      </c>
      <c r="Q122" s="11">
        <v>90.689567565917969</v>
      </c>
      <c r="R122" s="11">
        <v>65.578285217285156</v>
      </c>
      <c r="S122" s="11">
        <v>79.641815185546875</v>
      </c>
      <c r="T122" s="11">
        <v>60.212779998779297</v>
      </c>
      <c r="U122" s="11">
        <v>59.765457153320313</v>
      </c>
    </row>
    <row r="123" spans="1:21" x14ac:dyDescent="0.2">
      <c r="A123" t="s">
        <v>117</v>
      </c>
      <c r="B123" t="s">
        <v>118</v>
      </c>
      <c r="C123" s="11">
        <v>68.929405212402344</v>
      </c>
      <c r="D123" s="3">
        <v>62</v>
      </c>
      <c r="E123" s="11">
        <v>100</v>
      </c>
      <c r="F123" s="11">
        <v>28.859828948974609</v>
      </c>
      <c r="G123" s="11">
        <v>75.965965270996094</v>
      </c>
      <c r="H123" s="11">
        <v>92.619758605957031</v>
      </c>
      <c r="I123" s="11">
        <v>65.465286254882813</v>
      </c>
      <c r="J123" s="11">
        <v>88.2562255859375</v>
      </c>
      <c r="K123" s="11">
        <v>85.931282043457031</v>
      </c>
      <c r="L123" s="11">
        <v>71.857460021972656</v>
      </c>
      <c r="M123" s="11">
        <v>45.303936004638672</v>
      </c>
      <c r="N123" s="11">
        <v>54.078067779541016</v>
      </c>
      <c r="O123" s="11">
        <v>90.851203918457031</v>
      </c>
      <c r="P123" s="11">
        <v>70.510581970214844</v>
      </c>
      <c r="Q123" s="11">
        <v>79.750198364257813</v>
      </c>
      <c r="R123" s="11">
        <v>70.470527648925781</v>
      </c>
      <c r="S123" s="11">
        <v>59.017604827880859</v>
      </c>
      <c r="T123" s="11">
        <v>35.341850280761719</v>
      </c>
      <c r="U123" s="11">
        <v>57.520172119140625</v>
      </c>
    </row>
    <row r="124" spans="1:21" x14ac:dyDescent="0.2">
      <c r="A124" t="s">
        <v>271</v>
      </c>
      <c r="B124" t="s">
        <v>272</v>
      </c>
      <c r="C124" s="11">
        <v>55.005588531494141</v>
      </c>
      <c r="D124" s="3">
        <v>123</v>
      </c>
      <c r="E124" s="11">
        <v>52.027885437011719</v>
      </c>
      <c r="F124" s="11">
        <v>41.929950714111328</v>
      </c>
      <c r="G124" s="11">
        <v>61.603549957275391</v>
      </c>
      <c r="H124" s="11">
        <v>59.310966491699219</v>
      </c>
      <c r="I124" s="11">
        <v>79.174308776855469</v>
      </c>
      <c r="J124" s="11">
        <v>75.663551330566406</v>
      </c>
      <c r="K124" s="11">
        <v>5.8658595085144043</v>
      </c>
      <c r="L124" s="11">
        <v>52.566074371337891</v>
      </c>
      <c r="M124" s="11">
        <v>17.807287216186523</v>
      </c>
      <c r="N124" s="11">
        <v>28.715536117553711</v>
      </c>
      <c r="O124" s="11">
        <v>39.892616271972656</v>
      </c>
      <c r="P124" s="11">
        <v>82.199935913085938</v>
      </c>
      <c r="Q124" s="11">
        <v>81.237831115722656</v>
      </c>
      <c r="R124" s="11" t="s">
        <v>464</v>
      </c>
      <c r="S124" s="11">
        <v>65.315017700195313</v>
      </c>
      <c r="T124" s="11">
        <v>72.906829833984375</v>
      </c>
      <c r="U124" s="11">
        <v>63.872203826904297</v>
      </c>
    </row>
    <row r="125" spans="1:21" x14ac:dyDescent="0.2">
      <c r="A125" t="s">
        <v>207</v>
      </c>
      <c r="B125" t="s">
        <v>208</v>
      </c>
      <c r="C125" s="11">
        <v>62.677078247070313</v>
      </c>
      <c r="D125" s="3">
        <v>101</v>
      </c>
      <c r="E125" s="11">
        <v>99.179450988769531</v>
      </c>
      <c r="F125" s="11">
        <v>41.008472442626953</v>
      </c>
      <c r="G125" s="11">
        <v>82.639717102050781</v>
      </c>
      <c r="H125" s="11">
        <v>86.817329406738281</v>
      </c>
      <c r="I125" s="11">
        <v>42.029857635498047</v>
      </c>
      <c r="J125" s="11">
        <v>57.565990447998047</v>
      </c>
      <c r="K125" s="11">
        <v>82.671638488769531</v>
      </c>
      <c r="L125" s="11">
        <v>74.419731140136719</v>
      </c>
      <c r="M125" s="11">
        <v>51.675125122070313</v>
      </c>
      <c r="N125" s="11" t="s">
        <v>464</v>
      </c>
      <c r="O125" s="11">
        <v>0</v>
      </c>
      <c r="P125" s="11">
        <v>58.578327178955078</v>
      </c>
      <c r="Q125" s="11">
        <v>72.965179443359375</v>
      </c>
      <c r="R125" s="11">
        <v>45.835727691650391</v>
      </c>
      <c r="S125" s="11">
        <v>35.322517395019531</v>
      </c>
      <c r="T125" s="11">
        <v>72.12420654296875</v>
      </c>
      <c r="U125" s="11">
        <v>100</v>
      </c>
    </row>
    <row r="126" spans="1:21" x14ac:dyDescent="0.2">
      <c r="A126" t="s">
        <v>339</v>
      </c>
      <c r="B126" t="s">
        <v>340</v>
      </c>
      <c r="C126" s="11">
        <v>49.871002197265625</v>
      </c>
      <c r="D126" s="3">
        <v>139</v>
      </c>
      <c r="E126" s="11">
        <v>78.054794311523438</v>
      </c>
      <c r="F126" s="11">
        <v>23.857246398925781</v>
      </c>
      <c r="G126" s="11">
        <v>52.549575805664063</v>
      </c>
      <c r="H126" s="11">
        <v>19.229438781738281</v>
      </c>
      <c r="I126" s="11">
        <v>38.922275543212891</v>
      </c>
      <c r="J126" s="11">
        <v>38.591903686523438</v>
      </c>
      <c r="K126" s="11">
        <v>44.122917175292969</v>
      </c>
      <c r="L126" s="11">
        <v>36.842025756835938</v>
      </c>
      <c r="M126" s="11">
        <v>14.145068168640137</v>
      </c>
      <c r="N126" s="11">
        <v>71.846160888671875</v>
      </c>
      <c r="O126" s="11">
        <v>55.390335083007813</v>
      </c>
      <c r="P126" s="11">
        <v>74.92401123046875</v>
      </c>
      <c r="Q126" s="11">
        <v>77.926765441894531</v>
      </c>
      <c r="R126" s="11">
        <v>50.805168151855469</v>
      </c>
      <c r="S126" s="11">
        <v>34.383674621582031</v>
      </c>
      <c r="T126" s="11">
        <v>68.473434448242188</v>
      </c>
      <c r="U126" s="11">
        <v>67.742210388183594</v>
      </c>
    </row>
    <row r="127" spans="1:21" x14ac:dyDescent="0.2">
      <c r="A127" t="s">
        <v>261</v>
      </c>
      <c r="B127" t="s">
        <v>262</v>
      </c>
      <c r="C127" s="11">
        <v>56.238533020019531</v>
      </c>
      <c r="D127" s="3">
        <v>119</v>
      </c>
      <c r="E127" s="11">
        <v>63.297416687011719</v>
      </c>
      <c r="F127" s="11">
        <v>51.084163665771484</v>
      </c>
      <c r="G127" s="11">
        <v>55.788555145263672</v>
      </c>
      <c r="H127" s="11">
        <v>28.967626571655273</v>
      </c>
      <c r="I127" s="11">
        <v>51.789508819580078</v>
      </c>
      <c r="J127" s="11">
        <v>70.97784423828125</v>
      </c>
      <c r="K127" s="11">
        <v>47.047660827636719</v>
      </c>
      <c r="L127" s="11">
        <v>52.955421447753906</v>
      </c>
      <c r="M127" s="11">
        <v>14.282465934753418</v>
      </c>
      <c r="N127" s="11">
        <v>57.803630828857422</v>
      </c>
      <c r="O127" s="11">
        <v>70.936492919921875</v>
      </c>
      <c r="P127" s="11">
        <v>81.716972351074219</v>
      </c>
      <c r="Q127" s="11">
        <v>81.598686218261719</v>
      </c>
      <c r="R127" s="11">
        <v>29.694541931152344</v>
      </c>
      <c r="S127" s="11">
        <v>69.685707092285156</v>
      </c>
      <c r="T127" s="11">
        <v>63.785377502441406</v>
      </c>
      <c r="U127" s="11">
        <v>64.64300537109375</v>
      </c>
    </row>
    <row r="128" spans="1:21" x14ac:dyDescent="0.2">
      <c r="A128" t="s">
        <v>147</v>
      </c>
      <c r="B128" t="s">
        <v>148</v>
      </c>
      <c r="C128" s="11">
        <v>68.973739624023438</v>
      </c>
      <c r="D128" s="3">
        <v>61</v>
      </c>
      <c r="E128" s="11">
        <v>98.62841796875</v>
      </c>
      <c r="F128" s="11">
        <v>71.149246215820313</v>
      </c>
      <c r="G128" s="11">
        <v>93.842720031738281</v>
      </c>
      <c r="H128" s="11">
        <v>92.250167846679688</v>
      </c>
      <c r="I128" s="11">
        <v>68.299049377441406</v>
      </c>
      <c r="J128" s="11">
        <v>88.899185180664063</v>
      </c>
      <c r="K128" s="11">
        <v>90.789520263671875</v>
      </c>
      <c r="L128" s="11">
        <v>95.045478820800781</v>
      </c>
      <c r="M128" s="11">
        <v>85.727882385253906</v>
      </c>
      <c r="N128" s="11">
        <v>37.714218139648438</v>
      </c>
      <c r="O128" s="11">
        <v>92.936798095703125</v>
      </c>
      <c r="P128" s="11">
        <v>43.283699035644531</v>
      </c>
      <c r="Q128" s="11">
        <v>48.081600189208984</v>
      </c>
      <c r="R128" s="11">
        <v>21.21449089050293</v>
      </c>
      <c r="S128" s="11">
        <v>26.186634063720703</v>
      </c>
      <c r="T128" s="11">
        <v>89.807266235351563</v>
      </c>
      <c r="U128" s="11">
        <v>28.697257995605469</v>
      </c>
    </row>
    <row r="129" spans="1:21" x14ac:dyDescent="0.2">
      <c r="A129" t="s">
        <v>293</v>
      </c>
      <c r="B129" t="s">
        <v>294</v>
      </c>
      <c r="C129" s="11">
        <v>47.112384796142578</v>
      </c>
      <c r="D129" s="3">
        <v>149</v>
      </c>
      <c r="E129" s="11">
        <v>28.71759033203125</v>
      </c>
      <c r="F129" s="11">
        <v>41.505477905273438</v>
      </c>
      <c r="G129" s="11">
        <v>28.157602310180664</v>
      </c>
      <c r="H129" s="11">
        <v>49.287803649902344</v>
      </c>
      <c r="I129" s="11">
        <v>43.445880889892578</v>
      </c>
      <c r="J129" s="11">
        <v>46.116504669189453</v>
      </c>
      <c r="K129" s="11">
        <v>2.1771872043609619</v>
      </c>
      <c r="L129" s="11">
        <v>35.900482177734375</v>
      </c>
      <c r="M129" s="11">
        <v>5.8045811653137207</v>
      </c>
      <c r="N129" s="11">
        <v>75.858314514160156</v>
      </c>
      <c r="O129" s="11">
        <v>47.479183197021484</v>
      </c>
      <c r="P129" s="11">
        <v>82.237869262695313</v>
      </c>
      <c r="Q129" s="11">
        <v>81.110641479492188</v>
      </c>
      <c r="R129" s="11">
        <v>39.271774291992188</v>
      </c>
      <c r="S129" s="11">
        <v>75.330665588378906</v>
      </c>
      <c r="T129" s="11">
        <v>58.053577423095703</v>
      </c>
      <c r="U129" s="11">
        <v>60.455417633056641</v>
      </c>
    </row>
    <row r="130" spans="1:21" x14ac:dyDescent="0.2">
      <c r="A130" t="s">
        <v>165</v>
      </c>
      <c r="B130" t="s">
        <v>166</v>
      </c>
      <c r="C130" s="11">
        <v>62.921295166015625</v>
      </c>
      <c r="D130" s="3">
        <v>99</v>
      </c>
      <c r="E130" s="11">
        <v>96.405868530273438</v>
      </c>
      <c r="F130" s="11">
        <v>48.828472137451172</v>
      </c>
      <c r="G130" s="11">
        <v>78.424751281738281</v>
      </c>
      <c r="H130" s="11">
        <v>73.145919799804688</v>
      </c>
      <c r="I130" s="11">
        <v>67.712966918945313</v>
      </c>
      <c r="J130" s="11">
        <v>84.83868408203125</v>
      </c>
      <c r="K130" s="11">
        <v>81.513206481933594</v>
      </c>
      <c r="L130" s="11">
        <v>55.826793670654297</v>
      </c>
      <c r="M130" s="11">
        <v>15.055035591125488</v>
      </c>
      <c r="N130" s="11">
        <v>53.361606597900391</v>
      </c>
      <c r="O130" s="11">
        <v>75.448646545410156</v>
      </c>
      <c r="P130" s="11">
        <v>74.938232421875</v>
      </c>
      <c r="Q130" s="11">
        <v>87.776351928710938</v>
      </c>
      <c r="R130" s="11">
        <v>21.593917846679688</v>
      </c>
      <c r="S130" s="11">
        <v>58.780815124511719</v>
      </c>
      <c r="T130" s="11">
        <v>35.614459991455078</v>
      </c>
      <c r="U130" s="11">
        <v>60.396305084228516</v>
      </c>
    </row>
    <row r="131" spans="1:21" x14ac:dyDescent="0.2">
      <c r="A131" t="s">
        <v>91</v>
      </c>
      <c r="B131" t="s">
        <v>92</v>
      </c>
      <c r="C131" s="11">
        <v>73.576744079589844</v>
      </c>
      <c r="D131" s="3">
        <v>37</v>
      </c>
      <c r="E131" s="11">
        <v>99.790878295898438</v>
      </c>
      <c r="F131" s="11">
        <v>59.240360260009766</v>
      </c>
      <c r="G131" s="11">
        <v>80.679420471191406</v>
      </c>
      <c r="H131" s="11">
        <v>89.002532958984375</v>
      </c>
      <c r="I131" s="11">
        <v>59.005111694335938</v>
      </c>
      <c r="J131" s="11">
        <v>97.737640380859375</v>
      </c>
      <c r="K131" s="11">
        <v>78.230682373046875</v>
      </c>
      <c r="L131" s="11">
        <v>49.259525299072266</v>
      </c>
      <c r="M131" s="11">
        <v>36.276599884033203</v>
      </c>
      <c r="N131" s="11">
        <v>89.98681640625</v>
      </c>
      <c r="O131" s="11">
        <v>89.010063171386719</v>
      </c>
      <c r="P131" s="11">
        <v>64.38140869140625</v>
      </c>
      <c r="Q131" s="11">
        <v>77.713088989257813</v>
      </c>
      <c r="R131" s="11" t="s">
        <v>464</v>
      </c>
      <c r="S131" s="11">
        <v>64.822319030761719</v>
      </c>
      <c r="T131" s="11">
        <v>66.915306091308594</v>
      </c>
      <c r="U131" s="11">
        <v>75.176139831542969</v>
      </c>
    </row>
    <row r="132" spans="1:21" x14ac:dyDescent="0.2">
      <c r="A132" t="s">
        <v>203</v>
      </c>
      <c r="B132" t="s">
        <v>204</v>
      </c>
      <c r="C132" s="11">
        <v>70.351570129394531</v>
      </c>
      <c r="D132" s="3">
        <v>51</v>
      </c>
      <c r="E132" s="11">
        <v>71.619926452636719</v>
      </c>
      <c r="F132" s="11">
        <v>52.542987823486328</v>
      </c>
      <c r="G132" s="11">
        <v>77.974647521972656</v>
      </c>
      <c r="H132" s="11">
        <v>79.497016906738281</v>
      </c>
      <c r="I132" s="11">
        <v>64.656143188476563</v>
      </c>
      <c r="J132" s="11">
        <v>88.561416625976563</v>
      </c>
      <c r="K132" s="11">
        <v>86.609146118164063</v>
      </c>
      <c r="L132" s="11">
        <v>63.164306640625</v>
      </c>
      <c r="M132" s="11">
        <v>32.969425201416016</v>
      </c>
      <c r="N132" s="11" t="s">
        <v>464</v>
      </c>
      <c r="O132" s="11">
        <v>82.207901000976563</v>
      </c>
      <c r="P132" s="11">
        <v>80.879119873046875</v>
      </c>
      <c r="Q132" s="11">
        <v>61.96319580078125</v>
      </c>
      <c r="R132" s="11">
        <v>67.362823486328125</v>
      </c>
      <c r="S132" s="11">
        <v>75.232147216796875</v>
      </c>
      <c r="T132" s="11">
        <v>58.966800689697266</v>
      </c>
      <c r="U132" s="11">
        <v>81.418128967285156</v>
      </c>
    </row>
    <row r="133" spans="1:21" x14ac:dyDescent="0.2">
      <c r="A133" t="s">
        <v>65</v>
      </c>
      <c r="B133" t="s">
        <v>66</v>
      </c>
      <c r="C133" s="11">
        <v>76.934890747070313</v>
      </c>
      <c r="D133" s="3">
        <v>23</v>
      </c>
      <c r="E133" s="11">
        <v>99.34259033203125</v>
      </c>
      <c r="F133" s="11">
        <v>68.156524658203125</v>
      </c>
      <c r="G133" s="11">
        <v>87.083831787109375</v>
      </c>
      <c r="H133" s="11">
        <v>90.65338134765625</v>
      </c>
      <c r="I133" s="11">
        <v>67.774848937988281</v>
      </c>
      <c r="J133" s="11">
        <v>96.436065673828125</v>
      </c>
      <c r="K133" s="11">
        <v>89.197074890136719</v>
      </c>
      <c r="L133" s="11">
        <v>73.250816345214844</v>
      </c>
      <c r="M133" s="11">
        <v>47.003273010253906</v>
      </c>
      <c r="N133" s="11">
        <v>98.412338256835938</v>
      </c>
      <c r="O133" s="11">
        <v>89.25054931640625</v>
      </c>
      <c r="P133" s="11">
        <v>63.999553680419922</v>
      </c>
      <c r="Q133" s="11">
        <v>68.0145263671875</v>
      </c>
      <c r="R133" s="11" t="s">
        <v>464</v>
      </c>
      <c r="S133" s="11">
        <v>77.379074096679688</v>
      </c>
      <c r="T133" s="11">
        <v>63.821273803710938</v>
      </c>
      <c r="U133" s="11">
        <v>51.182571411132813</v>
      </c>
    </row>
    <row r="134" spans="1:21" x14ac:dyDescent="0.2">
      <c r="A134" t="s">
        <v>45</v>
      </c>
      <c r="B134" t="s">
        <v>46</v>
      </c>
      <c r="C134" s="11">
        <v>80.541305541992188</v>
      </c>
      <c r="D134" s="3">
        <v>9</v>
      </c>
      <c r="E134" s="11">
        <v>99.787490844726563</v>
      </c>
      <c r="F134" s="11">
        <v>65.369049072265625</v>
      </c>
      <c r="G134" s="11">
        <v>91.775291442871094</v>
      </c>
      <c r="H134" s="11">
        <v>94.850173950195313</v>
      </c>
      <c r="I134" s="11">
        <v>80.121971130371094</v>
      </c>
      <c r="J134" s="11">
        <v>94.219718933105469</v>
      </c>
      <c r="K134" s="11">
        <v>90.578102111816406</v>
      </c>
      <c r="L134" s="11">
        <v>75.744636535644531</v>
      </c>
      <c r="M134" s="11">
        <v>56.390193939208984</v>
      </c>
      <c r="N134" s="11">
        <v>99.931221008300781</v>
      </c>
      <c r="O134" s="11">
        <v>91.181022644042969</v>
      </c>
      <c r="P134" s="11">
        <v>61.380424499511719</v>
      </c>
      <c r="Q134" s="11">
        <v>88.331329345703125</v>
      </c>
      <c r="R134" s="11">
        <v>54.899879455566406</v>
      </c>
      <c r="S134" s="11">
        <v>80.461380004882813</v>
      </c>
      <c r="T134" s="11">
        <v>77.191474914550781</v>
      </c>
      <c r="U134" s="11">
        <v>66.988868713378906</v>
      </c>
    </row>
    <row r="135" spans="1:21" x14ac:dyDescent="0.2">
      <c r="A135" t="s">
        <v>23</v>
      </c>
      <c r="B135" t="s">
        <v>24</v>
      </c>
      <c r="C135" s="11">
        <v>85.607109069824219</v>
      </c>
      <c r="D135" s="3">
        <v>1</v>
      </c>
      <c r="E135" s="11">
        <v>99.426712036132813</v>
      </c>
      <c r="F135" s="11">
        <v>70.125740051269531</v>
      </c>
      <c r="G135" s="11">
        <v>97.575920104980469</v>
      </c>
      <c r="H135" s="11">
        <v>94.96826171875</v>
      </c>
      <c r="I135" s="11">
        <v>86.492515563964844</v>
      </c>
      <c r="J135" s="11">
        <v>95.174980163574219</v>
      </c>
      <c r="K135" s="11">
        <v>97.500442504882813</v>
      </c>
      <c r="L135" s="11">
        <v>91.3480224609375</v>
      </c>
      <c r="M135" s="11">
        <v>89.614021301269531</v>
      </c>
      <c r="N135" s="11">
        <v>94.973350524902344</v>
      </c>
      <c r="O135" s="11">
        <v>100</v>
      </c>
      <c r="P135" s="11">
        <v>57.663436889648438</v>
      </c>
      <c r="Q135" s="11">
        <v>80.09124755859375</v>
      </c>
      <c r="R135" s="11">
        <v>59.867916107177734</v>
      </c>
      <c r="S135" s="11">
        <v>63.137657165527344</v>
      </c>
      <c r="T135" s="11">
        <v>81.088050842285156</v>
      </c>
      <c r="U135" s="11">
        <v>96.272598266601563</v>
      </c>
    </row>
    <row r="136" spans="1:21" x14ac:dyDescent="0.2">
      <c r="A136" t="s">
        <v>463</v>
      </c>
      <c r="B136" t="s">
        <v>284</v>
      </c>
      <c r="C136" s="11">
        <v>54.983535766601563</v>
      </c>
      <c r="D136" s="3">
        <v>124</v>
      </c>
      <c r="E136" s="11">
        <v>59.985984802246094</v>
      </c>
      <c r="F136" s="11">
        <v>45.953067779541016</v>
      </c>
      <c r="G136" s="11">
        <v>48.841300964355469</v>
      </c>
      <c r="H136" s="11">
        <v>62.543910980224609</v>
      </c>
      <c r="I136" s="11">
        <v>53.713890075683594</v>
      </c>
      <c r="J136" s="11">
        <v>71.719573974609375</v>
      </c>
      <c r="K136" s="11">
        <v>49.298103332519531</v>
      </c>
      <c r="L136" s="11">
        <v>47.425857543945313</v>
      </c>
      <c r="M136" s="11">
        <v>22.470041275024414</v>
      </c>
      <c r="N136" s="11">
        <v>25.821056365966797</v>
      </c>
      <c r="O136" s="11">
        <v>79.438255310058594</v>
      </c>
      <c r="P136" s="11">
        <v>78.214439392089844</v>
      </c>
      <c r="Q136" s="11">
        <v>37.240669250488281</v>
      </c>
      <c r="R136" s="11" t="s">
        <v>464</v>
      </c>
      <c r="S136" s="11">
        <v>52.744289398193359</v>
      </c>
      <c r="T136" s="11">
        <v>52.698406219482422</v>
      </c>
      <c r="U136" s="11">
        <v>91.627723693847656</v>
      </c>
    </row>
    <row r="137" spans="1:21" x14ac:dyDescent="0.2">
      <c r="A137" t="s">
        <v>279</v>
      </c>
      <c r="B137" t="s">
        <v>280</v>
      </c>
      <c r="C137" s="11">
        <v>58.144306182861328</v>
      </c>
      <c r="D137" s="3">
        <v>115</v>
      </c>
      <c r="E137" s="11" t="s">
        <v>464</v>
      </c>
      <c r="F137" s="11">
        <v>27.522920608520508</v>
      </c>
      <c r="G137" s="11">
        <v>73.131034851074219</v>
      </c>
      <c r="H137" s="11">
        <v>48.781600952148438</v>
      </c>
      <c r="I137" s="11">
        <v>36.095420837402344</v>
      </c>
      <c r="J137" s="11">
        <v>68.593605041503906</v>
      </c>
      <c r="K137" s="11">
        <v>85.317039489746094</v>
      </c>
      <c r="L137" s="11">
        <v>50.499977111816406</v>
      </c>
      <c r="M137" s="11">
        <v>17.41499137878418</v>
      </c>
      <c r="N137" s="11">
        <v>81.561294555664063</v>
      </c>
      <c r="O137" s="11">
        <v>77.059982299804688</v>
      </c>
      <c r="P137" s="11">
        <v>76.16644287109375</v>
      </c>
      <c r="Q137" s="11">
        <v>89.26483154296875</v>
      </c>
      <c r="R137" s="11">
        <v>31.892946243286133</v>
      </c>
      <c r="S137" s="11">
        <v>42.618194580078125</v>
      </c>
      <c r="T137" s="11">
        <v>63.905128479003906</v>
      </c>
      <c r="U137" s="11">
        <v>60.483467102050781</v>
      </c>
    </row>
    <row r="138" spans="1:21" x14ac:dyDescent="0.2">
      <c r="A138" t="s">
        <v>347</v>
      </c>
      <c r="B138" t="s">
        <v>348</v>
      </c>
      <c r="C138" s="11">
        <v>41.500804901123047</v>
      </c>
      <c r="D138" s="3">
        <v>156</v>
      </c>
      <c r="E138" s="11">
        <v>45.345932006835938</v>
      </c>
      <c r="F138" s="11">
        <v>29.067522048950195</v>
      </c>
      <c r="G138" s="11">
        <v>24.940404891967773</v>
      </c>
      <c r="H138" s="11">
        <v>22.816003799438477</v>
      </c>
      <c r="I138" s="11">
        <v>25.907148361206055</v>
      </c>
      <c r="J138" s="11">
        <v>50.028408050537109</v>
      </c>
      <c r="K138" s="11">
        <v>1.4239792823791504</v>
      </c>
      <c r="L138" s="11">
        <v>35.696701049804688</v>
      </c>
      <c r="M138" s="11">
        <v>1.6907526254653931</v>
      </c>
      <c r="N138" s="11">
        <v>49.120189666748047</v>
      </c>
      <c r="O138" s="11">
        <v>39.345401763916016</v>
      </c>
      <c r="P138" s="11">
        <v>76.84124755859375</v>
      </c>
      <c r="Q138" s="11">
        <v>85.392578125</v>
      </c>
      <c r="R138" s="11" t="s">
        <v>464</v>
      </c>
      <c r="S138" s="11">
        <v>79.214958190917969</v>
      </c>
      <c r="T138" s="11">
        <v>42.834209442138672</v>
      </c>
      <c r="U138" s="11">
        <v>54.347442626953125</v>
      </c>
    </row>
    <row r="139" spans="1:21" x14ac:dyDescent="0.2">
      <c r="A139" t="s">
        <v>291</v>
      </c>
      <c r="B139" t="s">
        <v>292</v>
      </c>
      <c r="C139" s="11">
        <v>50.179481506347656</v>
      </c>
      <c r="D139" s="3">
        <v>137</v>
      </c>
      <c r="E139" s="11">
        <v>62.701766967773438</v>
      </c>
      <c r="F139" s="11">
        <v>48.284774780273438</v>
      </c>
      <c r="G139" s="11">
        <v>42.235332489013672</v>
      </c>
      <c r="H139" s="11">
        <v>61.559272766113281</v>
      </c>
      <c r="I139" s="11">
        <v>42.689254760742188</v>
      </c>
      <c r="J139" s="11">
        <v>54.025764465332031</v>
      </c>
      <c r="K139" s="11">
        <v>14.348408699035645</v>
      </c>
      <c r="L139" s="11">
        <v>42.535587310791016</v>
      </c>
      <c r="M139" s="11">
        <v>5.2207117080688477</v>
      </c>
      <c r="N139" s="11">
        <v>41.382469177246094</v>
      </c>
      <c r="O139" s="11">
        <v>41.378761291503906</v>
      </c>
      <c r="P139" s="11">
        <v>82.434165954589844</v>
      </c>
      <c r="Q139" s="11">
        <v>84.660072326660156</v>
      </c>
      <c r="R139" s="11">
        <v>18.543878555297852</v>
      </c>
      <c r="S139" s="11">
        <v>80.169647216796875</v>
      </c>
      <c r="T139" s="11">
        <v>65.441444396972656</v>
      </c>
      <c r="U139" s="11">
        <v>65.439842224121094</v>
      </c>
    </row>
    <row r="140" spans="1:21" x14ac:dyDescent="0.2">
      <c r="A140" t="s">
        <v>105</v>
      </c>
      <c r="B140" t="s">
        <v>106</v>
      </c>
      <c r="C140" s="11">
        <v>69.539093017578125</v>
      </c>
      <c r="D140" s="3">
        <v>55</v>
      </c>
      <c r="E140" s="11">
        <v>100</v>
      </c>
      <c r="F140" s="11">
        <v>55.045181274414063</v>
      </c>
      <c r="G140" s="11">
        <v>76.214271545410156</v>
      </c>
      <c r="H140" s="11">
        <v>76.211036682128906</v>
      </c>
      <c r="I140" s="11">
        <v>65.708030700683594</v>
      </c>
      <c r="J140" s="11">
        <v>95.101364135742188</v>
      </c>
      <c r="K140" s="11">
        <v>76.910545349121094</v>
      </c>
      <c r="L140" s="11">
        <v>85.230323791503906</v>
      </c>
      <c r="M140" s="11">
        <v>39.788249969482422</v>
      </c>
      <c r="N140" s="11">
        <v>64.796241760253906</v>
      </c>
      <c r="O140" s="11">
        <v>75.081192016601563</v>
      </c>
      <c r="P140" s="11">
        <v>70.42266845703125</v>
      </c>
      <c r="Q140" s="11">
        <v>72.954139709472656</v>
      </c>
      <c r="R140" s="11">
        <v>44.974006652832031</v>
      </c>
      <c r="S140" s="11">
        <v>63.171424865722656</v>
      </c>
      <c r="T140" s="11">
        <v>57.965251922607422</v>
      </c>
      <c r="U140" s="11">
        <v>62.590644836425781</v>
      </c>
    </row>
    <row r="141" spans="1:21" x14ac:dyDescent="0.2">
      <c r="A141" t="s">
        <v>189</v>
      </c>
      <c r="B141" t="s">
        <v>190</v>
      </c>
      <c r="C141" s="11">
        <v>66.771255493164063</v>
      </c>
      <c r="D141" s="3">
        <v>72</v>
      </c>
      <c r="E141" s="11">
        <v>88.529342651367188</v>
      </c>
      <c r="F141" s="11">
        <v>36.472309112548828</v>
      </c>
      <c r="G141" s="11">
        <v>69.117958068847656</v>
      </c>
      <c r="H141" s="11">
        <v>89.454887390136719</v>
      </c>
      <c r="I141" s="11">
        <v>57.115737915039063</v>
      </c>
      <c r="J141" s="11">
        <v>73.53704833984375</v>
      </c>
      <c r="K141" s="11">
        <v>86.392356872558594</v>
      </c>
      <c r="L141" s="11">
        <v>43.186714172363281</v>
      </c>
      <c r="M141" s="11">
        <v>13.720479965209961</v>
      </c>
      <c r="N141" s="11">
        <v>85.114921569824219</v>
      </c>
      <c r="O141" s="11">
        <v>69.025810241699219</v>
      </c>
      <c r="P141" s="11">
        <v>80.894645690917969</v>
      </c>
      <c r="Q141" s="11">
        <v>76.590362548828125</v>
      </c>
      <c r="R141" s="11" t="s">
        <v>464</v>
      </c>
      <c r="S141" s="11">
        <v>59.842544555664063</v>
      </c>
      <c r="T141" s="11">
        <v>70.796112060546875</v>
      </c>
      <c r="U141" s="11">
        <v>68.548858642578125</v>
      </c>
    </row>
    <row r="142" spans="1:21" x14ac:dyDescent="0.2">
      <c r="A142" t="s">
        <v>201</v>
      </c>
      <c r="B142" t="s">
        <v>202</v>
      </c>
      <c r="C142" s="11">
        <v>56.725284576416016</v>
      </c>
      <c r="D142" s="3">
        <v>117</v>
      </c>
      <c r="E142" s="11">
        <v>99.97564697265625</v>
      </c>
      <c r="F142" s="11">
        <v>53.850353240966797</v>
      </c>
      <c r="G142" s="11">
        <v>70.80975341796875</v>
      </c>
      <c r="H142" s="11">
        <v>84.41656494140625</v>
      </c>
      <c r="I142" s="11">
        <v>55.466850280761719</v>
      </c>
      <c r="J142" s="11">
        <v>42.104946136474609</v>
      </c>
      <c r="K142" s="11">
        <v>69.892364501953125</v>
      </c>
      <c r="L142" s="11">
        <v>34.024341583251953</v>
      </c>
      <c r="M142" s="11">
        <v>7.3701610565185547</v>
      </c>
      <c r="N142" s="11">
        <v>56.42803955078125</v>
      </c>
      <c r="O142" s="11">
        <v>74.721183776855469</v>
      </c>
      <c r="P142" s="11">
        <v>76.203910827636719</v>
      </c>
      <c r="Q142" s="11">
        <v>66.016464233398438</v>
      </c>
      <c r="R142" s="11" t="s">
        <v>464</v>
      </c>
      <c r="S142" s="11">
        <v>52.934421539306641</v>
      </c>
      <c r="T142" s="11">
        <v>63.389530181884766</v>
      </c>
      <c r="U142" s="11">
        <v>0</v>
      </c>
    </row>
    <row r="143" spans="1:21" x14ac:dyDescent="0.2">
      <c r="A143" t="s">
        <v>395</v>
      </c>
      <c r="B143" t="s">
        <v>396</v>
      </c>
      <c r="C143" s="11">
        <v>61.506561279296875</v>
      </c>
      <c r="D143" s="3">
        <v>106</v>
      </c>
      <c r="E143" s="11">
        <v>88.258621215820313</v>
      </c>
      <c r="F143" s="11">
        <v>37.300613403320313</v>
      </c>
      <c r="G143" s="11">
        <v>51.135059356689453</v>
      </c>
      <c r="H143" s="11">
        <v>59.063323974609375</v>
      </c>
      <c r="I143" s="11">
        <v>48.33001708984375</v>
      </c>
      <c r="J143" s="11">
        <v>67.728622436523438</v>
      </c>
      <c r="K143" s="11">
        <v>22.378789901733398</v>
      </c>
      <c r="L143" s="11">
        <v>75.983055114746094</v>
      </c>
      <c r="M143" s="11">
        <v>17.542125701904297</v>
      </c>
      <c r="N143" s="11">
        <v>82.822265625</v>
      </c>
      <c r="O143" s="11">
        <v>66.567863464355469</v>
      </c>
      <c r="P143" s="11">
        <v>93.566810607910156</v>
      </c>
      <c r="Q143" s="11">
        <v>91.1046142578125</v>
      </c>
      <c r="R143" s="11">
        <v>48.885738372802734</v>
      </c>
      <c r="S143" s="11">
        <v>63.703441619873047</v>
      </c>
      <c r="T143" s="11">
        <v>55.944896697998047</v>
      </c>
      <c r="U143" s="11">
        <v>75.295669555664063</v>
      </c>
    </row>
    <row r="144" spans="1:21" x14ac:dyDescent="0.2">
      <c r="A144" t="s">
        <v>247</v>
      </c>
      <c r="B144" t="s">
        <v>248</v>
      </c>
      <c r="C144" s="11">
        <v>69.110252380371094</v>
      </c>
      <c r="D144" s="3">
        <v>59</v>
      </c>
      <c r="E144" s="11">
        <v>99.674156188964844</v>
      </c>
      <c r="F144" s="11">
        <v>42.987236022949219</v>
      </c>
      <c r="G144" s="11">
        <v>78.985275268554688</v>
      </c>
      <c r="H144" s="11">
        <v>88.815597534179688</v>
      </c>
      <c r="I144" s="11">
        <v>69.495536804199219</v>
      </c>
      <c r="J144" s="11">
        <v>88.637260437011719</v>
      </c>
      <c r="K144" s="11">
        <v>74.983795166015625</v>
      </c>
      <c r="L144" s="11">
        <v>76.477157592773438</v>
      </c>
      <c r="M144" s="11">
        <v>30.020832061767578</v>
      </c>
      <c r="N144" s="11" t="s">
        <v>464</v>
      </c>
      <c r="O144" s="11">
        <v>87.011749267578125</v>
      </c>
      <c r="P144" s="11">
        <v>58.5880126953125</v>
      </c>
      <c r="Q144" s="11">
        <v>63.063060760498047</v>
      </c>
      <c r="R144" s="11">
        <v>41.824161529541016</v>
      </c>
      <c r="S144" s="11">
        <v>53.753055572509766</v>
      </c>
      <c r="T144" s="11">
        <v>51.447166442871094</v>
      </c>
      <c r="U144" s="11">
        <v>100</v>
      </c>
    </row>
    <row r="145" spans="1:21" x14ac:dyDescent="0.2">
      <c r="A145" t="s">
        <v>135</v>
      </c>
      <c r="B145" t="s">
        <v>136</v>
      </c>
      <c r="C145" s="11">
        <v>68.660118103027344</v>
      </c>
      <c r="D145" s="3">
        <v>65</v>
      </c>
      <c r="E145" s="11">
        <v>99.43170166015625</v>
      </c>
      <c r="F145" s="11">
        <v>49.627090454101563</v>
      </c>
      <c r="G145" s="11">
        <v>79.317070007324219</v>
      </c>
      <c r="H145" s="11">
        <v>78.569892883300781</v>
      </c>
      <c r="I145" s="11">
        <v>55.407543182373047</v>
      </c>
      <c r="J145" s="11">
        <v>76.081581115722656</v>
      </c>
      <c r="K145" s="11">
        <v>85.99127197265625</v>
      </c>
      <c r="L145" s="11">
        <v>53.362819671630859</v>
      </c>
      <c r="M145" s="11">
        <v>30.025449752807617</v>
      </c>
      <c r="N145" s="11">
        <v>70.64251708984375</v>
      </c>
      <c r="O145" s="11">
        <v>74.2264404296875</v>
      </c>
      <c r="P145" s="11">
        <v>81.05572509765625</v>
      </c>
      <c r="Q145" s="11">
        <v>80.928955078125</v>
      </c>
      <c r="R145" s="11">
        <v>49.887027740478516</v>
      </c>
      <c r="S145" s="11">
        <v>64.232994079589844</v>
      </c>
      <c r="T145" s="11">
        <v>64.974105834960938</v>
      </c>
      <c r="U145" s="11">
        <v>73.459884643554688</v>
      </c>
    </row>
    <row r="146" spans="1:21" x14ac:dyDescent="0.2">
      <c r="A146" t="s">
        <v>436</v>
      </c>
      <c r="B146" t="s">
        <v>164</v>
      </c>
      <c r="C146" s="11">
        <v>68.484954833984375</v>
      </c>
      <c r="D146" s="3">
        <v>67</v>
      </c>
      <c r="E146" s="11">
        <v>99.898529052734375</v>
      </c>
      <c r="F146" s="11">
        <v>54.099708557128906</v>
      </c>
      <c r="G146" s="11">
        <v>83.214920043945313</v>
      </c>
      <c r="H146" s="11">
        <v>78.195632934570313</v>
      </c>
      <c r="I146" s="11">
        <v>42.889461517333984</v>
      </c>
      <c r="J146" s="11">
        <v>92.959175109863281</v>
      </c>
      <c r="K146" s="11">
        <v>85.712936401367188</v>
      </c>
      <c r="L146" s="11">
        <v>67.6380615234375</v>
      </c>
      <c r="M146" s="11">
        <v>46.269031524658203</v>
      </c>
      <c r="N146" s="11">
        <v>58.118873596191406</v>
      </c>
      <c r="O146" s="11">
        <v>81.846343994140625</v>
      </c>
      <c r="P146" s="11">
        <v>68.631927490234375</v>
      </c>
      <c r="Q146" s="11">
        <v>82.908470153808594</v>
      </c>
      <c r="R146" s="11">
        <v>47.167724609375</v>
      </c>
      <c r="S146" s="11">
        <v>47.952644348144531</v>
      </c>
      <c r="T146" s="11">
        <v>63.512298583984375</v>
      </c>
      <c r="U146" s="11">
        <v>63.228492736816406</v>
      </c>
    </row>
    <row r="147" spans="1:21" x14ac:dyDescent="0.2">
      <c r="A147" t="s">
        <v>287</v>
      </c>
      <c r="B147" t="s">
        <v>288</v>
      </c>
      <c r="C147" s="11">
        <v>52.075038909912109</v>
      </c>
      <c r="D147" s="3">
        <v>131</v>
      </c>
      <c r="E147" s="11">
        <v>60.603416442871094</v>
      </c>
      <c r="F147" s="11">
        <v>38.840404510498047</v>
      </c>
      <c r="G147" s="11">
        <v>46.956439971923828</v>
      </c>
      <c r="H147" s="11">
        <v>53.63818359375</v>
      </c>
      <c r="I147" s="11">
        <v>73.365341186523438</v>
      </c>
      <c r="J147" s="11">
        <v>53.158050537109375</v>
      </c>
      <c r="K147" s="11">
        <v>19.397043228149414</v>
      </c>
      <c r="L147" s="11">
        <v>35.982337951660156</v>
      </c>
      <c r="M147" s="11">
        <v>12.719197273254395</v>
      </c>
      <c r="N147" s="11">
        <v>64.996841430664063</v>
      </c>
      <c r="O147" s="11">
        <v>51.763076782226563</v>
      </c>
      <c r="P147" s="11">
        <v>79.091178894042969</v>
      </c>
      <c r="Q147" s="11">
        <v>85.090530395507813</v>
      </c>
      <c r="R147" s="11">
        <v>50.067863464355469</v>
      </c>
      <c r="S147" s="11">
        <v>52.820381164550781</v>
      </c>
      <c r="T147" s="11">
        <v>52.207912445068359</v>
      </c>
      <c r="U147" s="11">
        <v>54.577430725097656</v>
      </c>
    </row>
    <row r="148" spans="1:21" x14ac:dyDescent="0.2">
      <c r="A148" t="s">
        <v>301</v>
      </c>
      <c r="B148" t="s">
        <v>302</v>
      </c>
      <c r="C148" s="11">
        <v>52.859088897705078</v>
      </c>
      <c r="D148" s="3">
        <v>129</v>
      </c>
      <c r="E148" s="11">
        <v>67.369377136230469</v>
      </c>
      <c r="F148" s="11">
        <v>44.80718994140625</v>
      </c>
      <c r="G148" s="11">
        <v>45.965625762939453</v>
      </c>
      <c r="H148" s="11">
        <v>57.623291015625</v>
      </c>
      <c r="I148" s="11">
        <v>58.82843017578125</v>
      </c>
      <c r="J148" s="11">
        <v>65.001632690429688</v>
      </c>
      <c r="K148" s="11">
        <v>6.4809808731079102</v>
      </c>
      <c r="L148" s="11">
        <v>58.963836669921875</v>
      </c>
      <c r="M148" s="11">
        <v>15.871696472167969</v>
      </c>
      <c r="N148" s="11">
        <v>55.740242004394531</v>
      </c>
      <c r="O148" s="11">
        <v>27.686328887939453</v>
      </c>
      <c r="P148" s="11">
        <v>78.365653991699219</v>
      </c>
      <c r="Q148" s="11">
        <v>90.9674072265625</v>
      </c>
      <c r="R148" s="11" t="s">
        <v>464</v>
      </c>
      <c r="S148" s="11">
        <v>66.815567016601563</v>
      </c>
      <c r="T148" s="11">
        <v>51.071697235107422</v>
      </c>
      <c r="U148" s="11">
        <v>54.186450958251953</v>
      </c>
    </row>
    <row r="149" spans="1:21" x14ac:dyDescent="0.2">
      <c r="A149" t="s">
        <v>95</v>
      </c>
      <c r="B149" t="s">
        <v>96</v>
      </c>
      <c r="C149" s="11">
        <v>72.732292175292969</v>
      </c>
      <c r="D149" s="3">
        <v>39</v>
      </c>
      <c r="E149" s="11">
        <v>99.926383972167969</v>
      </c>
      <c r="F149" s="11">
        <v>62.214088439941406</v>
      </c>
      <c r="G149" s="11">
        <v>66.958168029785156</v>
      </c>
      <c r="H149" s="11">
        <v>91.272705078125</v>
      </c>
      <c r="I149" s="11">
        <v>64.090553283691406</v>
      </c>
      <c r="J149" s="11">
        <v>95.855422973632813</v>
      </c>
      <c r="K149" s="11">
        <v>84.786285400390625</v>
      </c>
      <c r="L149" s="11">
        <v>70.501411437988281</v>
      </c>
      <c r="M149" s="11">
        <v>25.602130889892578</v>
      </c>
      <c r="N149" s="11">
        <v>100</v>
      </c>
      <c r="O149" s="11">
        <v>86.346221923828125</v>
      </c>
      <c r="P149" s="11">
        <v>69.919960021972656</v>
      </c>
      <c r="Q149" s="11">
        <v>88.008186340332031</v>
      </c>
      <c r="R149" s="11">
        <v>55.170616149902344</v>
      </c>
      <c r="S149" s="11">
        <v>56.948413848876953</v>
      </c>
      <c r="T149" s="11">
        <v>44.930381774902344</v>
      </c>
      <c r="U149" s="11">
        <v>73.9180908203125</v>
      </c>
    </row>
    <row r="150" spans="1:21" x14ac:dyDescent="0.2">
      <c r="A150" t="s">
        <v>83</v>
      </c>
      <c r="B150" t="s">
        <v>84</v>
      </c>
      <c r="C150" s="11">
        <v>71.047637939453125</v>
      </c>
      <c r="D150" s="3">
        <v>47</v>
      </c>
      <c r="E150" s="11">
        <v>99.927803039550781</v>
      </c>
      <c r="F150" s="11">
        <v>60.803207397460938</v>
      </c>
      <c r="G150" s="11">
        <v>83.709579467773438</v>
      </c>
      <c r="H150" s="11">
        <v>80.852767944335938</v>
      </c>
      <c r="I150" s="11">
        <v>70.296180725097656</v>
      </c>
      <c r="J150" s="11">
        <v>98.240234375</v>
      </c>
      <c r="K150" s="11">
        <v>94.649444580078125</v>
      </c>
      <c r="L150" s="11">
        <v>71.285987854003906</v>
      </c>
      <c r="M150" s="11">
        <v>35.457328796386719</v>
      </c>
      <c r="N150" s="11">
        <v>54.049407958984375</v>
      </c>
      <c r="O150" s="11">
        <v>96.964065551757813</v>
      </c>
      <c r="P150" s="11">
        <v>61.325836181640625</v>
      </c>
      <c r="Q150" s="11">
        <v>78.033035278320313</v>
      </c>
      <c r="R150" s="11">
        <v>45.272632598876953</v>
      </c>
      <c r="S150" s="11">
        <v>35.475753784179688</v>
      </c>
      <c r="T150" s="11">
        <v>66.380592346191406</v>
      </c>
      <c r="U150" s="11">
        <v>75.086029052734375</v>
      </c>
    </row>
    <row r="151" spans="1:21" x14ac:dyDescent="0.2">
      <c r="A151" t="s">
        <v>97</v>
      </c>
      <c r="B151" t="s">
        <v>98</v>
      </c>
      <c r="C151" s="11">
        <v>72.403465270996094</v>
      </c>
      <c r="D151" s="3">
        <v>42</v>
      </c>
      <c r="E151" s="11">
        <v>99.250411987304688</v>
      </c>
      <c r="F151" s="11">
        <v>70.030303955078125</v>
      </c>
      <c r="G151" s="11">
        <v>90.305862426757813</v>
      </c>
      <c r="H151" s="11">
        <v>93.110244750976563</v>
      </c>
      <c r="I151" s="11">
        <v>74.105003356933594</v>
      </c>
      <c r="J151" s="11">
        <v>96.146003723144531</v>
      </c>
      <c r="K151" s="11">
        <v>87.358741760253906</v>
      </c>
      <c r="L151" s="11">
        <v>85.520050048828125</v>
      </c>
      <c r="M151" s="11">
        <v>84.412612915039063</v>
      </c>
      <c r="N151" s="11">
        <v>55.596946716308594</v>
      </c>
      <c r="O151" s="11">
        <v>98.23760986328125</v>
      </c>
      <c r="P151" s="11">
        <v>38.223934173583984</v>
      </c>
      <c r="Q151" s="11">
        <v>54.17205810546875</v>
      </c>
      <c r="R151" s="11">
        <v>45.777748107910156</v>
      </c>
      <c r="S151" s="11">
        <v>44.623344421386719</v>
      </c>
      <c r="T151" s="11">
        <v>63.521247863769531</v>
      </c>
      <c r="U151" s="11">
        <v>50.466835021972656</v>
      </c>
    </row>
    <row r="152" spans="1:21" x14ac:dyDescent="0.2">
      <c r="A152" t="s">
        <v>157</v>
      </c>
      <c r="B152" t="s">
        <v>158</v>
      </c>
      <c r="C152" s="11">
        <v>71.248390197753906</v>
      </c>
      <c r="D152" s="3">
        <v>45</v>
      </c>
      <c r="E152" s="11">
        <v>87.731597900390625</v>
      </c>
      <c r="F152" s="11">
        <v>62.818408966064453</v>
      </c>
      <c r="G152" s="11">
        <v>76.192970275878906</v>
      </c>
      <c r="H152" s="11">
        <v>92.512214660644531</v>
      </c>
      <c r="I152" s="11">
        <v>63.387447357177734</v>
      </c>
      <c r="J152" s="11">
        <v>68.490898132324219</v>
      </c>
      <c r="K152" s="11">
        <v>77.335273742675781</v>
      </c>
      <c r="L152" s="11">
        <v>53.693878173828125</v>
      </c>
      <c r="M152" s="11">
        <v>18.792598724365234</v>
      </c>
      <c r="N152" s="11">
        <v>72.190055847167969</v>
      </c>
      <c r="O152" s="11">
        <v>66.914497375488281</v>
      </c>
      <c r="P152" s="11">
        <v>77.113594055175781</v>
      </c>
      <c r="Q152" s="11">
        <v>91.592300415039063</v>
      </c>
      <c r="R152" s="11" t="s">
        <v>464</v>
      </c>
      <c r="S152" s="11">
        <v>52.383819580078125</v>
      </c>
      <c r="T152" s="11">
        <v>78.824714660644531</v>
      </c>
      <c r="U152" s="11">
        <v>100</v>
      </c>
    </row>
    <row r="153" spans="1:21" x14ac:dyDescent="0.2">
      <c r="A153" t="s">
        <v>253</v>
      </c>
      <c r="B153" t="s">
        <v>254</v>
      </c>
      <c r="C153" s="11">
        <v>65.831932067871094</v>
      </c>
      <c r="D153" s="3">
        <v>82</v>
      </c>
      <c r="E153" s="11">
        <v>81.747779846191406</v>
      </c>
      <c r="F153" s="11">
        <v>50.956657409667969</v>
      </c>
      <c r="G153" s="11">
        <v>74.984474182128906</v>
      </c>
      <c r="H153" s="11">
        <v>79.54595947265625</v>
      </c>
      <c r="I153" s="11">
        <v>64.095932006835938</v>
      </c>
      <c r="J153" s="11">
        <v>92.997154235839844</v>
      </c>
      <c r="K153" s="11">
        <v>84.937850952148438</v>
      </c>
      <c r="L153" s="11">
        <v>71.598892211914063</v>
      </c>
      <c r="M153" s="11">
        <v>27.485805511474609</v>
      </c>
      <c r="N153" s="11">
        <v>38.745914459228516</v>
      </c>
      <c r="O153" s="11">
        <v>84.573486328125</v>
      </c>
      <c r="P153" s="11">
        <v>66.106895446777344</v>
      </c>
      <c r="Q153" s="11">
        <v>86.870292663574219</v>
      </c>
      <c r="R153" s="11">
        <v>35.141254425048828</v>
      </c>
      <c r="S153" s="11">
        <v>75.646469116210938</v>
      </c>
      <c r="T153" s="11">
        <v>31.205625534057617</v>
      </c>
      <c r="U153" s="11">
        <v>72.50244140625</v>
      </c>
    </row>
    <row r="154" spans="1:21" x14ac:dyDescent="0.2">
      <c r="A154" t="s">
        <v>129</v>
      </c>
      <c r="B154" t="s">
        <v>130</v>
      </c>
      <c r="C154" s="11">
        <v>67.892799377441406</v>
      </c>
      <c r="D154" s="3">
        <v>68</v>
      </c>
      <c r="E154" s="11">
        <v>98.990875244140625</v>
      </c>
      <c r="F154" s="11">
        <v>62.063934326171875</v>
      </c>
      <c r="G154" s="11">
        <v>74.600624084472656</v>
      </c>
      <c r="H154" s="11">
        <v>81.292160034179688</v>
      </c>
      <c r="I154" s="11">
        <v>76.397323608398438</v>
      </c>
      <c r="J154" s="11">
        <v>90.738067626953125</v>
      </c>
      <c r="K154" s="11">
        <v>72.422714233398438</v>
      </c>
      <c r="L154" s="11">
        <v>60.827350616455078</v>
      </c>
      <c r="M154" s="11">
        <v>24.94061279296875</v>
      </c>
      <c r="N154" s="11">
        <v>65.541351318359375</v>
      </c>
      <c r="O154" s="11">
        <v>66.385353088378906</v>
      </c>
      <c r="P154" s="11">
        <v>71.224365234375</v>
      </c>
      <c r="Q154" s="11">
        <v>73.355499267578125</v>
      </c>
      <c r="R154" s="11">
        <v>51.840328216552734</v>
      </c>
      <c r="S154" s="11">
        <v>46.589515686035156</v>
      </c>
      <c r="T154" s="11">
        <v>65.583633422851563</v>
      </c>
      <c r="U154" s="11">
        <v>71.383903503417969</v>
      </c>
    </row>
    <row r="155" spans="1:21" x14ac:dyDescent="0.2">
      <c r="A155" t="s">
        <v>345</v>
      </c>
      <c r="B155" t="s">
        <v>346</v>
      </c>
      <c r="C155" s="11">
        <v>49.803539276123047</v>
      </c>
      <c r="D155" s="3">
        <v>140</v>
      </c>
      <c r="E155" s="11">
        <v>52.467971801757813</v>
      </c>
      <c r="F155" s="11">
        <v>21.835922241210938</v>
      </c>
      <c r="G155" s="11">
        <v>52.155986785888672</v>
      </c>
      <c r="H155" s="11">
        <v>51.823795318603516</v>
      </c>
      <c r="I155" s="11">
        <v>14.162206649780273</v>
      </c>
      <c r="J155" s="11">
        <v>29.161575317382813</v>
      </c>
      <c r="K155" s="11">
        <v>49.148994445800781</v>
      </c>
      <c r="L155" s="11">
        <v>37.657596588134766</v>
      </c>
      <c r="M155" s="11">
        <v>6.4892678260803223</v>
      </c>
      <c r="N155" s="11">
        <v>65.226112365722656</v>
      </c>
      <c r="O155" s="11">
        <v>57.37298583984375</v>
      </c>
      <c r="P155" s="11">
        <v>71.947319030761719</v>
      </c>
      <c r="Q155" s="11">
        <v>94.999191284179688</v>
      </c>
      <c r="R155" s="11">
        <v>52.909538269042969</v>
      </c>
      <c r="S155" s="11">
        <v>46.226306915283203</v>
      </c>
      <c r="T155" s="11">
        <v>43.075408935546875</v>
      </c>
      <c r="U155" s="11">
        <v>100</v>
      </c>
    </row>
    <row r="156" spans="1:21" x14ac:dyDescent="0.2">
      <c r="A156" t="s">
        <v>239</v>
      </c>
      <c r="B156" t="s">
        <v>240</v>
      </c>
      <c r="C156" s="11">
        <v>61.245941162109375</v>
      </c>
      <c r="D156" s="3">
        <v>108</v>
      </c>
      <c r="E156" s="11">
        <v>66.389556884765625</v>
      </c>
      <c r="F156" s="11">
        <v>50.624660491943359</v>
      </c>
      <c r="G156" s="11">
        <v>50.744457244873047</v>
      </c>
      <c r="H156" s="11">
        <v>85.756179809570313</v>
      </c>
      <c r="I156" s="11">
        <v>80.882583618164063</v>
      </c>
      <c r="J156" s="11">
        <v>81.79608154296875</v>
      </c>
      <c r="K156" s="11">
        <v>71.689643859863281</v>
      </c>
      <c r="L156" s="11">
        <v>37.502998352050781</v>
      </c>
      <c r="M156" s="11">
        <v>45.060905456542969</v>
      </c>
      <c r="N156" s="11">
        <v>0</v>
      </c>
      <c r="O156" s="11">
        <v>81.5738525390625</v>
      </c>
      <c r="P156" s="11">
        <v>63.091434478759766</v>
      </c>
      <c r="Q156" s="11">
        <v>79.422569274902344</v>
      </c>
      <c r="R156" s="11">
        <v>66.937332153320313</v>
      </c>
      <c r="S156" s="11">
        <v>44.367530822753906</v>
      </c>
      <c r="T156" s="11">
        <v>52.287117004394531</v>
      </c>
      <c r="U156" s="11">
        <v>83.054122924804688</v>
      </c>
    </row>
    <row r="157" spans="1:21" x14ac:dyDescent="0.2">
      <c r="A157" t="s">
        <v>309</v>
      </c>
      <c r="B157" t="s">
        <v>310</v>
      </c>
      <c r="C157" s="11">
        <v>51.0753173828125</v>
      </c>
      <c r="D157" s="3">
        <v>134</v>
      </c>
      <c r="E157" s="11">
        <v>27.746686935424805</v>
      </c>
      <c r="F157" s="11">
        <v>33.4666748046875</v>
      </c>
      <c r="G157" s="11">
        <v>48.247516632080078</v>
      </c>
      <c r="H157" s="11">
        <v>66.35626220703125</v>
      </c>
      <c r="I157" s="11">
        <v>62.335628509521484</v>
      </c>
      <c r="J157" s="11">
        <v>66.399314880371094</v>
      </c>
      <c r="K157" s="11">
        <v>43.145401000976563</v>
      </c>
      <c r="L157" s="11">
        <v>36.443981170654297</v>
      </c>
      <c r="M157" s="11">
        <v>12.261641502380371</v>
      </c>
      <c r="N157" s="11">
        <v>13.870577812194824</v>
      </c>
      <c r="O157" s="11">
        <v>55.415023803710938</v>
      </c>
      <c r="P157" s="11">
        <v>76.296531677246094</v>
      </c>
      <c r="Q157" s="11">
        <v>79.997535705566406</v>
      </c>
      <c r="R157" s="11" t="s">
        <v>464</v>
      </c>
      <c r="S157" s="11">
        <v>68.941390991210938</v>
      </c>
      <c r="T157" s="11">
        <v>50.683486938476563</v>
      </c>
      <c r="U157" s="11">
        <v>75.597442626953125</v>
      </c>
    </row>
    <row r="158" spans="1:21" x14ac:dyDescent="0.2">
      <c r="A158" t="s">
        <v>295</v>
      </c>
      <c r="B158" t="s">
        <v>296</v>
      </c>
      <c r="C158" s="11">
        <v>56.114002227783203</v>
      </c>
      <c r="D158" s="3">
        <v>121</v>
      </c>
      <c r="E158" s="11">
        <v>49.481334686279297</v>
      </c>
      <c r="F158" s="11">
        <v>38.656585693359375</v>
      </c>
      <c r="G158" s="11">
        <v>43.957199096679688</v>
      </c>
      <c r="H158" s="11">
        <v>67.944198608398438</v>
      </c>
      <c r="I158" s="11">
        <v>78.72662353515625</v>
      </c>
      <c r="J158" s="11">
        <v>66.009750366210938</v>
      </c>
      <c r="K158" s="11">
        <v>39.368278503417969</v>
      </c>
      <c r="L158" s="11">
        <v>43.934333801269531</v>
      </c>
      <c r="M158" s="11">
        <v>15.835508346557617</v>
      </c>
      <c r="N158" s="11">
        <v>49.607379913330078</v>
      </c>
      <c r="O158" s="11">
        <v>77.5814208984375</v>
      </c>
      <c r="P158" s="11">
        <v>74.685752868652344</v>
      </c>
      <c r="Q158" s="11">
        <v>79.948188781738281</v>
      </c>
      <c r="R158" s="11" t="s">
        <v>464</v>
      </c>
      <c r="S158" s="11">
        <v>67.045646667480469</v>
      </c>
      <c r="T158" s="11">
        <v>44.468151092529297</v>
      </c>
      <c r="U158" s="11">
        <v>60.573707580566406</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hart1"/>
  <dimension ref="A1:L1"/>
  <sheetViews>
    <sheetView zoomScale="113" zoomScaleNormal="113" workbookViewId="0">
      <selection activeCell="M10" sqref="M10"/>
    </sheetView>
  </sheetViews>
  <sheetFormatPr defaultColWidth="11.5703125" defaultRowHeight="12.75" x14ac:dyDescent="0.2"/>
  <cols>
    <col min="1" max="12"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hart2"/>
  <dimension ref="A1:M1"/>
  <sheetViews>
    <sheetView zoomScale="113" zoomScaleNormal="113" workbookViewId="0">
      <selection activeCell="K33" sqref="K33"/>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Chart3"/>
  <dimension ref="A1:M1"/>
  <sheetViews>
    <sheetView topLeftCell="A4" zoomScale="113" zoomScaleNormal="113" workbookViewId="0">
      <selection activeCell="G36" sqref="G36"/>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Chart4"/>
  <dimension ref="A1:M1"/>
  <sheetViews>
    <sheetView zoomScale="113" zoomScaleNormal="113" workbookViewId="0">
      <selection activeCell="N14" sqref="N14"/>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hart5"/>
  <dimension ref="A1:M1"/>
  <sheetViews>
    <sheetView zoomScale="113" zoomScaleNormal="113" workbookViewId="0">
      <selection activeCell="J27" sqref="J27"/>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Chart6"/>
  <dimension ref="A1:M1"/>
  <sheetViews>
    <sheetView zoomScale="113" zoomScaleNormal="113" workbookViewId="0">
      <selection activeCell="O26" sqref="O26"/>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Chart7"/>
  <dimension ref="A1:M1"/>
  <sheetViews>
    <sheetView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Chart8"/>
  <dimension ref="A1:M1"/>
  <sheetViews>
    <sheetView topLeftCell="A4" zoomScale="113" zoomScaleNormal="113" workbookViewId="0">
      <selection activeCell="N30" sqref="N30"/>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hart9"/>
  <dimension ref="A1:M1"/>
  <sheetViews>
    <sheetView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Chart10"/>
  <dimension ref="A1:M1"/>
  <sheetViews>
    <sheetView topLeftCell="A4" zoomScale="113" zoomScaleNormal="113" workbookViewId="0">
      <selection activeCell="J25" sqref="J25"/>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Chart11"/>
  <dimension ref="A1:M1"/>
  <sheetViews>
    <sheetView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art12"/>
  <dimension ref="A1:M1"/>
  <sheetViews>
    <sheetView zoomScale="113" zoomScaleNormal="113" workbookViewId="0">
      <selection activeCell="J14" sqref="J14"/>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Chart13"/>
  <dimension ref="A1:M1"/>
  <sheetViews>
    <sheetView topLeftCell="A4"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Chart14"/>
  <dimension ref="A1:M1"/>
  <sheetViews>
    <sheetView zoomScale="113" zoomScaleNormal="113" workbookViewId="0">
      <selection activeCell="K23" sqref="K23"/>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Chart15"/>
  <dimension ref="A1:M1"/>
  <sheetViews>
    <sheetView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Chart16"/>
  <dimension ref="A1:M1"/>
  <sheetViews>
    <sheetView zoomScale="113" zoomScaleNormal="113" workbookViewId="0"/>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Chart17"/>
  <dimension ref="A1:M1"/>
  <sheetViews>
    <sheetView zoomScale="113" zoomScaleNormal="113" workbookViewId="0">
      <selection activeCell="K26" sqref="K26"/>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dimension ref="A1:R19"/>
  <sheetViews>
    <sheetView workbookViewId="0">
      <selection activeCell="Q23" sqref="Q23"/>
    </sheetView>
  </sheetViews>
  <sheetFormatPr defaultRowHeight="12.75" x14ac:dyDescent="0.2"/>
  <cols>
    <col min="1" max="18" width="5" style="3" customWidth="1"/>
  </cols>
  <sheetData>
    <row r="1" spans="1:18" x14ac:dyDescent="0.2">
      <c r="A1" s="14" t="s">
        <v>466</v>
      </c>
      <c r="B1" s="15"/>
      <c r="C1" s="15"/>
      <c r="D1" s="15"/>
      <c r="E1" s="15"/>
      <c r="F1" s="15"/>
      <c r="G1" s="15"/>
      <c r="H1" s="15"/>
      <c r="I1" s="15"/>
      <c r="J1" s="15"/>
      <c r="K1" s="15"/>
      <c r="L1" s="15"/>
      <c r="M1" s="15"/>
      <c r="N1" s="15"/>
      <c r="O1" s="15"/>
      <c r="P1" s="15"/>
      <c r="Q1" s="15"/>
      <c r="R1" s="15"/>
    </row>
    <row r="2" spans="1:18" x14ac:dyDescent="0.2">
      <c r="A2" s="16" t="s">
        <v>467</v>
      </c>
      <c r="B2" s="16">
        <v>1</v>
      </c>
      <c r="C2" s="16">
        <v>2</v>
      </c>
      <c r="D2" s="16">
        <v>3</v>
      </c>
      <c r="E2" s="16">
        <v>4</v>
      </c>
      <c r="F2" s="16">
        <v>5</v>
      </c>
      <c r="G2" s="16">
        <v>6</v>
      </c>
      <c r="H2" s="16">
        <v>7</v>
      </c>
      <c r="I2" s="16">
        <v>8</v>
      </c>
      <c r="J2" s="16">
        <v>9</v>
      </c>
      <c r="K2" s="16">
        <v>10</v>
      </c>
      <c r="L2" s="16">
        <v>11</v>
      </c>
      <c r="M2" s="16">
        <v>12</v>
      </c>
      <c r="N2" s="16">
        <v>13</v>
      </c>
      <c r="O2" s="16">
        <v>14</v>
      </c>
      <c r="P2" s="16">
        <v>15</v>
      </c>
      <c r="Q2" s="16">
        <v>16</v>
      </c>
      <c r="R2" s="16">
        <v>17</v>
      </c>
    </row>
    <row r="3" spans="1:18" ht="18" x14ac:dyDescent="0.2">
      <c r="A3" s="16">
        <v>1</v>
      </c>
      <c r="B3" s="17"/>
      <c r="C3" s="17"/>
      <c r="D3" s="17"/>
      <c r="E3" s="17"/>
      <c r="F3" s="18" t="s">
        <v>468</v>
      </c>
      <c r="G3" s="17"/>
      <c r="H3" s="17"/>
      <c r="I3" s="17"/>
      <c r="J3" s="17"/>
      <c r="K3" s="18" t="s">
        <v>468</v>
      </c>
      <c r="L3" s="17"/>
      <c r="M3" s="17"/>
      <c r="N3" s="17"/>
      <c r="O3" s="17"/>
      <c r="P3" s="17"/>
      <c r="Q3" s="17"/>
      <c r="R3" s="17"/>
    </row>
    <row r="4" spans="1:18" ht="18" x14ac:dyDescent="0.2">
      <c r="A4" s="16">
        <v>2</v>
      </c>
      <c r="B4" s="18" t="s">
        <v>468</v>
      </c>
      <c r="C4" s="17"/>
      <c r="D4" s="18" t="s">
        <v>468</v>
      </c>
      <c r="E4" s="17"/>
      <c r="F4" s="18" t="s">
        <v>468</v>
      </c>
      <c r="G4" s="17"/>
      <c r="H4" s="17"/>
      <c r="I4" s="18" t="s">
        <v>468</v>
      </c>
      <c r="J4" s="17"/>
      <c r="K4" s="18" t="s">
        <v>468</v>
      </c>
      <c r="L4" s="17"/>
      <c r="M4" s="19" t="s">
        <v>469</v>
      </c>
      <c r="N4" s="17"/>
      <c r="O4" s="17"/>
      <c r="P4" s="17"/>
      <c r="Q4" s="17"/>
      <c r="R4" s="17"/>
    </row>
    <row r="5" spans="1:18" ht="18" x14ac:dyDescent="0.2">
      <c r="A5" s="16">
        <v>3</v>
      </c>
      <c r="B5" s="18" t="s">
        <v>468</v>
      </c>
      <c r="C5" s="17"/>
      <c r="D5" s="17"/>
      <c r="E5" s="18" t="s">
        <v>468</v>
      </c>
      <c r="F5" s="18" t="s">
        <v>468</v>
      </c>
      <c r="G5" s="17"/>
      <c r="H5" s="17"/>
      <c r="I5" s="17"/>
      <c r="J5" s="17"/>
      <c r="K5" s="18" t="s">
        <v>468</v>
      </c>
      <c r="L5" s="18" t="s">
        <v>468</v>
      </c>
      <c r="M5" s="17"/>
      <c r="N5" s="17"/>
      <c r="O5" s="17"/>
      <c r="P5" s="17"/>
      <c r="Q5" s="17"/>
      <c r="R5" s="17"/>
    </row>
    <row r="6" spans="1:18" ht="18" x14ac:dyDescent="0.2">
      <c r="A6" s="16">
        <v>4</v>
      </c>
      <c r="B6" s="17"/>
      <c r="C6" s="17"/>
      <c r="D6" s="17"/>
      <c r="E6" s="17"/>
      <c r="F6" s="18" t="s">
        <v>468</v>
      </c>
      <c r="G6" s="17"/>
      <c r="H6" s="17"/>
      <c r="I6" s="17"/>
      <c r="J6" s="17"/>
      <c r="K6" s="17"/>
      <c r="L6" s="17"/>
      <c r="M6" s="19" t="s">
        <v>469</v>
      </c>
      <c r="N6" s="17"/>
      <c r="O6" s="17"/>
      <c r="P6" s="17"/>
      <c r="Q6" s="18" t="s">
        <v>468</v>
      </c>
      <c r="R6" s="17"/>
    </row>
    <row r="7" spans="1:18" ht="18" x14ac:dyDescent="0.2">
      <c r="A7" s="16">
        <v>5</v>
      </c>
      <c r="B7" s="17"/>
      <c r="C7" s="17"/>
      <c r="D7" s="17"/>
      <c r="E7" s="18" t="s">
        <v>468</v>
      </c>
      <c r="F7" s="17"/>
      <c r="G7" s="17"/>
      <c r="H7" s="17"/>
      <c r="I7" s="17"/>
      <c r="J7" s="17"/>
      <c r="K7" s="17"/>
      <c r="L7" s="17"/>
      <c r="M7" s="17"/>
      <c r="N7" s="17"/>
      <c r="O7" s="17"/>
      <c r="P7" s="17"/>
      <c r="Q7" s="18" t="s">
        <v>468</v>
      </c>
      <c r="R7" s="17"/>
    </row>
    <row r="8" spans="1:18" ht="18" x14ac:dyDescent="0.2">
      <c r="A8" s="16">
        <v>6</v>
      </c>
      <c r="B8" s="18" t="s">
        <v>468</v>
      </c>
      <c r="C8" s="18" t="s">
        <v>468</v>
      </c>
      <c r="D8" s="18" t="s">
        <v>468</v>
      </c>
      <c r="E8" s="17"/>
      <c r="F8" s="18" t="s">
        <v>468</v>
      </c>
      <c r="G8" s="17"/>
      <c r="H8" s="17"/>
      <c r="I8" s="17"/>
      <c r="J8" s="17"/>
      <c r="K8" s="17"/>
      <c r="L8" s="18" t="s">
        <v>468</v>
      </c>
      <c r="M8" s="19" t="s">
        <v>469</v>
      </c>
      <c r="N8" s="17"/>
      <c r="O8" s="17"/>
      <c r="P8" s="17"/>
      <c r="Q8" s="17"/>
      <c r="R8" s="17"/>
    </row>
    <row r="9" spans="1:18" ht="18" x14ac:dyDescent="0.2">
      <c r="A9" s="16">
        <v>7</v>
      </c>
      <c r="B9" s="18" t="s">
        <v>468</v>
      </c>
      <c r="C9" s="17"/>
      <c r="D9" s="17"/>
      <c r="E9" s="17"/>
      <c r="F9" s="17"/>
      <c r="G9" s="17"/>
      <c r="H9" s="17"/>
      <c r="I9" s="17"/>
      <c r="J9" s="17"/>
      <c r="K9" s="18" t="s">
        <v>468</v>
      </c>
      <c r="L9" s="17"/>
      <c r="M9" s="19" t="s">
        <v>469</v>
      </c>
      <c r="N9" s="17"/>
      <c r="O9" s="17"/>
      <c r="P9" s="17"/>
      <c r="Q9" s="17"/>
      <c r="R9" s="17"/>
    </row>
    <row r="10" spans="1:18" ht="18" x14ac:dyDescent="0.2">
      <c r="A10" s="16">
        <v>8</v>
      </c>
      <c r="B10" s="17"/>
      <c r="C10" s="17"/>
      <c r="D10" s="17"/>
      <c r="E10" s="17"/>
      <c r="F10" s="17"/>
      <c r="G10" s="17"/>
      <c r="H10" s="17"/>
      <c r="I10" s="17"/>
      <c r="J10" s="17"/>
      <c r="K10" s="18" t="s">
        <v>468</v>
      </c>
      <c r="L10" s="17"/>
      <c r="M10" s="19" t="s">
        <v>469</v>
      </c>
      <c r="N10" s="17"/>
      <c r="O10" s="17"/>
      <c r="P10" s="17"/>
      <c r="Q10" s="18" t="s">
        <v>468</v>
      </c>
      <c r="R10" s="17"/>
    </row>
    <row r="11" spans="1:18" ht="18" x14ac:dyDescent="0.2">
      <c r="A11" s="16">
        <v>9</v>
      </c>
      <c r="B11" s="17"/>
      <c r="C11" s="17"/>
      <c r="D11" s="17"/>
      <c r="E11" s="17"/>
      <c r="F11" s="17"/>
      <c r="G11" s="17"/>
      <c r="H11" s="17"/>
      <c r="I11" s="18" t="s">
        <v>468</v>
      </c>
      <c r="J11" s="17"/>
      <c r="K11" s="18" t="s">
        <v>468</v>
      </c>
      <c r="L11" s="17"/>
      <c r="M11" s="19" t="s">
        <v>469</v>
      </c>
      <c r="N11" s="17"/>
      <c r="O11" s="17"/>
      <c r="P11" s="17"/>
      <c r="Q11" s="17"/>
      <c r="R11" s="17"/>
    </row>
    <row r="12" spans="1:18" ht="18" x14ac:dyDescent="0.2">
      <c r="A12" s="16">
        <v>10</v>
      </c>
      <c r="B12" s="18" t="s">
        <v>468</v>
      </c>
      <c r="C12" s="17"/>
      <c r="D12" s="17"/>
      <c r="E12" s="17"/>
      <c r="F12" s="17"/>
      <c r="G12" s="17"/>
      <c r="H12" s="17"/>
      <c r="I12" s="17"/>
      <c r="J12" s="17"/>
      <c r="K12" s="17"/>
      <c r="L12" s="17"/>
      <c r="M12" s="17"/>
      <c r="N12" s="17"/>
      <c r="O12" s="17"/>
      <c r="P12" s="17"/>
      <c r="Q12" s="18" t="s">
        <v>468</v>
      </c>
      <c r="R12" s="17"/>
    </row>
    <row r="13" spans="1:18" ht="18" x14ac:dyDescent="0.2">
      <c r="A13" s="16">
        <v>11</v>
      </c>
      <c r="B13" s="18" t="s">
        <v>468</v>
      </c>
      <c r="C13" s="17"/>
      <c r="D13" s="18" t="s">
        <v>468</v>
      </c>
      <c r="E13" s="17"/>
      <c r="F13" s="17"/>
      <c r="G13" s="17"/>
      <c r="H13" s="17"/>
      <c r="I13" s="17"/>
      <c r="J13" s="17"/>
      <c r="K13" s="17"/>
      <c r="L13" s="17"/>
      <c r="M13" s="19" t="s">
        <v>469</v>
      </c>
      <c r="N13" s="17"/>
      <c r="O13" s="17"/>
      <c r="P13" s="17"/>
      <c r="Q13" s="18" t="s">
        <v>468</v>
      </c>
      <c r="R13" s="17"/>
    </row>
    <row r="14" spans="1:18" ht="18" x14ac:dyDescent="0.2">
      <c r="A14" s="16">
        <v>12</v>
      </c>
      <c r="B14" s="17"/>
      <c r="C14" s="19" t="s">
        <v>469</v>
      </c>
      <c r="D14" s="19" t="s">
        <v>469</v>
      </c>
      <c r="E14" s="19" t="s">
        <v>469</v>
      </c>
      <c r="F14" s="17"/>
      <c r="G14" s="17"/>
      <c r="H14" s="17"/>
      <c r="I14" s="17"/>
      <c r="J14" s="17"/>
      <c r="K14" s="17"/>
      <c r="L14" s="17"/>
      <c r="M14" s="17"/>
      <c r="N14" s="17"/>
      <c r="O14" s="17"/>
      <c r="P14" s="17"/>
      <c r="Q14" s="17"/>
      <c r="R14" s="17"/>
    </row>
    <row r="15" spans="1:18" ht="18" x14ac:dyDescent="0.2">
      <c r="A15" s="16">
        <v>13</v>
      </c>
      <c r="B15" s="17"/>
      <c r="C15" s="17"/>
      <c r="D15" s="17"/>
      <c r="E15" s="17"/>
      <c r="F15" s="17"/>
      <c r="G15" s="17"/>
      <c r="H15" s="17"/>
      <c r="I15" s="17"/>
      <c r="J15" s="19" t="s">
        <v>469</v>
      </c>
      <c r="K15" s="17"/>
      <c r="L15" s="17"/>
      <c r="M15" s="17"/>
      <c r="N15" s="17"/>
      <c r="O15" s="17"/>
      <c r="P15" s="17"/>
      <c r="Q15" s="17"/>
      <c r="R15" s="17"/>
    </row>
    <row r="16" spans="1:18" ht="18" x14ac:dyDescent="0.2">
      <c r="A16" s="16">
        <v>14</v>
      </c>
      <c r="B16" s="17"/>
      <c r="C16" s="17"/>
      <c r="D16" s="17"/>
      <c r="E16" s="17"/>
      <c r="F16" s="17"/>
      <c r="G16" s="17"/>
      <c r="H16" s="17"/>
      <c r="I16" s="17"/>
      <c r="J16" s="17"/>
      <c r="K16" s="17"/>
      <c r="L16" s="17"/>
      <c r="M16" s="17"/>
      <c r="N16" s="17"/>
      <c r="O16" s="17"/>
      <c r="P16" s="17"/>
      <c r="Q16" s="17"/>
      <c r="R16" s="17"/>
    </row>
    <row r="17" spans="1:18" ht="18" x14ac:dyDescent="0.2">
      <c r="A17" s="16">
        <v>15</v>
      </c>
      <c r="B17" s="17"/>
      <c r="C17" s="17"/>
      <c r="D17" s="17"/>
      <c r="E17" s="17"/>
      <c r="F17" s="17"/>
      <c r="G17" s="17"/>
      <c r="H17" s="17"/>
      <c r="I17" s="17"/>
      <c r="J17" s="17"/>
      <c r="K17" s="17"/>
      <c r="L17" s="17"/>
      <c r="M17" s="17"/>
      <c r="N17" s="18" t="s">
        <v>468</v>
      </c>
      <c r="O17" s="17"/>
      <c r="P17" s="17"/>
      <c r="Q17" s="17"/>
      <c r="R17" s="17"/>
    </row>
    <row r="18" spans="1:18" ht="18" x14ac:dyDescent="0.2">
      <c r="A18" s="16">
        <v>16</v>
      </c>
      <c r="B18" s="17"/>
      <c r="C18" s="17"/>
      <c r="D18" s="17"/>
      <c r="E18" s="17"/>
      <c r="F18" s="17"/>
      <c r="G18" s="17"/>
      <c r="H18" s="17"/>
      <c r="I18" s="17"/>
      <c r="J18" s="17"/>
      <c r="K18" s="18" t="s">
        <v>468</v>
      </c>
      <c r="L18" s="17"/>
      <c r="M18" s="17"/>
      <c r="N18" s="17"/>
      <c r="O18" s="17"/>
      <c r="P18" s="17"/>
      <c r="Q18" s="17"/>
      <c r="R18" s="17"/>
    </row>
    <row r="19" spans="1:18" ht="18" x14ac:dyDescent="0.2">
      <c r="A19" s="16">
        <v>17</v>
      </c>
      <c r="B19" s="17"/>
      <c r="C19" s="17"/>
      <c r="D19" s="17"/>
      <c r="E19" s="17"/>
      <c r="F19" s="17"/>
      <c r="G19" s="17"/>
      <c r="H19" s="17"/>
      <c r="I19" s="17"/>
      <c r="J19" s="17"/>
      <c r="K19" s="17"/>
      <c r="L19" s="17"/>
      <c r="M19" s="17"/>
      <c r="N19" s="17"/>
      <c r="O19" s="17"/>
      <c r="P19" s="17"/>
      <c r="Q19" s="17"/>
      <c r="R19" s="17"/>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Chart21"/>
  <dimension ref="A1:M1"/>
  <sheetViews>
    <sheetView topLeftCell="A10" zoomScale="116" zoomScaleNormal="116" workbookViewId="0">
      <selection activeCell="J37" sqref="J37"/>
    </sheetView>
  </sheetViews>
  <sheetFormatPr defaultColWidth="11.5703125" defaultRowHeight="12.75" x14ac:dyDescent="0.2"/>
  <cols>
    <col min="1" max="13"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0"/>
  <dimension ref="A1:DE155"/>
  <sheetViews>
    <sheetView topLeftCell="B19" zoomScale="115" zoomScaleNormal="115" workbookViewId="0">
      <selection activeCell="M49" sqref="M49"/>
    </sheetView>
  </sheetViews>
  <sheetFormatPr defaultRowHeight="12.75" x14ac:dyDescent="0.2"/>
  <sheetData>
    <row r="1" spans="1:3" x14ac:dyDescent="0.2">
      <c r="A1" t="s">
        <v>470</v>
      </c>
      <c r="B1" t="s">
        <v>471</v>
      </c>
      <c r="C1" t="s">
        <v>472</v>
      </c>
    </row>
    <row r="2" spans="1:3" x14ac:dyDescent="0.2">
      <c r="A2">
        <v>2017</v>
      </c>
      <c r="B2">
        <v>33.077934265136719</v>
      </c>
      <c r="C2">
        <v>33.077934265136719</v>
      </c>
    </row>
    <row r="3" spans="1:3" x14ac:dyDescent="0.2">
      <c r="A3">
        <v>2018</v>
      </c>
      <c r="B3">
        <v>33.0978272806462</v>
      </c>
      <c r="C3">
        <v>33.0978272806462</v>
      </c>
    </row>
    <row r="4" spans="1:3" x14ac:dyDescent="0.2">
      <c r="A4">
        <v>2019</v>
      </c>
      <c r="B4">
        <v>28.668866971547143</v>
      </c>
      <c r="C4">
        <v>28.668866971547143</v>
      </c>
    </row>
    <row r="5" spans="1:3" x14ac:dyDescent="0.2">
      <c r="A5">
        <v>2020</v>
      </c>
      <c r="B5">
        <v>31.110999608894101</v>
      </c>
      <c r="C5">
        <v>31.110999608894101</v>
      </c>
    </row>
    <row r="6" spans="1:3" x14ac:dyDescent="0.2">
      <c r="A6">
        <v>2021</v>
      </c>
      <c r="B6">
        <v>28.945019032848009</v>
      </c>
      <c r="C6">
        <v>28.945019032848009</v>
      </c>
    </row>
    <row r="7" spans="1:3" x14ac:dyDescent="0.2">
      <c r="A7">
        <v>2022</v>
      </c>
      <c r="B7">
        <v>33.894249209916907</v>
      </c>
      <c r="C7">
        <v>33.894249209916907</v>
      </c>
    </row>
    <row r="8" spans="1:3" x14ac:dyDescent="0.2">
      <c r="A8">
        <v>2023</v>
      </c>
      <c r="B8">
        <v>38.450497064182649</v>
      </c>
      <c r="C8">
        <v>38.450497064182649</v>
      </c>
    </row>
    <row r="9" spans="1:3" x14ac:dyDescent="0.2">
      <c r="A9">
        <v>2024</v>
      </c>
      <c r="B9">
        <v>39.994678834239174</v>
      </c>
      <c r="C9">
        <v>39.995214697468739</v>
      </c>
    </row>
    <row r="10" spans="1:3" x14ac:dyDescent="0.2">
      <c r="A10">
        <v>2025</v>
      </c>
      <c r="B10">
        <v>42.651805318189432</v>
      </c>
      <c r="C10">
        <v>38.193698006879963</v>
      </c>
    </row>
    <row r="11" spans="1:3" x14ac:dyDescent="0.2">
      <c r="A11">
        <v>2026</v>
      </c>
      <c r="B11">
        <v>46.136223381725806</v>
      </c>
      <c r="C11">
        <v>35.478038640617498</v>
      </c>
    </row>
    <row r="21" spans="1:109" x14ac:dyDescent="0.2">
      <c r="A21" t="s">
        <v>243</v>
      </c>
      <c r="B21">
        <v>2017</v>
      </c>
      <c r="C21">
        <v>2018</v>
      </c>
      <c r="D21">
        <v>2019</v>
      </c>
      <c r="E21">
        <v>2020</v>
      </c>
      <c r="F21">
        <v>2021</v>
      </c>
      <c r="G21">
        <v>2022</v>
      </c>
      <c r="H21">
        <v>2023</v>
      </c>
      <c r="I21">
        <v>2024</v>
      </c>
      <c r="J21">
        <v>2025</v>
      </c>
      <c r="K21">
        <v>2026</v>
      </c>
      <c r="L21">
        <v>2027</v>
      </c>
      <c r="M21">
        <v>2028</v>
      </c>
      <c r="N21">
        <v>2029</v>
      </c>
      <c r="O21">
        <v>2030</v>
      </c>
      <c r="P21">
        <v>2018.75</v>
      </c>
      <c r="Q21">
        <v>2018.875</v>
      </c>
      <c r="R21">
        <v>2019</v>
      </c>
      <c r="S21">
        <v>2019.125</v>
      </c>
      <c r="T21">
        <v>2019.25</v>
      </c>
      <c r="U21">
        <v>2019.375</v>
      </c>
      <c r="V21">
        <v>2019.5</v>
      </c>
      <c r="W21">
        <v>2019.625</v>
      </c>
      <c r="X21">
        <v>2019.75</v>
      </c>
      <c r="Y21">
        <v>2019.875</v>
      </c>
      <c r="Z21">
        <v>2020</v>
      </c>
      <c r="AA21">
        <v>2020.125</v>
      </c>
      <c r="AB21">
        <v>2020.25</v>
      </c>
      <c r="AC21">
        <v>2020.375</v>
      </c>
      <c r="AD21">
        <v>2020.5</v>
      </c>
      <c r="AE21">
        <v>2020.625</v>
      </c>
      <c r="AF21">
        <v>2020.75</v>
      </c>
      <c r="AG21">
        <v>2020.875</v>
      </c>
      <c r="AH21">
        <v>2021</v>
      </c>
      <c r="AI21">
        <v>2021.125</v>
      </c>
      <c r="AJ21">
        <v>2021.25</v>
      </c>
      <c r="AK21">
        <v>2021.375</v>
      </c>
      <c r="AL21">
        <v>2021.5</v>
      </c>
      <c r="AM21">
        <v>2021.625</v>
      </c>
      <c r="AN21">
        <v>2021.75</v>
      </c>
      <c r="AO21">
        <v>2021.875</v>
      </c>
      <c r="AP21">
        <v>2022</v>
      </c>
      <c r="AQ21">
        <v>2022.125</v>
      </c>
      <c r="AR21">
        <v>2022.25</v>
      </c>
      <c r="AS21">
        <v>2022.375</v>
      </c>
      <c r="AT21">
        <v>2022.5</v>
      </c>
      <c r="AU21">
        <v>2022.625</v>
      </c>
      <c r="AV21">
        <v>2022.75</v>
      </c>
      <c r="AW21">
        <v>2022.875</v>
      </c>
      <c r="AX21">
        <v>2023</v>
      </c>
      <c r="AY21">
        <v>2023.125</v>
      </c>
      <c r="AZ21">
        <v>2023.25</v>
      </c>
      <c r="BA21">
        <v>2023.375</v>
      </c>
      <c r="BB21">
        <v>2023.5</v>
      </c>
      <c r="BC21">
        <v>2023.625</v>
      </c>
      <c r="BD21">
        <v>2023.75</v>
      </c>
      <c r="BE21">
        <v>2023.875</v>
      </c>
      <c r="BF21">
        <v>2024</v>
      </c>
      <c r="BG21">
        <v>2024.125</v>
      </c>
      <c r="BH21">
        <v>2024.25</v>
      </c>
      <c r="BI21">
        <v>2024.375</v>
      </c>
      <c r="BJ21">
        <v>2024.5</v>
      </c>
      <c r="BK21">
        <v>2024.625</v>
      </c>
      <c r="BL21">
        <v>2024.75</v>
      </c>
      <c r="BM21">
        <v>2024.875</v>
      </c>
      <c r="BN21">
        <v>2025</v>
      </c>
      <c r="BO21">
        <v>2025.125</v>
      </c>
      <c r="BP21">
        <v>2025.25</v>
      </c>
      <c r="BQ21">
        <v>2025.375</v>
      </c>
      <c r="BR21">
        <v>2025.5</v>
      </c>
      <c r="BS21">
        <v>2025.625</v>
      </c>
      <c r="BT21">
        <v>2025.75</v>
      </c>
      <c r="BU21">
        <v>2025.875</v>
      </c>
      <c r="BV21">
        <v>2026</v>
      </c>
      <c r="BW21">
        <v>2026.125</v>
      </c>
      <c r="BX21">
        <v>2026.25</v>
      </c>
      <c r="BY21">
        <v>2026.375</v>
      </c>
      <c r="BZ21">
        <v>2026.5</v>
      </c>
      <c r="CA21">
        <v>2026.625</v>
      </c>
      <c r="CB21">
        <v>2026.75</v>
      </c>
      <c r="CC21">
        <v>2026.875</v>
      </c>
      <c r="CD21">
        <v>2027</v>
      </c>
      <c r="CE21">
        <v>2027.125</v>
      </c>
      <c r="CF21">
        <v>2027.25</v>
      </c>
      <c r="CG21">
        <v>2027.375</v>
      </c>
      <c r="CH21">
        <v>2027.5</v>
      </c>
      <c r="CI21">
        <v>2027.625</v>
      </c>
      <c r="CJ21">
        <v>2027.75</v>
      </c>
      <c r="CK21">
        <v>2027.875</v>
      </c>
      <c r="CL21">
        <v>2028</v>
      </c>
      <c r="CM21">
        <v>2028.125</v>
      </c>
      <c r="CN21">
        <v>2028.25</v>
      </c>
      <c r="CO21">
        <v>2028.375</v>
      </c>
      <c r="CP21">
        <v>2028.5</v>
      </c>
      <c r="CQ21">
        <v>2028.625</v>
      </c>
      <c r="CR21">
        <v>2028.75</v>
      </c>
      <c r="CS21">
        <v>2028.875</v>
      </c>
      <c r="CT21">
        <v>2029</v>
      </c>
      <c r="CU21">
        <v>2029.125</v>
      </c>
      <c r="CV21">
        <v>2029.25</v>
      </c>
      <c r="CW21">
        <v>2029.375</v>
      </c>
      <c r="CX21">
        <v>2029.5</v>
      </c>
      <c r="CY21">
        <v>2029.625</v>
      </c>
      <c r="CZ21">
        <v>2029.75</v>
      </c>
      <c r="DA21">
        <v>2029.875</v>
      </c>
      <c r="DB21">
        <v>2030</v>
      </c>
      <c r="DC21">
        <v>2030.125</v>
      </c>
      <c r="DD21">
        <v>2030.25</v>
      </c>
      <c r="DE21">
        <v>2030.375</v>
      </c>
    </row>
    <row r="22" spans="1:109" x14ac:dyDescent="0.2">
      <c r="A22" t="s">
        <v>895</v>
      </c>
      <c r="B22">
        <v>0.58068820055793302</v>
      </c>
      <c r="C22">
        <v>0.58570041541033535</v>
      </c>
      <c r="D22">
        <v>0.58371690157127387</v>
      </c>
      <c r="E22">
        <v>0.57571946544215602</v>
      </c>
      <c r="F22">
        <v>0.58411442307363959</v>
      </c>
      <c r="G22">
        <v>0.58347842821687856</v>
      </c>
      <c r="H22">
        <v>0.5943771591886412</v>
      </c>
      <c r="I22">
        <v>0.60536107456786814</v>
      </c>
      <c r="J22">
        <v>0.61538004259092061</v>
      </c>
      <c r="K22">
        <v>0.6239032321118998</v>
      </c>
      <c r="L22">
        <v>0.63139025254636538</v>
      </c>
      <c r="M22">
        <v>0.6382182716564061</v>
      </c>
      <c r="N22">
        <v>0.64470869935602404</v>
      </c>
      <c r="O22">
        <v>0.65102510531967639</v>
      </c>
      <c r="P22">
        <v>0.76861344694699518</v>
      </c>
      <c r="Q22">
        <v>0.74078569149280205</v>
      </c>
      <c r="R22">
        <v>0.7140645200788116</v>
      </c>
      <c r="S22">
        <v>0.71815965750351607</v>
      </c>
      <c r="T22">
        <v>0.72219614480710981</v>
      </c>
      <c r="U22">
        <v>0.72617482197036753</v>
      </c>
      <c r="V22">
        <v>0.73009651694394884</v>
      </c>
      <c r="W22">
        <v>0.73396204582069247</v>
      </c>
      <c r="X22">
        <v>0.7377722130054426</v>
      </c>
      <c r="Y22">
        <v>0.74152781138244295</v>
      </c>
      <c r="Z22">
        <v>0.74522962248033386</v>
      </c>
      <c r="AA22">
        <v>0.72486397792828017</v>
      </c>
      <c r="AB22">
        <v>0.70492615608460263</v>
      </c>
      <c r="AC22">
        <v>0.68542854859281499</v>
      </c>
      <c r="AD22">
        <v>0.66638082878456595</v>
      </c>
      <c r="AE22">
        <v>0.64779016757389174</v>
      </c>
      <c r="AF22">
        <v>0.62966145286834685</v>
      </c>
      <c r="AG22">
        <v>0.6119975061435271</v>
      </c>
      <c r="AH22">
        <v>0.59479929175838575</v>
      </c>
      <c r="AI22">
        <v>0.5947859010229859</v>
      </c>
      <c r="AJ22">
        <v>0.59547707499285352</v>
      </c>
      <c r="AK22">
        <v>0.59684066643862654</v>
      </c>
      <c r="AL22">
        <v>0.59884564652874961</v>
      </c>
      <c r="AM22">
        <v>0.6014621474086097</v>
      </c>
      <c r="AN22">
        <v>0.60466148771852068</v>
      </c>
      <c r="AO22">
        <v>0.60841618396459551</v>
      </c>
      <c r="AP22">
        <v>0.61269995024315838</v>
      </c>
      <c r="AQ22">
        <v>0.65967446571318911</v>
      </c>
      <c r="AR22">
        <v>0.70095157653524853</v>
      </c>
      <c r="AS22">
        <v>0.73722230462617655</v>
      </c>
      <c r="AT22">
        <v>0.76909385983064016</v>
      </c>
      <c r="AU22">
        <v>0.79709980524768975</v>
      </c>
      <c r="AV22">
        <v>0.82170898963392613</v>
      </c>
      <c r="AW22">
        <v>0.84333339642103267</v>
      </c>
      <c r="AX22">
        <v>0.86233504074841605</v>
      </c>
      <c r="AY22">
        <v>0.87903202997448171</v>
      </c>
      <c r="AZ22">
        <v>0.89370388912582832</v>
      </c>
      <c r="BA22">
        <v>0.90659624043793829</v>
      </c>
      <c r="BB22">
        <v>0.91792491532776022</v>
      </c>
      <c r="BC22">
        <v>0.92787956763689561</v>
      </c>
      <c r="BD22">
        <v>0.9366268486348529</v>
      </c>
      <c r="BE22">
        <v>0.94431319693523574</v>
      </c>
      <c r="BF22">
        <v>0.95106729003097545</v>
      </c>
      <c r="BG22">
        <v>0.95700219848986567</v>
      </c>
      <c r="BH22">
        <v>0.96221727887388109</v>
      </c>
      <c r="BI22">
        <v>0.96679983707172545</v>
      </c>
      <c r="BJ22">
        <v>0.97082658989053072</v>
      </c>
      <c r="BK22">
        <v>0.97436494937527951</v>
      </c>
      <c r="BL22">
        <v>0.97747415135679738</v>
      </c>
      <c r="BM22">
        <v>0.98020624712138615</v>
      </c>
      <c r="BN22">
        <v>0.98260697480368353</v>
      </c>
      <c r="BO22">
        <v>0.98471652509077479</v>
      </c>
      <c r="BP22">
        <v>0.98657021405624212</v>
      </c>
      <c r="BQ22">
        <v>0.98819907438809673</v>
      </c>
      <c r="BR22">
        <v>0.98963037490836536</v>
      </c>
      <c r="BS22">
        <v>0.99088807708163185</v>
      </c>
      <c r="BT22">
        <v>0.9919932361549636</v>
      </c>
      <c r="BU22">
        <v>0.99296435364472302</v>
      </c>
      <c r="BV22">
        <v>0.99381768707126172</v>
      </c>
      <c r="BW22">
        <v>0.99456752212677979</v>
      </c>
      <c r="BX22">
        <v>0.99522641183272331</v>
      </c>
      <c r="BY22">
        <v>0.99580538669046492</v>
      </c>
      <c r="BZ22">
        <v>0.99631413934340995</v>
      </c>
      <c r="CA22">
        <v>0.99676118684196324</v>
      </c>
      <c r="CB22">
        <v>0.99715401322784225</v>
      </c>
      <c r="CC22">
        <v>0.99749919482474669</v>
      </c>
      <c r="CD22">
        <v>0.99780251033288103</v>
      </c>
      <c r="CE22">
        <v>0.99806903757042753</v>
      </c>
      <c r="CF22">
        <v>0.99830323848152203</v>
      </c>
      <c r="CG22">
        <v>0.99850903383385603</v>
      </c>
      <c r="CH22">
        <v>0.99868986885642008</v>
      </c>
      <c r="CI22">
        <v>0.99884877091623259</v>
      </c>
      <c r="CJ22">
        <v>0.99898840019962398</v>
      </c>
      <c r="CK22">
        <v>0.99911109424653177</v>
      </c>
      <c r="CL22">
        <v>0.99921890708335925</v>
      </c>
      <c r="CM22">
        <v>0.99931364360952113</v>
      </c>
      <c r="CN22">
        <v>0.99939688981334363</v>
      </c>
      <c r="CO22">
        <v>0.99947003932316425</v>
      </c>
      <c r="CP22">
        <v>0.99953431673812498</v>
      </c>
      <c r="CQ22">
        <v>0.99959079812923979</v>
      </c>
      <c r="CR22">
        <v>0.99964042905394646</v>
      </c>
      <c r="CS22">
        <v>0.99968404038572545</v>
      </c>
      <c r="CT22">
        <v>0.99972236222378863</v>
      </c>
      <c r="CU22">
        <v>0.99975603611570241</v>
      </c>
      <c r="CV22">
        <v>0.99978562579756347</v>
      </c>
      <c r="CW22">
        <v>0.99981162663152945</v>
      </c>
      <c r="CX22">
        <v>0.99983447389869839</v>
      </c>
      <c r="CY22">
        <v>0.99985455008616897</v>
      </c>
      <c r="CZ22">
        <v>0.99987219129027327</v>
      </c>
      <c r="DA22">
        <v>0.99988769284318046</v>
      </c>
      <c r="DB22">
        <v>0.99990131425706541</v>
      </c>
      <c r="DC22">
        <v>0.99991328356861353</v>
      </c>
      <c r="DD22">
        <v>0.99992380115659274</v>
      </c>
      <c r="DE22">
        <v>0.99993304309640318</v>
      </c>
    </row>
    <row r="23" spans="1:109" x14ac:dyDescent="0.2">
      <c r="A23" t="s">
        <v>473</v>
      </c>
      <c r="B23">
        <v>0.93385078430175783</v>
      </c>
      <c r="C23">
        <v>0.92762374342173204</v>
      </c>
      <c r="D23">
        <v>0.83706282074076577</v>
      </c>
      <c r="E23">
        <v>0.74584692773209538</v>
      </c>
      <c r="F23">
        <v>0.66278927617000094</v>
      </c>
      <c r="G23">
        <v>0.70805658939738658</v>
      </c>
      <c r="H23">
        <v>0.74724719894360669</v>
      </c>
      <c r="I23">
        <v>0.78117684413569421</v>
      </c>
      <c r="J23">
        <v>0.8105517591010567</v>
      </c>
      <c r="K23">
        <v>0.83598337279277646</v>
      </c>
      <c r="L23">
        <v>0.85800103567716257</v>
      </c>
      <c r="M23">
        <v>0.87706303798527074</v>
      </c>
      <c r="N23">
        <v>0.89356614886957808</v>
      </c>
      <c r="O23">
        <v>0.90785387502014592</v>
      </c>
      <c r="P23">
        <v>0.42217974344454889</v>
      </c>
      <c r="Q23">
        <v>0.42417870830355514</v>
      </c>
      <c r="R23">
        <v>0.42567074538832739</v>
      </c>
      <c r="S23">
        <v>0.42800453863980725</v>
      </c>
      <c r="T23">
        <v>0.43024642168021998</v>
      </c>
      <c r="U23">
        <v>0.43240643421441527</v>
      </c>
      <c r="V23">
        <v>0.43450368778361509</v>
      </c>
      <c r="W23">
        <v>0.43655407645984989</v>
      </c>
      <c r="X23">
        <v>0.43857101532737042</v>
      </c>
      <c r="Y23">
        <v>0.44056590474496155</v>
      </c>
      <c r="Z23">
        <v>0.44254853130928906</v>
      </c>
      <c r="AA23">
        <v>0.45354127606639122</v>
      </c>
      <c r="AB23">
        <v>0.46426560010385293</v>
      </c>
      <c r="AC23">
        <v>0.4747278424276648</v>
      </c>
      <c r="AD23">
        <v>0.48493419466875259</v>
      </c>
      <c r="AE23">
        <v>0.49489070448763212</v>
      </c>
      <c r="AF23">
        <v>0.50460327890043344</v>
      </c>
      <c r="AG23">
        <v>0.51407768752811978</v>
      </c>
      <c r="AH23">
        <v>0.52331956577068395</v>
      </c>
      <c r="AI23">
        <v>0.52288183621552942</v>
      </c>
      <c r="AJ23">
        <v>0.52246237401821394</v>
      </c>
      <c r="AK23">
        <v>0.52206363112305454</v>
      </c>
      <c r="AL23">
        <v>0.52168766492200025</v>
      </c>
      <c r="AM23">
        <v>0.52133618244369784</v>
      </c>
      <c r="AN23">
        <v>0.52101057939886408</v>
      </c>
      <c r="AO23">
        <v>0.52071197477871434</v>
      </c>
      <c r="AP23">
        <v>0.52044124159285976</v>
      </c>
      <c r="AQ23">
        <v>0.52364375087860071</v>
      </c>
      <c r="AR23">
        <v>0.52674472627536451</v>
      </c>
      <c r="AS23">
        <v>0.52975826676186233</v>
      </c>
      <c r="AT23">
        <v>0.53269703757372833</v>
      </c>
      <c r="AU23">
        <v>0.53557246247506418</v>
      </c>
      <c r="AV23">
        <v>0.53839488464458674</v>
      </c>
      <c r="AW23">
        <v>0.54117370229079975</v>
      </c>
      <c r="AX23">
        <v>0.54391748374726234</v>
      </c>
      <c r="AY23">
        <v>0.54663406577490692</v>
      </c>
      <c r="AZ23">
        <v>0.54933063802093596</v>
      </c>
      <c r="BA23">
        <v>0.5520138159878778</v>
      </c>
      <c r="BB23">
        <v>0.55468970440536036</v>
      </c>
      <c r="BC23">
        <v>0.5573639525374684</v>
      </c>
      <c r="BD23">
        <v>0.56004180267566483</v>
      </c>
      <c r="BE23">
        <v>0.56272813284310252</v>
      </c>
      <c r="BF23">
        <v>0.5654274945572807</v>
      </c>
      <c r="BG23">
        <v>0.56814414635431232</v>
      </c>
      <c r="BH23">
        <v>0.57088208366191384</v>
      </c>
      <c r="BI23">
        <v>0.57364506551377903</v>
      </c>
      <c r="BJ23">
        <v>0.57643663852075944</v>
      </c>
      <c r="BK23">
        <v>0.57926015845077694</v>
      </c>
      <c r="BL23">
        <v>0.58211880971692698</v>
      </c>
      <c r="BM23">
        <v>0.58501562302966992</v>
      </c>
      <c r="BN23">
        <v>0.5879534914326765</v>
      </c>
      <c r="BO23">
        <v>0.59093518491145625</v>
      </c>
      <c r="BP23">
        <v>0.59396336373829572</v>
      </c>
      <c r="BQ23">
        <v>0.5970405906954106</v>
      </c>
      <c r="BR23">
        <v>0.6001693422998835</v>
      </c>
      <c r="BS23">
        <v>0.60335201913836212</v>
      </c>
      <c r="BT23">
        <v>0.60659095540617469</v>
      </c>
      <c r="BU23">
        <v>0.60988842773410701</v>
      </c>
      <c r="BV23">
        <v>0.61324666337628098</v>
      </c>
      <c r="BW23">
        <v>0.61666784782411477</v>
      </c>
      <c r="BX23">
        <v>0.62015413072305947</v>
      </c>
      <c r="BY23">
        <v>0.62370762934384105</v>
      </c>
      <c r="BZ23">
        <v>0.62733043182439607</v>
      </c>
      <c r="CA23">
        <v>0.63102460020558637</v>
      </c>
      <c r="CB23">
        <v>0.63479217328116244</v>
      </c>
      <c r="CC23">
        <v>0.63863516928015063</v>
      </c>
      <c r="CD23">
        <v>0.6425555883978189</v>
      </c>
      <c r="CE23">
        <v>0.64655541518959925</v>
      </c>
      <c r="CF23">
        <v>0.65063662084078122</v>
      </c>
      <c r="CG23">
        <v>0.65480116532340893</v>
      </c>
      <c r="CH23">
        <v>0.65905099945060031</v>
      </c>
      <c r="CI23">
        <v>0.66338806683743057</v>
      </c>
      <c r="CJ23">
        <v>0.6678142750578473</v>
      </c>
      <c r="CK23">
        <v>0.67233148546311183</v>
      </c>
      <c r="CL23">
        <v>0.6769415175959802</v>
      </c>
      <c r="CM23">
        <v>0.681646153293885</v>
      </c>
      <c r="CN23">
        <v>0.68644714050891764</v>
      </c>
      <c r="CO23">
        <v>0.69134619686951559</v>
      </c>
      <c r="CP23">
        <v>0.69634501300621321</v>
      </c>
      <c r="CQ23">
        <v>0.70144525566156579</v>
      </c>
      <c r="CR23">
        <v>0.70664857060236941</v>
      </c>
      <c r="CS23">
        <v>0.71195658535053685</v>
      </c>
      <c r="CT23">
        <v>0.71737091174742829</v>
      </c>
      <c r="CU23">
        <v>0.72289314836504115</v>
      </c>
      <c r="CV23">
        <v>0.72852488277622762</v>
      </c>
      <c r="CW23">
        <v>0.73426769369499956</v>
      </c>
      <c r="CX23">
        <v>0.74012315299699105</v>
      </c>
      <c r="CY23">
        <v>0.74609282762926377</v>
      </c>
      <c r="CZ23">
        <v>0.75217828141784315</v>
      </c>
      <c r="DA23">
        <v>0.75838107678065836</v>
      </c>
      <c r="DB23">
        <v>0.76461648549034777</v>
      </c>
      <c r="DC23">
        <v>0.77069097831953071</v>
      </c>
      <c r="DD23">
        <v>0.77660870799047521</v>
      </c>
      <c r="DE23">
        <v>0.78237372005701955</v>
      </c>
    </row>
    <row r="24" spans="1:109" x14ac:dyDescent="0.2">
      <c r="A24" t="s">
        <v>474</v>
      </c>
      <c r="B24">
        <v>0.36852024078369139</v>
      </c>
      <c r="C24">
        <v>0.39332890623941064</v>
      </c>
      <c r="D24">
        <v>0.43267104377250326</v>
      </c>
      <c r="E24">
        <v>0.4659646130986107</v>
      </c>
      <c r="F24">
        <v>0.52028622283819392</v>
      </c>
      <c r="G24">
        <v>0.48554648063208877</v>
      </c>
      <c r="H24">
        <v>0.49719328806324414</v>
      </c>
      <c r="I24">
        <v>0.51188714144697456</v>
      </c>
      <c r="J24">
        <v>0.5305345360478837</v>
      </c>
      <c r="K24">
        <v>0.55376316579947438</v>
      </c>
      <c r="L24">
        <v>0.58210512803110992</v>
      </c>
      <c r="M24">
        <v>0.61608476478186225</v>
      </c>
      <c r="N24">
        <v>0.65626600004347324</v>
      </c>
      <c r="O24">
        <v>0.70120702153439918</v>
      </c>
      <c r="P24">
        <v>0.59165753244020913</v>
      </c>
      <c r="Q24">
        <v>0.58987953842507901</v>
      </c>
      <c r="R24">
        <v>0.58758058382332135</v>
      </c>
      <c r="S24">
        <v>0.5835375304675422</v>
      </c>
      <c r="T24">
        <v>0.57960169439788278</v>
      </c>
      <c r="U24">
        <v>0.57577317320422927</v>
      </c>
      <c r="V24">
        <v>0.57206160602155809</v>
      </c>
      <c r="W24">
        <v>0.56847441645268559</v>
      </c>
      <c r="X24">
        <v>0.56501738575662463</v>
      </c>
      <c r="Y24">
        <v>0.56169499531670486</v>
      </c>
      <c r="Z24">
        <v>0.5585107311270946</v>
      </c>
      <c r="AA24">
        <v>0.55927015598825924</v>
      </c>
      <c r="AB24">
        <v>0.5605708098442802</v>
      </c>
      <c r="AC24">
        <v>0.56239539452826315</v>
      </c>
      <c r="AD24">
        <v>0.56472682189351842</v>
      </c>
      <c r="AE24">
        <v>0.56754822528633642</v>
      </c>
      <c r="AF24">
        <v>0.57084296988706529</v>
      </c>
      <c r="AG24">
        <v>0.57459466198623399</v>
      </c>
      <c r="AH24">
        <v>0.57878715725908947</v>
      </c>
      <c r="AI24">
        <v>0.58547313916353916</v>
      </c>
      <c r="AJ24">
        <v>0.59177198417544741</v>
      </c>
      <c r="AK24">
        <v>0.59770918072409851</v>
      </c>
      <c r="AL24">
        <v>0.60330852646356303</v>
      </c>
      <c r="AM24">
        <v>0.6085922640298238</v>
      </c>
      <c r="AN24">
        <v>0.61358120264887417</v>
      </c>
      <c r="AO24">
        <v>0.61829482744828845</v>
      </c>
      <c r="AP24">
        <v>0.62275139803903778</v>
      </c>
      <c r="AQ24">
        <v>0.62584201209830559</v>
      </c>
      <c r="AR24">
        <v>0.62892734233266434</v>
      </c>
      <c r="AS24">
        <v>0.63201879473929801</v>
      </c>
      <c r="AT24">
        <v>0.6351269583704674</v>
      </c>
      <c r="AU24">
        <v>0.63826172932576175</v>
      </c>
      <c r="AV24">
        <v>0.64143241565062603</v>
      </c>
      <c r="AW24">
        <v>0.644647826873884</v>
      </c>
      <c r="AX24">
        <v>0.64791635109963808</v>
      </c>
      <c r="AY24">
        <v>0.65124602195265058</v>
      </c>
      <c r="AZ24">
        <v>0.65464457720696612</v>
      </c>
      <c r="BA24">
        <v>0.6581195105667943</v>
      </c>
      <c r="BB24">
        <v>0.66167811778902319</v>
      </c>
      <c r="BC24">
        <v>0.66532753811825596</v>
      </c>
      <c r="BD24">
        <v>0.66907479183333729</v>
      </c>
      <c r="BE24">
        <v>0.67292681456815984</v>
      </c>
      <c r="BF24">
        <v>0.67689048896104764</v>
      </c>
      <c r="BG24">
        <v>0.68097267410012485</v>
      </c>
      <c r="BH24">
        <v>0.68518023316218557</v>
      </c>
      <c r="BI24">
        <v>0.68952005958615903</v>
      </c>
      <c r="BJ24">
        <v>0.69399910207659832</v>
      </c>
      <c r="BK24">
        <v>0.69862438869561116</v>
      </c>
      <c r="BL24">
        <v>0.70340305027165473</v>
      </c>
      <c r="BM24">
        <v>0.70834234332935531</v>
      </c>
      <c r="BN24">
        <v>0.71344967272497273</v>
      </c>
      <c r="BO24">
        <v>0.7187326141565159</v>
      </c>
      <c r="BP24">
        <v>0.72419893670519642</v>
      </c>
      <c r="BQ24">
        <v>0.72985662555537956</v>
      </c>
      <c r="BR24">
        <v>0.73571390503306311</v>
      </c>
      <c r="BS24">
        <v>0.74177926209786638</v>
      </c>
      <c r="BT24">
        <v>0.74806147042029847</v>
      </c>
      <c r="BU24">
        <v>0.75442617081799501</v>
      </c>
      <c r="BV24">
        <v>0.76063008036238289</v>
      </c>
      <c r="BW24">
        <v>0.7666772610983178</v>
      </c>
      <c r="BX24">
        <v>0.77257167245158165</v>
      </c>
      <c r="BY24">
        <v>0.77831717382133925</v>
      </c>
      <c r="BZ24">
        <v>0.78391752710710161</v>
      </c>
      <c r="CA24">
        <v>0.7893763991718511</v>
      </c>
      <c r="CB24">
        <v>0.79469736424294046</v>
      </c>
      <c r="CC24">
        <v>0.79988390625233852</v>
      </c>
      <c r="CD24">
        <v>0.80493942111775452</v>
      </c>
      <c r="CE24">
        <v>0.80986721896613401</v>
      </c>
      <c r="CF24">
        <v>0.81467052630098358</v>
      </c>
      <c r="CG24">
        <v>0.8193524881149421</v>
      </c>
      <c r="CH24">
        <v>0.82391616994898242</v>
      </c>
      <c r="CI24">
        <v>0.82836455989959179</v>
      </c>
      <c r="CJ24">
        <v>0.83270057057524471</v>
      </c>
      <c r="CK24">
        <v>0.83692704100345006</v>
      </c>
      <c r="CL24">
        <v>0.84104673848962019</v>
      </c>
      <c r="CM24">
        <v>0.84506236042897986</v>
      </c>
      <c r="CN24">
        <v>0.84897653607270118</v>
      </c>
      <c r="CO24">
        <v>0.85279182824942046</v>
      </c>
      <c r="CP24">
        <v>0.8565107350432648</v>
      </c>
      <c r="CQ24">
        <v>0.86013569142948676</v>
      </c>
      <c r="CR24">
        <v>0.86366907086877842</v>
      </c>
      <c r="CS24">
        <v>0.86711318686130801</v>
      </c>
      <c r="CT24">
        <v>0.87047029446149704</v>
      </c>
      <c r="CU24">
        <v>0.87374259175453028</v>
      </c>
      <c r="CV24">
        <v>0.87693222129556425</v>
      </c>
      <c r="CW24">
        <v>0.88004127151257738</v>
      </c>
      <c r="CX24">
        <v>0.88307177807378023</v>
      </c>
      <c r="CY24">
        <v>0.88602572522048029</v>
      </c>
      <c r="CZ24">
        <v>0.8889050470662756</v>
      </c>
      <c r="DA24">
        <v>0.89171162886342648</v>
      </c>
      <c r="DB24">
        <v>0.89444730823723506</v>
      </c>
      <c r="DC24">
        <v>0.89711387638924089</v>
      </c>
      <c r="DD24">
        <v>0.8997130792700202</v>
      </c>
      <c r="DE24">
        <v>0.9022466187223569</v>
      </c>
    </row>
    <row r="25" spans="1:109" x14ac:dyDescent="0.2">
      <c r="A25" t="s">
        <v>475</v>
      </c>
      <c r="B25">
        <v>0.55213714599609376</v>
      </c>
      <c r="C25">
        <v>0.58717420817280608</v>
      </c>
      <c r="D25">
        <v>0.58357611224694617</v>
      </c>
      <c r="E25">
        <v>0.55931342381162774</v>
      </c>
      <c r="F25">
        <v>0.57797259733992801</v>
      </c>
      <c r="G25">
        <v>0.60803900352825269</v>
      </c>
      <c r="H25">
        <v>0.65401711985782829</v>
      </c>
      <c r="I25">
        <v>0.70010723787827256</v>
      </c>
      <c r="J25">
        <v>0.74036497180619465</v>
      </c>
      <c r="K25">
        <v>0.77521849014203281</v>
      </c>
      <c r="L25">
        <v>0.80539325712125565</v>
      </c>
      <c r="M25">
        <v>0.83151735034699348</v>
      </c>
      <c r="N25">
        <v>0.85413453401363004</v>
      </c>
      <c r="O25">
        <v>0.87371557717521253</v>
      </c>
      <c r="P25">
        <v>0.77166852087683924</v>
      </c>
      <c r="Q25">
        <v>0.78760233157250892</v>
      </c>
      <c r="R25">
        <v>0.80242422233379018</v>
      </c>
      <c r="S25">
        <v>0.80679890537142496</v>
      </c>
      <c r="T25">
        <v>0.81107672505918038</v>
      </c>
      <c r="U25">
        <v>0.81525982612582171</v>
      </c>
      <c r="V25">
        <v>0.81935030581196233</v>
      </c>
      <c r="W25">
        <v>0.82309787341450824</v>
      </c>
      <c r="X25">
        <v>0.82650618430494438</v>
      </c>
      <c r="Y25">
        <v>0.82961157700177257</v>
      </c>
      <c r="Z25">
        <v>0.83244662494268629</v>
      </c>
      <c r="AA25">
        <v>0.83691517390236436</v>
      </c>
      <c r="AB25">
        <v>0.8412645493163099</v>
      </c>
      <c r="AC25">
        <v>0.84549792947217961</v>
      </c>
      <c r="AD25">
        <v>0.84961840789458709</v>
      </c>
      <c r="AE25">
        <v>0.85362899560568217</v>
      </c>
      <c r="AF25">
        <v>0.85753262332544333</v>
      </c>
      <c r="AG25">
        <v>0.86133214361328825</v>
      </c>
      <c r="AH25">
        <v>0.86503033295256992</v>
      </c>
      <c r="AI25">
        <v>0.85985946557511372</v>
      </c>
      <c r="AJ25">
        <v>0.8548948161816613</v>
      </c>
      <c r="AK25">
        <v>0.85012999271589784</v>
      </c>
      <c r="AL25">
        <v>0.84555944449774423</v>
      </c>
      <c r="AM25">
        <v>0.84117839713589426</v>
      </c>
      <c r="AN25">
        <v>0.83698279346335913</v>
      </c>
      <c r="AO25">
        <v>0.83296923967983216</v>
      </c>
      <c r="AP25">
        <v>0.82913495606572707</v>
      </c>
      <c r="AQ25">
        <v>0.83883013422004049</v>
      </c>
      <c r="AR25">
        <v>0.84797519119520837</v>
      </c>
      <c r="AS25">
        <v>0.8566013418185322</v>
      </c>
      <c r="AT25">
        <v>0.86473802973401726</v>
      </c>
      <c r="AU25">
        <v>0.8724130279023764</v>
      </c>
      <c r="AV25">
        <v>0.87965253339849014</v>
      </c>
      <c r="AW25">
        <v>0.88648125682989465</v>
      </c>
      <c r="AX25">
        <v>0.89292250668151019</v>
      </c>
      <c r="AY25">
        <v>0.89899826887450385</v>
      </c>
      <c r="AZ25">
        <v>0.90472928181084455</v>
      </c>
      <c r="BA25">
        <v>0.91013510715970036</v>
      </c>
      <c r="BB25">
        <v>0.91523419662729288</v>
      </c>
      <c r="BC25">
        <v>0.92004395493811519</v>
      </c>
      <c r="BD25">
        <v>0.92458079924248604</v>
      </c>
      <c r="BE25">
        <v>0.92886021515321671</v>
      </c>
      <c r="BF25">
        <v>0.93289680960266075</v>
      </c>
      <c r="BG25">
        <v>0.93670436070056273</v>
      </c>
      <c r="BH25">
        <v>0.94029586476288729</v>
      </c>
      <c r="BI25">
        <v>0.94368358067215008</v>
      </c>
      <c r="BJ25">
        <v>0.94687907172066765</v>
      </c>
      <c r="BK25">
        <v>0.9498932450795482</v>
      </c>
      <c r="BL25">
        <v>0.95273638902814406</v>
      </c>
      <c r="BM25">
        <v>0.95541820807104072</v>
      </c>
      <c r="BN25">
        <v>0.95794785606244648</v>
      </c>
      <c r="BO25">
        <v>0.96033396745104771</v>
      </c>
      <c r="BP25">
        <v>0.96258468675197639</v>
      </c>
      <c r="BQ25">
        <v>0.96470769634648756</v>
      </c>
      <c r="BR25">
        <v>0.966710242704235</v>
      </c>
      <c r="BS25">
        <v>0.96859916111764932</v>
      </c>
      <c r="BT25">
        <v>0.97038089903284508</v>
      </c>
      <c r="BU25">
        <v>0.97206153805669149</v>
      </c>
      <c r="BV25">
        <v>0.97364681471516401</v>
      </c>
      <c r="BW25">
        <v>0.97514214003383126</v>
      </c>
      <c r="BX25">
        <v>0.97655261800731119</v>
      </c>
      <c r="BY25">
        <v>0.97788306302073835</v>
      </c>
      <c r="BZ25">
        <v>0.97913801628270658</v>
      </c>
      <c r="CA25">
        <v>0.98032176132577897</v>
      </c>
      <c r="CB25">
        <v>0.98143833862747132</v>
      </c>
      <c r="CC25">
        <v>0.98249155940161592</v>
      </c>
      <c r="CD25">
        <v>0.98348501860717963</v>
      </c>
      <c r="CE25">
        <v>0.98442210721893897</v>
      </c>
      <c r="CF25">
        <v>0.98530602380189591</v>
      </c>
      <c r="CG25">
        <v>0.98613978542894154</v>
      </c>
      <c r="CH25">
        <v>0.98692623797903201</v>
      </c>
      <c r="CI25">
        <v>0.98766806585102873</v>
      </c>
      <c r="CJ25">
        <v>0.98836780112635825</v>
      </c>
      <c r="CK25">
        <v>0.98902783221176704</v>
      </c>
      <c r="CL25">
        <v>0.98965041199167136</v>
      </c>
      <c r="CM25">
        <v>0.99023766551792858</v>
      </c>
      <c r="CN25">
        <v>0.99079159726327781</v>
      </c>
      <c r="CO25">
        <v>0.99131409796320757</v>
      </c>
      <c r="CP25">
        <v>0.99180695106960426</v>
      </c>
      <c r="CQ25">
        <v>0.99227183883820924</v>
      </c>
      <c r="CR25">
        <v>0.99271034807066305</v>
      </c>
      <c r="CS25">
        <v>0.99312397553073639</v>
      </c>
      <c r="CT25">
        <v>0.99351413305323455</v>
      </c>
      <c r="CU25">
        <v>0.99388215236301358</v>
      </c>
      <c r="CV25">
        <v>0.9942292896205579</v>
      </c>
      <c r="CW25">
        <v>0.99455672970963283</v>
      </c>
      <c r="CX25">
        <v>0.99486559028164945</v>
      </c>
      <c r="CY25">
        <v>0.99515692557054447</v>
      </c>
      <c r="CZ25">
        <v>0.99543172999119722</v>
      </c>
      <c r="DA25">
        <v>0.99569094153366688</v>
      </c>
      <c r="DB25">
        <v>0.99593544496483399</v>
      </c>
      <c r="DC25">
        <v>0.99616607484837594</v>
      </c>
      <c r="DD25">
        <v>0.9963836183933833</v>
      </c>
      <c r="DE25">
        <v>0.99658881814134126</v>
      </c>
    </row>
    <row r="26" spans="1:109" x14ac:dyDescent="0.2">
      <c r="A26" t="s">
        <v>476</v>
      </c>
      <c r="B26">
        <v>0.65300369262695313</v>
      </c>
      <c r="C26">
        <v>0.64759984897599676</v>
      </c>
      <c r="D26">
        <v>0.69490619747108118</v>
      </c>
      <c r="E26">
        <v>0.73586212130988915</v>
      </c>
      <c r="F26">
        <v>0.77132010424138797</v>
      </c>
      <c r="G26">
        <v>0.75398638251707084</v>
      </c>
      <c r="H26">
        <v>0.78701135679522072</v>
      </c>
      <c r="I26">
        <v>0.81560304426091135</v>
      </c>
      <c r="J26">
        <v>0.84035657125083529</v>
      </c>
      <c r="K26">
        <v>0.86178717408517891</v>
      </c>
      <c r="L26">
        <v>0.88034092353794702</v>
      </c>
      <c r="M26">
        <v>0.89640400964975819</v>
      </c>
      <c r="N26">
        <v>0.91031078014336142</v>
      </c>
      <c r="O26">
        <v>0.92235069975878003</v>
      </c>
      <c r="P26">
        <v>0.34013319951884968</v>
      </c>
      <c r="Q26">
        <v>0.33604370288817065</v>
      </c>
      <c r="R26">
        <v>0.33187805136881932</v>
      </c>
      <c r="S26">
        <v>0.32890669854664373</v>
      </c>
      <c r="T26">
        <v>0.326050617398981</v>
      </c>
      <c r="U26">
        <v>0.32330566025630103</v>
      </c>
      <c r="V26">
        <v>0.32066793104805774</v>
      </c>
      <c r="W26">
        <v>0.31813397671434723</v>
      </c>
      <c r="X26">
        <v>0.31569911917279331</v>
      </c>
      <c r="Y26">
        <v>0.31335904948716448</v>
      </c>
      <c r="Z26">
        <v>0.31110999608894102</v>
      </c>
      <c r="AA26">
        <v>0.31505374498318295</v>
      </c>
      <c r="AB26">
        <v>0.31894077109788843</v>
      </c>
      <c r="AC26">
        <v>0.32276609392693567</v>
      </c>
      <c r="AD26">
        <v>0.32652566864789445</v>
      </c>
      <c r="AE26">
        <v>0.33021625146356703</v>
      </c>
      <c r="AF26">
        <v>0.33383527931615686</v>
      </c>
      <c r="AG26">
        <v>0.33738076326382993</v>
      </c>
      <c r="AH26">
        <v>0.34085119468832381</v>
      </c>
      <c r="AI26">
        <v>0.34024745199165279</v>
      </c>
      <c r="AJ26">
        <v>0.33974338581492208</v>
      </c>
      <c r="AK26">
        <v>0.33934111542607454</v>
      </c>
      <c r="AL26">
        <v>0.33904297046965598</v>
      </c>
      <c r="AM26">
        <v>0.33885142985517047</v>
      </c>
      <c r="AN26">
        <v>0.33876907228497583</v>
      </c>
      <c r="AO26">
        <v>0.33879853682308408</v>
      </c>
      <c r="AP26">
        <v>0.3389424920991691</v>
      </c>
      <c r="AQ26">
        <v>0.35582687832522186</v>
      </c>
      <c r="AR26">
        <v>0.37228001236092317</v>
      </c>
      <c r="AS26">
        <v>0.38831290902488663</v>
      </c>
      <c r="AT26">
        <v>0.40393630180097145</v>
      </c>
      <c r="AU26">
        <v>0.419160650023988</v>
      </c>
      <c r="AV26">
        <v>0.43399614588186974</v>
      </c>
      <c r="AW26">
        <v>0.44845272123899976</v>
      </c>
      <c r="AX26">
        <v>0.46254005428525896</v>
      </c>
      <c r="AY26">
        <v>0.476267576015248</v>
      </c>
      <c r="AZ26">
        <v>0.48964447654202026</v>
      </c>
      <c r="BA26">
        <v>0.5026797112495528</v>
      </c>
      <c r="BB26">
        <v>0.515382006788074</v>
      </c>
      <c r="BC26">
        <v>0.52775986691626164</v>
      </c>
      <c r="BD26">
        <v>0.53982157819422283</v>
      </c>
      <c r="BE26">
        <v>0.5515752155310667</v>
      </c>
      <c r="BF26">
        <v>0.56302864759078364</v>
      </c>
      <c r="BG26">
        <v>0.57418954206005068</v>
      </c>
      <c r="BH26">
        <v>0.58506537078148935</v>
      </c>
      <c r="BI26">
        <v>0.5956634147558123</v>
      </c>
      <c r="BJ26">
        <v>0.60599076901620796</v>
      </c>
      <c r="BK26">
        <v>0.61605434737822606</v>
      </c>
      <c r="BL26">
        <v>0.62586088706834397</v>
      </c>
      <c r="BM26">
        <v>0.63541695323431291</v>
      </c>
      <c r="BN26">
        <v>0.64472894334030284</v>
      </c>
      <c r="BO26">
        <v>0.65380309144978932</v>
      </c>
      <c r="BP26">
        <v>0.66264547239904881</v>
      </c>
      <c r="BQ26">
        <v>0.67126200586405638</v>
      </c>
      <c r="BR26">
        <v>0.67965846032350985</v>
      </c>
      <c r="BS26">
        <v>0.68784045692063145</v>
      </c>
      <c r="BT26">
        <v>0.69581347322633369</v>
      </c>
      <c r="BU26">
        <v>0.70358284690626871</v>
      </c>
      <c r="BV26">
        <v>0.71115377929421519</v>
      </c>
      <c r="BW26">
        <v>0.71853133887419618</v>
      </c>
      <c r="BX26">
        <v>0.72572046467365836</v>
      </c>
      <c r="BY26">
        <v>0.73272596956998426</v>
      </c>
      <c r="BZ26">
        <v>0.7395525435125514</v>
      </c>
      <c r="CA26">
        <v>0.74620475666249542</v>
      </c>
      <c r="CB26">
        <v>0.75268706245227901</v>
      </c>
      <c r="CC26">
        <v>0.75900380056711458</v>
      </c>
      <c r="CD26">
        <v>0.76515919985023728</v>
      </c>
      <c r="CE26">
        <v>0.77115738113397314</v>
      </c>
      <c r="CF26">
        <v>0.77700235999849732</v>
      </c>
      <c r="CG26">
        <v>0.78269804946012955</v>
      </c>
      <c r="CH26">
        <v>0.78824826259096692</v>
      </c>
      <c r="CI26">
        <v>0.79365671507160673</v>
      </c>
      <c r="CJ26">
        <v>0.79892702767866985</v>
      </c>
      <c r="CK26">
        <v>0.80406272870878814</v>
      </c>
      <c r="CL26">
        <v>0.80906725634068066</v>
      </c>
      <c r="CM26">
        <v>0.81394396093689791</v>
      </c>
      <c r="CN26">
        <v>0.81869610728677678</v>
      </c>
      <c r="CO26">
        <v>0.82332687679210725</v>
      </c>
      <c r="CP26">
        <v>0.82783936959697313</v>
      </c>
      <c r="CQ26">
        <v>0.83223660666319443</v>
      </c>
      <c r="CR26">
        <v>0.83652153179275934</v>
      </c>
      <c r="CS26">
        <v>0.84069701359860038</v>
      </c>
      <c r="CT26">
        <v>0.84476584742503413</v>
      </c>
      <c r="CU26">
        <v>0.84873075721914981</v>
      </c>
      <c r="CV26">
        <v>0.85259439735440046</v>
      </c>
      <c r="CW26">
        <v>0.85635935440761601</v>
      </c>
      <c r="CX26">
        <v>0.86002814889062973</v>
      </c>
      <c r="CY26">
        <v>0.8636032369376756</v>
      </c>
      <c r="CZ26">
        <v>0.8670870119496874</v>
      </c>
      <c r="DA26">
        <v>0.87048180619660009</v>
      </c>
      <c r="DB26">
        <v>0.87378989237872606</v>
      </c>
      <c r="DC26">
        <v>0.87701348514825095</v>
      </c>
      <c r="DD26">
        <v>0.88015474259186899</v>
      </c>
      <c r="DE26">
        <v>0.88321576767554921</v>
      </c>
    </row>
    <row r="27" spans="1:109" x14ac:dyDescent="0.2">
      <c r="A27" t="s">
        <v>477</v>
      </c>
      <c r="B27">
        <v>0.33300739288330078</v>
      </c>
      <c r="C27">
        <v>0.36396638670925963</v>
      </c>
      <c r="D27">
        <v>0.33143609355697606</v>
      </c>
      <c r="E27">
        <v>0.31247492185421655</v>
      </c>
      <c r="F27">
        <v>0.31834035187449206</v>
      </c>
      <c r="G27">
        <v>0.31687543323468448</v>
      </c>
      <c r="H27">
        <v>0.37022141167762934</v>
      </c>
      <c r="I27">
        <v>0.44018279980772379</v>
      </c>
      <c r="J27">
        <v>0.51527732132560367</v>
      </c>
      <c r="K27">
        <v>0.58034670309008507</v>
      </c>
      <c r="L27">
        <v>0.63668114293934408</v>
      </c>
      <c r="M27">
        <v>0.68545322324919733</v>
      </c>
      <c r="N27">
        <v>0.72767811843082686</v>
      </c>
      <c r="O27">
        <v>0.76423472544394622</v>
      </c>
      <c r="P27">
        <v>0.59665181226496977</v>
      </c>
      <c r="Q27">
        <v>0.58099267108955455</v>
      </c>
      <c r="R27">
        <v>0.5658273220622041</v>
      </c>
      <c r="S27">
        <v>0.5652069639364905</v>
      </c>
      <c r="T27">
        <v>0.56460323574478177</v>
      </c>
      <c r="U27">
        <v>0.56401569168860521</v>
      </c>
      <c r="V27">
        <v>0.56344389792000316</v>
      </c>
      <c r="W27">
        <v>0.56288743222117588</v>
      </c>
      <c r="X27">
        <v>0.56234588369271188</v>
      </c>
      <c r="Y27">
        <v>0.56181885245017593</v>
      </c>
      <c r="Z27">
        <v>0.56130594932883104</v>
      </c>
      <c r="AA27">
        <v>0.56131958312853003</v>
      </c>
      <c r="AB27">
        <v>0.56133287718751756</v>
      </c>
      <c r="AC27">
        <v>0.56134583997179388</v>
      </c>
      <c r="AD27">
        <v>0.56135847973639486</v>
      </c>
      <c r="AE27">
        <v>0.56137080453064914</v>
      </c>
      <c r="AF27">
        <v>0.56138282220330415</v>
      </c>
      <c r="AG27">
        <v>0.56139454040752423</v>
      </c>
      <c r="AH27">
        <v>0.56140596660576458</v>
      </c>
      <c r="AI27">
        <v>0.56472529180692355</v>
      </c>
      <c r="AJ27">
        <v>0.56796164640806091</v>
      </c>
      <c r="AK27">
        <v>0.57111710436097429</v>
      </c>
      <c r="AL27">
        <v>0.57419368777649538</v>
      </c>
      <c r="AM27">
        <v>0.57719336822031808</v>
      </c>
      <c r="AN27">
        <v>0.5801180679764365</v>
      </c>
      <c r="AO27">
        <v>0.58296966127900118</v>
      </c>
      <c r="AP27">
        <v>0.58574997551338392</v>
      </c>
      <c r="AQ27">
        <v>0.58513684671922128</v>
      </c>
      <c r="AR27">
        <v>0.58453907067869504</v>
      </c>
      <c r="AS27">
        <v>0.58395626295863812</v>
      </c>
      <c r="AT27">
        <v>0.58338804875209527</v>
      </c>
      <c r="AU27">
        <v>0.58283406263728255</v>
      </c>
      <c r="AV27">
        <v>0.58229394834258286</v>
      </c>
      <c r="AW27">
        <v>0.58176735851742534</v>
      </c>
      <c r="AX27">
        <v>0.58125395450890216</v>
      </c>
      <c r="AY27">
        <v>0.5807534061439793</v>
      </c>
      <c r="AZ27">
        <v>0.58026539151715995</v>
      </c>
      <c r="BA27">
        <v>0.57978959678346564</v>
      </c>
      <c r="BB27">
        <v>0.57932571595660054</v>
      </c>
      <c r="BC27">
        <v>0.57887345071216989</v>
      </c>
      <c r="BD27">
        <v>0.57843251019582598</v>
      </c>
      <c r="BE27">
        <v>0.57800261083621818</v>
      </c>
      <c r="BF27">
        <v>0.5775834761626264</v>
      </c>
      <c r="BG27">
        <v>0.57717483662716118</v>
      </c>
      <c r="BH27">
        <v>0.57677642943141616</v>
      </c>
      <c r="BI27">
        <v>0.5763879983574608</v>
      </c>
      <c r="BJ27">
        <v>0.57600929360306496</v>
      </c>
      <c r="BK27">
        <v>0.57564007162104991</v>
      </c>
      <c r="BL27">
        <v>0.57528009496266186</v>
      </c>
      <c r="BM27">
        <v>0.57492913212486696</v>
      </c>
      <c r="BN27">
        <v>0.5745869574014707</v>
      </c>
      <c r="BO27">
        <v>0.57425335073796491</v>
      </c>
      <c r="BP27">
        <v>0.57392809759000929</v>
      </c>
      <c r="BQ27">
        <v>0.5736109887854568</v>
      </c>
      <c r="BR27">
        <v>0.57330182038983402</v>
      </c>
      <c r="BS27">
        <v>0.57300039357518961</v>
      </c>
      <c r="BT27">
        <v>0.57270651449222687</v>
      </c>
      <c r="BU27">
        <v>0.57241999414563827</v>
      </c>
      <c r="BV27">
        <v>0.57214064827256139</v>
      </c>
      <c r="BW27">
        <v>0.57186829722407861</v>
      </c>
      <c r="BX27">
        <v>0.5716027658496835</v>
      </c>
      <c r="BY27">
        <v>0.57134388338464093</v>
      </c>
      <c r="BZ27">
        <v>0.57109148334016724</v>
      </c>
      <c r="CA27">
        <v>0.57084540339636003</v>
      </c>
      <c r="CB27">
        <v>0.57060548529780963</v>
      </c>
      <c r="CC27">
        <v>0.5703715747518241</v>
      </c>
      <c r="CD27">
        <v>0.57014352132920265</v>
      </c>
      <c r="CE27">
        <v>0.56992117836749379</v>
      </c>
      <c r="CF27">
        <v>0.5697044028766759</v>
      </c>
      <c r="CG27">
        <v>0.56949305544719953</v>
      </c>
      <c r="CH27">
        <v>0.56928700016033218</v>
      </c>
      <c r="CI27">
        <v>0.56908610450074859</v>
      </c>
      <c r="CJ27">
        <v>0.56889023927130877</v>
      </c>
      <c r="CK27">
        <v>0.56869927850997126</v>
      </c>
      <c r="CL27">
        <v>0.56851309940878558</v>
      </c>
      <c r="CM27">
        <v>0.56833158223491442</v>
      </c>
      <c r="CN27">
        <v>0.56815461025363201</v>
      </c>
      <c r="CO27">
        <v>0.56798206965325204</v>
      </c>
      <c r="CP27">
        <v>0.56781384947193436</v>
      </c>
      <c r="CQ27">
        <v>0.56764984152632481</v>
      </c>
      <c r="CR27">
        <v>0.56748994034198197</v>
      </c>
      <c r="CS27">
        <v>0.56733404308554591</v>
      </c>
      <c r="CT27">
        <v>0.5671820494986054</v>
      </c>
      <c r="CU27">
        <v>0.56703386183322146</v>
      </c>
      <c r="CV27">
        <v>0.56688938478906459</v>
      </c>
      <c r="CW27">
        <v>0.56674852545212717</v>
      </c>
      <c r="CX27">
        <v>0.56661119323496945</v>
      </c>
      <c r="CY27">
        <v>0.56647729981846251</v>
      </c>
      <c r="CZ27">
        <v>0.56634675909498966</v>
      </c>
      <c r="DA27">
        <v>0.56621948711307002</v>
      </c>
      <c r="DB27">
        <v>0.56609540202336917</v>
      </c>
      <c r="DC27">
        <v>0.56597442402606113</v>
      </c>
      <c r="DD27">
        <v>0.56585647531950867</v>
      </c>
      <c r="DE27">
        <v>0.56574148005022851</v>
      </c>
    </row>
    <row r="28" spans="1:109" x14ac:dyDescent="0.2">
      <c r="A28" t="s">
        <v>478</v>
      </c>
      <c r="B28">
        <v>0.7371634674072266</v>
      </c>
      <c r="C28">
        <v>0.70201229319027614</v>
      </c>
      <c r="D28">
        <v>0.62119790290914279</v>
      </c>
      <c r="E28">
        <v>0.5605007059509356</v>
      </c>
      <c r="F28">
        <v>0.53064420478990226</v>
      </c>
      <c r="G28">
        <v>0.55836743981104031</v>
      </c>
      <c r="H28">
        <v>0.58033134111830953</v>
      </c>
      <c r="I28">
        <v>0.59934679882663555</v>
      </c>
      <c r="J28">
        <v>0.61580961327834083</v>
      </c>
      <c r="K28">
        <v>0.63006245240682535</v>
      </c>
      <c r="L28">
        <v>0.64240198425409212</v>
      </c>
      <c r="M28">
        <v>0.65308505201603784</v>
      </c>
      <c r="N28">
        <v>0.66233402014699683</v>
      </c>
      <c r="O28">
        <v>0.6703414028009016</v>
      </c>
      <c r="P28">
        <v>0.62824385742499789</v>
      </c>
      <c r="Q28">
        <v>0.64124643556927308</v>
      </c>
      <c r="R28">
        <v>0.65379423430566297</v>
      </c>
      <c r="S28">
        <v>0.65836442628929492</v>
      </c>
      <c r="T28">
        <v>0.662826724573505</v>
      </c>
      <c r="U28">
        <v>0.66718367632708098</v>
      </c>
      <c r="V28">
        <v>0.67143776858491167</v>
      </c>
      <c r="W28">
        <v>0.67559142966763563</v>
      </c>
      <c r="X28">
        <v>0.67964703056777553</v>
      </c>
      <c r="Y28">
        <v>0.68360688630314725</v>
      </c>
      <c r="Z28">
        <v>0.68747325723831887</v>
      </c>
      <c r="AA28">
        <v>0.68898705544626238</v>
      </c>
      <c r="AB28">
        <v>0.69046315985645357</v>
      </c>
      <c r="AC28">
        <v>0.69190250904999362</v>
      </c>
      <c r="AD28">
        <v>0.69330601823717641</v>
      </c>
      <c r="AE28">
        <v>0.69467457983942515</v>
      </c>
      <c r="AF28">
        <v>0.69600906405673835</v>
      </c>
      <c r="AG28">
        <v>0.69731031942100685</v>
      </c>
      <c r="AH28">
        <v>0.69857917333555275</v>
      </c>
      <c r="AI28">
        <v>0.69704978888314129</v>
      </c>
      <c r="AJ28">
        <v>0.69555862591228768</v>
      </c>
      <c r="AK28">
        <v>0.69410472921408417</v>
      </c>
      <c r="AL28">
        <v>0.69268716745164505</v>
      </c>
      <c r="AM28">
        <v>0.69130503256351128</v>
      </c>
      <c r="AN28">
        <v>0.68995743918196473</v>
      </c>
      <c r="AO28">
        <v>0.68864352406587925</v>
      </c>
      <c r="AP28">
        <v>0.68736244554774595</v>
      </c>
      <c r="AQ28">
        <v>0.68392458104197751</v>
      </c>
      <c r="AR28">
        <v>0.68057012237884784</v>
      </c>
      <c r="AS28">
        <v>0.67729704605377306</v>
      </c>
      <c r="AT28">
        <v>0.67410337765430317</v>
      </c>
      <c r="AU28">
        <v>0.67098719066910073</v>
      </c>
      <c r="AV28">
        <v>0.66794660532581429</v>
      </c>
      <c r="AW28">
        <v>0.66497978745714659</v>
      </c>
      <c r="AX28">
        <v>0.6620849473944328</v>
      </c>
      <c r="AY28">
        <v>0.65926033888806157</v>
      </c>
      <c r="AZ28">
        <v>0.65650425805408796</v>
      </c>
      <c r="BA28">
        <v>0.65381504234640198</v>
      </c>
      <c r="BB28">
        <v>0.65119106955383399</v>
      </c>
      <c r="BC28">
        <v>0.64863075682159077</v>
      </c>
      <c r="BD28">
        <v>0.64613255969643246</v>
      </c>
      <c r="BE28">
        <v>0.64369497119501484</v>
      </c>
      <c r="BF28">
        <v>0.64131652089483415</v>
      </c>
      <c r="BG28">
        <v>0.63899577404722641</v>
      </c>
      <c r="BH28">
        <v>0.63673133071188659</v>
      </c>
      <c r="BI28">
        <v>0.63452182491238485</v>
      </c>
      <c r="BJ28">
        <v>0.63236592381217049</v>
      </c>
      <c r="BK28">
        <v>0.63026232691056772</v>
      </c>
      <c r="BL28">
        <v>0.62820976525827632</v>
      </c>
      <c r="BM28">
        <v>0.6262070006919056</v>
      </c>
      <c r="BN28">
        <v>0.62425282508707913</v>
      </c>
      <c r="BO28">
        <v>0.62234605962965994</v>
      </c>
      <c r="BP28">
        <v>0.62048555410465622</v>
      </c>
      <c r="BQ28">
        <v>0.61867018620237924</v>
      </c>
      <c r="BR28">
        <v>0.61689886084143419</v>
      </c>
      <c r="BS28">
        <v>0.61517050950813601</v>
      </c>
      <c r="BT28">
        <v>0.61348408961195167</v>
      </c>
      <c r="BU28">
        <v>0.61183858385658008</v>
      </c>
      <c r="BV28">
        <v>0.61023299962628996</v>
      </c>
      <c r="BW28">
        <v>0.60866636838714605</v>
      </c>
      <c r="BX28">
        <v>0.60713774510276175</v>
      </c>
      <c r="BY28">
        <v>0.60564620766422661</v>
      </c>
      <c r="BZ28">
        <v>0.60419085633386405</v>
      </c>
      <c r="CA28">
        <v>0.60277081320248393</v>
      </c>
      <c r="CB28">
        <v>0.60138522165980302</v>
      </c>
      <c r="CC28">
        <v>0.60003324587771312</v>
      </c>
      <c r="CD28">
        <v>0.59871407030608625</v>
      </c>
      <c r="CE28">
        <v>0.59742689918081127</v>
      </c>
      <c r="CF28">
        <v>0.59617095604376669</v>
      </c>
      <c r="CG28">
        <v>0.59494548327443897</v>
      </c>
      <c r="CH28">
        <v>0.5937497416329045</v>
      </c>
      <c r="CI28">
        <v>0.59258300981389889</v>
      </c>
      <c r="CJ28">
        <v>0.59144458401170519</v>
      </c>
      <c r="CK28">
        <v>0.59033377749559868</v>
      </c>
      <c r="CL28">
        <v>0.58924992019559097</v>
      </c>
      <c r="CM28">
        <v>0.58819235829822514</v>
      </c>
      <c r="CN28">
        <v>0.58716045385217674</v>
      </c>
      <c r="CO28">
        <v>0.58615358438342335</v>
      </c>
      <c r="CP28">
        <v>0.58517114251975089</v>
      </c>
      <c r="CQ28">
        <v>0.58421253562436926</v>
      </c>
      <c r="CR28">
        <v>0.58327718543841711</v>
      </c>
      <c r="CS28">
        <v>0.58236452773213976</v>
      </c>
      <c r="CT28">
        <v>0.58147401196452964</v>
      </c>
      <c r="CU28">
        <v>0.58060510095122431</v>
      </c>
      <c r="CV28">
        <v>0.579757270540462</v>
      </c>
      <c r="CW28">
        <v>0.57893000929689808</v>
      </c>
      <c r="CX28">
        <v>0.57812281819309275</v>
      </c>
      <c r="CY28">
        <v>0.57733521030848367</v>
      </c>
      <c r="CZ28">
        <v>0.57656671053566155</v>
      </c>
      <c r="DA28">
        <v>0.57581685529377202</v>
      </c>
      <c r="DB28">
        <v>0.57508519224887056</v>
      </c>
      <c r="DC28">
        <v>0.57437128004106142</v>
      </c>
      <c r="DD28">
        <v>0.57367468801825738</v>
      </c>
      <c r="DE28">
        <v>0.57299499597639791</v>
      </c>
    </row>
    <row r="29" spans="1:109" x14ac:dyDescent="0.2">
      <c r="A29" t="s">
        <v>479</v>
      </c>
      <c r="B29">
        <v>0.53973793029785155</v>
      </c>
      <c r="C29">
        <v>0.53799314759298256</v>
      </c>
      <c r="D29">
        <v>0.60001314702707664</v>
      </c>
      <c r="E29">
        <v>0.65370755494718091</v>
      </c>
      <c r="F29">
        <v>0.70019400235442864</v>
      </c>
      <c r="G29">
        <v>0.67865430993147102</v>
      </c>
      <c r="H29">
        <v>0.65180428307724736</v>
      </c>
      <c r="I29">
        <v>0.6285586154259849</v>
      </c>
      <c r="J29">
        <v>0.60843345624135092</v>
      </c>
      <c r="K29">
        <v>0.59100990711886037</v>
      </c>
      <c r="L29">
        <v>0.57592530275679277</v>
      </c>
      <c r="M29">
        <v>0.56286566220018563</v>
      </c>
      <c r="N29">
        <v>0.55155915343309725</v>
      </c>
      <c r="O29">
        <v>0.54177043528682556</v>
      </c>
      <c r="P29">
        <v>0.79316411345837001</v>
      </c>
      <c r="Q29">
        <v>0.81383319015276989</v>
      </c>
      <c r="R29">
        <v>0.83243680935552222</v>
      </c>
      <c r="S29">
        <v>0.82783382516609194</v>
      </c>
      <c r="T29">
        <v>0.82433761417572793</v>
      </c>
      <c r="U29">
        <v>0.82186642021739398</v>
      </c>
      <c r="V29">
        <v>0.82034383989581294</v>
      </c>
      <c r="W29">
        <v>0.81969893435478736</v>
      </c>
      <c r="X29">
        <v>0.81986589693497647</v>
      </c>
      <c r="Y29">
        <v>0.82078373087320344</v>
      </c>
      <c r="Z29">
        <v>0.82239593694956958</v>
      </c>
      <c r="AA29">
        <v>0.80674633159495213</v>
      </c>
      <c r="AB29">
        <v>0.79158946958377563</v>
      </c>
      <c r="AC29">
        <v>0.77691153029876281</v>
      </c>
      <c r="AD29">
        <v>0.76269902363529951</v>
      </c>
      <c r="AE29">
        <v>0.74893878461561936</v>
      </c>
      <c r="AF29">
        <v>0.73561796794657019</v>
      </c>
      <c r="AG29">
        <v>0.72272404253286315</v>
      </c>
      <c r="AH29">
        <v>0.71024478595686724</v>
      </c>
      <c r="AI29">
        <v>0.71386672613240643</v>
      </c>
      <c r="AJ29">
        <v>0.71744339205575136</v>
      </c>
      <c r="AK29">
        <v>0.7209753496550545</v>
      </c>
      <c r="AL29">
        <v>0.72446315778436632</v>
      </c>
      <c r="AM29">
        <v>0.72790736831206171</v>
      </c>
      <c r="AN29">
        <v>0.73130852620816089</v>
      </c>
      <c r="AO29">
        <v>0.73466716963055889</v>
      </c>
      <c r="AP29">
        <v>0.73798383001017687</v>
      </c>
      <c r="AQ29">
        <v>0.74125903213504962</v>
      </c>
      <c r="AR29">
        <v>0.74449329423336152</v>
      </c>
      <c r="AS29">
        <v>0.74768712805544446</v>
      </c>
      <c r="AT29">
        <v>0.75084103895475141</v>
      </c>
      <c r="AU29">
        <v>0.75395552596781701</v>
      </c>
      <c r="AV29">
        <v>0.75703108189321933</v>
      </c>
      <c r="AW29">
        <v>0.76006819336955411</v>
      </c>
      <c r="AX29">
        <v>0.76306734095243467</v>
      </c>
      <c r="AY29">
        <v>0.76602899919052925</v>
      </c>
      <c r="AZ29">
        <v>0.76895363670064765</v>
      </c>
      <c r="BA29">
        <v>0.77184171624188957</v>
      </c>
      <c r="BB29">
        <v>0.77469369478886596</v>
      </c>
      <c r="BC29">
        <v>0.77751002360400512</v>
      </c>
      <c r="BD29">
        <v>0.78029114830895507</v>
      </c>
      <c r="BE29">
        <v>0.78303750895509316</v>
      </c>
      <c r="BF29">
        <v>0.78574954009315445</v>
      </c>
      <c r="BG29">
        <v>0.78842767084199006</v>
      </c>
      <c r="BH29">
        <v>0.79107232495646518</v>
      </c>
      <c r="BI29">
        <v>0.79368392089450934</v>
      </c>
      <c r="BJ29">
        <v>0.79626287188332801</v>
      </c>
      <c r="BK29">
        <v>0.79880958598478635</v>
      </c>
      <c r="BL29">
        <v>0.80132446615997655</v>
      </c>
      <c r="BM29">
        <v>0.80380791033297683</v>
      </c>
      <c r="BN29">
        <v>0.8062603114538146</v>
      </c>
      <c r="BO29">
        <v>0.80868205756064193</v>
      </c>
      <c r="BP29">
        <v>0.81107353184113395</v>
      </c>
      <c r="BQ29">
        <v>0.81343511269311974</v>
      </c>
      <c r="BR29">
        <v>0.81576717378445573</v>
      </c>
      <c r="BS29">
        <v>0.81807008411214999</v>
      </c>
      <c r="BT29">
        <v>0.82034420806074815</v>
      </c>
      <c r="BU29">
        <v>0.82258990545998878</v>
      </c>
      <c r="BV29">
        <v>0.82480753164173892</v>
      </c>
      <c r="BW29">
        <v>0.82699743749621724</v>
      </c>
      <c r="BX29">
        <v>0.82915996952751447</v>
      </c>
      <c r="BY29">
        <v>0.83129546990842051</v>
      </c>
      <c r="BZ29">
        <v>0.83340427653456528</v>
      </c>
      <c r="CA29">
        <v>0.83548672307788319</v>
      </c>
      <c r="CB29">
        <v>0.83754313903940969</v>
      </c>
      <c r="CC29">
        <v>0.83957384980141703</v>
      </c>
      <c r="CD29">
        <v>0.84157917667889937</v>
      </c>
      <c r="CE29">
        <v>0.84355943697041313</v>
      </c>
      <c r="CF29">
        <v>0.84551494400828298</v>
      </c>
      <c r="CG29">
        <v>0.84744600720817942</v>
      </c>
      <c r="CH29">
        <v>0.84935293211807716</v>
      </c>
      <c r="CI29">
        <v>0.85123602046660118</v>
      </c>
      <c r="CJ29">
        <v>0.85309557021076865</v>
      </c>
      <c r="CK29">
        <v>0.85493187558313399</v>
      </c>
      <c r="CL29">
        <v>0.85674522713834478</v>
      </c>
      <c r="CM29">
        <v>0.85853591179911548</v>
      </c>
      <c r="CN29">
        <v>0.86030421290162651</v>
      </c>
      <c r="CO29">
        <v>0.86205041024035622</v>
      </c>
      <c r="CP29">
        <v>0.86377478011235176</v>
      </c>
      <c r="CQ29">
        <v>0.86547759536094737</v>
      </c>
      <c r="CR29">
        <v>0.86715912541893558</v>
      </c>
      <c r="CS29">
        <v>0.86881963635119885</v>
      </c>
      <c r="CT29">
        <v>0.8704593908968089</v>
      </c>
      <c r="CU29">
        <v>0.8720786485105988</v>
      </c>
      <c r="CV29">
        <v>0.87367766540421632</v>
      </c>
      <c r="CW29">
        <v>0.87525669458666366</v>
      </c>
      <c r="CX29">
        <v>0.87681598590433041</v>
      </c>
      <c r="CY29">
        <v>0.87835578608052622</v>
      </c>
      <c r="CZ29">
        <v>0.87987633875451965</v>
      </c>
      <c r="DA29">
        <v>0.88137788452008814</v>
      </c>
      <c r="DB29">
        <v>0.88286066096358706</v>
      </c>
      <c r="DC29">
        <v>0.88432490270154218</v>
      </c>
      <c r="DD29">
        <v>0.88577084141777296</v>
      </c>
      <c r="DE29">
        <v>0.88719870590005079</v>
      </c>
    </row>
    <row r="30" spans="1:109" x14ac:dyDescent="0.2">
      <c r="A30" t="s">
        <v>480</v>
      </c>
      <c r="B30">
        <v>0.68254425048828127</v>
      </c>
      <c r="C30">
        <v>0.60972951698798816</v>
      </c>
      <c r="D30">
        <v>0.57130248649228776</v>
      </c>
      <c r="E30">
        <v>0.58423724247617947</v>
      </c>
      <c r="F30">
        <v>0.64004941463770471</v>
      </c>
      <c r="G30">
        <v>0.67635301685780713</v>
      </c>
      <c r="H30">
        <v>0.71900936389050063</v>
      </c>
      <c r="I30">
        <v>0.75672966825764043</v>
      </c>
      <c r="J30">
        <v>0.78938638267299543</v>
      </c>
      <c r="K30">
        <v>0.81765924563894488</v>
      </c>
      <c r="L30">
        <v>0.84213674726769161</v>
      </c>
      <c r="M30">
        <v>0.86332837850457356</v>
      </c>
      <c r="N30">
        <v>0.88167523601034836</v>
      </c>
      <c r="O30">
        <v>0.89755920343949913</v>
      </c>
      <c r="P30">
        <v>0.29716283696870005</v>
      </c>
      <c r="Q30">
        <v>0.29187206716090075</v>
      </c>
      <c r="R30">
        <v>0.28668866971547141</v>
      </c>
      <c r="S30">
        <v>0.30555773032620637</v>
      </c>
      <c r="T30">
        <v>0.32313705048649333</v>
      </c>
      <c r="U30">
        <v>0.33952103372860204</v>
      </c>
      <c r="V30">
        <v>0.35479647801110686</v>
      </c>
      <c r="W30">
        <v>0.36904327867615033</v>
      </c>
      <c r="X30">
        <v>0.38233505318792926</v>
      </c>
      <c r="Y30">
        <v>0.39473969842433143</v>
      </c>
      <c r="Z30">
        <v>0.4063198894843002</v>
      </c>
      <c r="AA30">
        <v>0.40827726686403903</v>
      </c>
      <c r="AB30">
        <v>0.41018026313032652</v>
      </c>
      <c r="AC30">
        <v>0.41203032710589221</v>
      </c>
      <c r="AD30">
        <v>0.41382886989135143</v>
      </c>
      <c r="AE30">
        <v>0.41557726583660592</v>
      </c>
      <c r="AF30">
        <v>0.4172768534872634</v>
      </c>
      <c r="AG30">
        <v>0.41892893650672397</v>
      </c>
      <c r="AH30">
        <v>0.42053478457456467</v>
      </c>
      <c r="AI30">
        <v>0.42402444957147783</v>
      </c>
      <c r="AJ30">
        <v>0.42744743765118837</v>
      </c>
      <c r="AK30">
        <v>0.43080502737960064</v>
      </c>
      <c r="AL30">
        <v>0.4340984714594216</v>
      </c>
      <c r="AM30">
        <v>0.43732899732739555</v>
      </c>
      <c r="AN30">
        <v>0.44049780773509145</v>
      </c>
      <c r="AO30">
        <v>0.44360608131374829</v>
      </c>
      <c r="AP30">
        <v>0.44665497312367047</v>
      </c>
      <c r="AQ30">
        <v>0.45502670872749285</v>
      </c>
      <c r="AR30">
        <v>0.4632380284568362</v>
      </c>
      <c r="AS30">
        <v>0.47129779714508069</v>
      </c>
      <c r="AT30">
        <v>0.4792144609288036</v>
      </c>
      <c r="AU30">
        <v>0.48699607118067584</v>
      </c>
      <c r="AV30">
        <v>0.49465030659925463</v>
      </c>
      <c r="AW30">
        <v>0.50218449362924678</v>
      </c>
      <c r="AX30">
        <v>0.50960562536654086</v>
      </c>
      <c r="AY30">
        <v>0.51692037908548572</v>
      </c>
      <c r="AZ30">
        <v>0.52413513251117705</v>
      </c>
      <c r="BA30">
        <v>0.5312559789466117</v>
      </c>
      <c r="BB30">
        <v>0.53828874135322535</v>
      </c>
      <c r="BC30">
        <v>0.54523898547334182</v>
      </c>
      <c r="BD30">
        <v>0.55211203207423776</v>
      </c>
      <c r="BE30">
        <v>0.55891296838572757</v>
      </c>
      <c r="BF30">
        <v>0.56564665879625231</v>
      </c>
      <c r="BG30">
        <v>0.57231775486631387</v>
      </c>
      <c r="BH30">
        <v>0.57893070471262431</v>
      </c>
      <c r="BI30">
        <v>0.58548976181146695</v>
      </c>
      <c r="BJ30">
        <v>0.5919989932654055</v>
      </c>
      <c r="BK30">
        <v>0.59846228757358255</v>
      </c>
      <c r="BL30">
        <v>0.60488336194235104</v>
      </c>
      <c r="BM30">
        <v>0.61126576916984421</v>
      </c>
      <c r="BN30">
        <v>0.61761290413526715</v>
      </c>
      <c r="BO30">
        <v>0.62392800992114616</v>
      </c>
      <c r="BP30">
        <v>0.63021418359447978</v>
      </c>
      <c r="BQ30">
        <v>0.6364743816706554</v>
      </c>
      <c r="BR30">
        <v>0.64271142528212077</v>
      </c>
      <c r="BS30">
        <v>0.64892800507209136</v>
      </c>
      <c r="BT30">
        <v>0.65512668583202982</v>
      </c>
      <c r="BU30">
        <v>0.66130991090022528</v>
      </c>
      <c r="BV30">
        <v>0.6674800063375167</v>
      </c>
      <c r="BW30">
        <v>0.6736391848950366</v>
      </c>
      <c r="BX30">
        <v>0.67978954978777995</v>
      </c>
      <c r="BY30">
        <v>0.68593309828682691</v>
      </c>
      <c r="BZ30">
        <v>0.69207172514215032</v>
      </c>
      <c r="CA30">
        <v>0.6982072258471147</v>
      </c>
      <c r="CB30">
        <v>0.70434129975501925</v>
      </c>
      <c r="CC30">
        <v>0.71047555305733934</v>
      </c>
      <c r="CD30">
        <v>0.71661150163267728</v>
      </c>
      <c r="CE30">
        <v>0.72275057377484275</v>
      </c>
      <c r="CF30">
        <v>0.72889411280793182</v>
      </c>
      <c r="CG30">
        <v>0.7350433795957666</v>
      </c>
      <c r="CH30">
        <v>0.7410981729595012</v>
      </c>
      <c r="CI30">
        <v>0.74701460207847159</v>
      </c>
      <c r="CJ30">
        <v>0.75279582885483998</v>
      </c>
      <c r="CK30">
        <v>0.75844494293492482</v>
      </c>
      <c r="CL30">
        <v>0.7639649633603921</v>
      </c>
      <c r="CM30">
        <v>0.76935884018171463</v>
      </c>
      <c r="CN30">
        <v>0.77462945603475974</v>
      </c>
      <c r="CO30">
        <v>0.77977962768134901</v>
      </c>
      <c r="CP30">
        <v>0.78481210751461317</v>
      </c>
      <c r="CQ30">
        <v>0.78972958502994661</v>
      </c>
      <c r="CR30">
        <v>0.79453468826234752</v>
      </c>
      <c r="CS30">
        <v>0.79922998519091193</v>
      </c>
      <c r="CT30">
        <v>0.80381798511123226</v>
      </c>
      <c r="CU30">
        <v>0.80830113997643382</v>
      </c>
      <c r="CV30">
        <v>0.81268184570756574</v>
      </c>
      <c r="CW30">
        <v>0.81696244347404723</v>
      </c>
      <c r="CX30">
        <v>0.82114522094485254</v>
      </c>
      <c r="CY30">
        <v>0.8252324135111041</v>
      </c>
      <c r="CZ30">
        <v>0.82922620548072712</v>
      </c>
      <c r="DA30">
        <v>0.83312873124580344</v>
      </c>
      <c r="DB30">
        <v>0.83694207642324947</v>
      </c>
      <c r="DC30">
        <v>0.84066827896942709</v>
      </c>
      <c r="DD30">
        <v>0.84430933026928323</v>
      </c>
      <c r="DE30">
        <v>0.84786717620060115</v>
      </c>
    </row>
    <row r="31" spans="1:109" x14ac:dyDescent="0.2">
      <c r="A31" t="s">
        <v>481</v>
      </c>
      <c r="B31">
        <v>0.33077934265136721</v>
      </c>
      <c r="C31">
        <v>0.32803417387110301</v>
      </c>
      <c r="D31">
        <v>0.30214063634924154</v>
      </c>
      <c r="E31">
        <v>0.29663787013087478</v>
      </c>
      <c r="F31">
        <v>0.32493634080901412</v>
      </c>
      <c r="G31">
        <v>0.32015063355080081</v>
      </c>
      <c r="H31">
        <v>0.35436974366382412</v>
      </c>
      <c r="I31">
        <v>0.38233720949576261</v>
      </c>
      <c r="J31">
        <v>0.40555946400022264</v>
      </c>
      <c r="K31">
        <v>0.42568158560073938</v>
      </c>
      <c r="L31">
        <v>0.44391233863488011</v>
      </c>
      <c r="M31">
        <v>0.46112616367838338</v>
      </c>
      <c r="N31">
        <v>0.47796298899568002</v>
      </c>
      <c r="O31">
        <v>0.49489221111514847</v>
      </c>
      <c r="P31">
        <v>0.49036528050372619</v>
      </c>
      <c r="Q31">
        <v>0.49012190515906884</v>
      </c>
      <c r="R31">
        <v>0.48957852202028007</v>
      </c>
      <c r="S31">
        <v>0.49495461529800522</v>
      </c>
      <c r="T31">
        <v>0.5013822325086873</v>
      </c>
      <c r="U31">
        <v>0.50879014540575318</v>
      </c>
      <c r="V31">
        <v>0.51711671205152299</v>
      </c>
      <c r="W31">
        <v>0.52630985179461487</v>
      </c>
      <c r="X31">
        <v>0.53632621379288647</v>
      </c>
      <c r="Y31">
        <v>0.54683210463194454</v>
      </c>
      <c r="Z31">
        <v>0.55709995367177756</v>
      </c>
      <c r="AA31">
        <v>0.50757813743691016</v>
      </c>
      <c r="AB31">
        <v>0.46395666967891563</v>
      </c>
      <c r="AC31">
        <v>0.42546413502712027</v>
      </c>
      <c r="AD31">
        <v>0.39143261251836287</v>
      </c>
      <c r="AE31">
        <v>0.36128374089809034</v>
      </c>
      <c r="AF31">
        <v>0.33451663666395726</v>
      </c>
      <c r="AG31">
        <v>0.31069742730845784</v>
      </c>
      <c r="AH31">
        <v>0.28945019032848007</v>
      </c>
      <c r="AI31">
        <v>0.30209184632541963</v>
      </c>
      <c r="AJ31">
        <v>0.31450858991766956</v>
      </c>
      <c r="AK31">
        <v>0.32670442260549182</v>
      </c>
      <c r="AL31">
        <v>0.33868327469696863</v>
      </c>
      <c r="AM31">
        <v>0.35044900657460898</v>
      </c>
      <c r="AN31">
        <v>0.36200540993942049</v>
      </c>
      <c r="AO31">
        <v>0.37335620903284761</v>
      </c>
      <c r="AP31">
        <v>0.38450506183696981</v>
      </c>
      <c r="AQ31">
        <v>0.38325797796373112</v>
      </c>
      <c r="AR31">
        <v>0.38243905687880508</v>
      </c>
      <c r="AS31">
        <v>0.38200668229086449</v>
      </c>
      <c r="AT31">
        <v>0.38192407711859927</v>
      </c>
      <c r="AU31">
        <v>0.38215893772275367</v>
      </c>
      <c r="AV31">
        <v>0.38268307603127061</v>
      </c>
      <c r="AW31">
        <v>0.38347207625530405</v>
      </c>
      <c r="AX31">
        <v>0.38450497064182648</v>
      </c>
      <c r="AY31">
        <v>0.38576393701185863</v>
      </c>
      <c r="AZ31">
        <v>0.38723401957024312</v>
      </c>
      <c r="BA31">
        <v>0.38890287354735198</v>
      </c>
      <c r="BB31">
        <v>0.390760533569392</v>
      </c>
      <c r="BC31">
        <v>0.39279920519230072</v>
      </c>
      <c r="BD31">
        <v>0.39501307872755109</v>
      </c>
      <c r="BE31">
        <v>0.39739816429954045</v>
      </c>
      <c r="BF31">
        <v>0.39995214697468739</v>
      </c>
      <c r="BG31">
        <v>0.40267426076933971</v>
      </c>
      <c r="BH31">
        <v>0.40556518035963529</v>
      </c>
      <c r="BI31">
        <v>0.40862692936811679</v>
      </c>
      <c r="BJ31">
        <v>0.41186280417895427</v>
      </c>
      <c r="BK31">
        <v>0.41527731232840209</v>
      </c>
      <c r="BL31">
        <v>0.4188761246239438</v>
      </c>
      <c r="BM31">
        <v>0.42266604026040749</v>
      </c>
      <c r="BN31">
        <v>0.42665496432137523</v>
      </c>
      <c r="BO31">
        <v>0.43085189717768391</v>
      </c>
      <c r="BP31">
        <v>0.43526693542075107</v>
      </c>
      <c r="BQ31">
        <v>0.43991128409653218</v>
      </c>
      <c r="BR31">
        <v>0.44479728013634101</v>
      </c>
      <c r="BS31">
        <v>0.44993842701419562</v>
      </c>
      <c r="BT31">
        <v>0.45534944079784007</v>
      </c>
      <c r="BU31">
        <v>0.46104630790353107</v>
      </c>
      <c r="BV31">
        <v>0.46704389580948047</v>
      </c>
      <c r="BW31">
        <v>0.47335393349706656</v>
      </c>
      <c r="BX31">
        <v>0.47998917198545299</v>
      </c>
      <c r="BY31">
        <v>0.48696341796759057</v>
      </c>
      <c r="BZ31">
        <v>0.49429157286819952</v>
      </c>
      <c r="CA31">
        <v>0.50189976731854746</v>
      </c>
      <c r="CB31">
        <v>0.50939349932435474</v>
      </c>
      <c r="CC31">
        <v>0.51677449093035832</v>
      </c>
      <c r="CD31">
        <v>0.52404443827377489</v>
      </c>
      <c r="CE31">
        <v>0.53120501197407033</v>
      </c>
      <c r="CF31">
        <v>0.53825785751686417</v>
      </c>
      <c r="CG31">
        <v>0.54520459563205947</v>
      </c>
      <c r="CH31">
        <v>0.55204682266628313</v>
      </c>
      <c r="CI31">
        <v>0.55878611094972297</v>
      </c>
      <c r="CJ31">
        <v>0.56542400915744628</v>
      </c>
      <c r="CK31">
        <v>0.57196204266528239</v>
      </c>
      <c r="CL31">
        <v>0.57840171390035067</v>
      </c>
      <c r="CM31">
        <v>0.58474450268631561</v>
      </c>
      <c r="CN31">
        <v>0.59099186658344727</v>
      </c>
      <c r="CO31">
        <v>0.59714524122356571</v>
      </c>
      <c r="CP31">
        <v>0.60320604063994621</v>
      </c>
      <c r="CQ31">
        <v>0.60917565759226167</v>
      </c>
      <c r="CR31">
        <v>0.61505546388663546</v>
      </c>
      <c r="CS31">
        <v>0.62084681069088032</v>
      </c>
      <c r="CT31">
        <v>0.62655102884499381</v>
      </c>
      <c r="CU31">
        <v>0.63216942916698249</v>
      </c>
      <c r="CV31">
        <v>0.63770330275408549</v>
      </c>
      <c r="CW31">
        <v>0.64315392127946625</v>
      </c>
      <c r="CX31">
        <v>0.6485225372844402</v>
      </c>
      <c r="CY31">
        <v>0.65381038446630646</v>
      </c>
      <c r="CZ31">
        <v>0.65901867796184888</v>
      </c>
      <c r="DA31">
        <v>0.66414861462657215</v>
      </c>
      <c r="DB31">
        <v>0.66920137330973695</v>
      </c>
      <c r="DC31">
        <v>0.67417811512525672</v>
      </c>
      <c r="DD31">
        <v>0.67907998371851996</v>
      </c>
      <c r="DE31">
        <v>0.68390810552919723</v>
      </c>
    </row>
    <row r="32" spans="1:109" x14ac:dyDescent="0.2">
      <c r="A32" t="s">
        <v>482</v>
      </c>
      <c r="B32">
        <v>0.72533958435058599</v>
      </c>
      <c r="C32">
        <v>0.63960987295360372</v>
      </c>
      <c r="D32">
        <v>0.56659169018303568</v>
      </c>
      <c r="E32">
        <v>0.5129405657093622</v>
      </c>
      <c r="F32">
        <v>0.45594386231060652</v>
      </c>
      <c r="G32">
        <v>0.49634242524750749</v>
      </c>
      <c r="H32">
        <v>0.4456169632049467</v>
      </c>
      <c r="I32">
        <v>0.4041639238458668</v>
      </c>
      <c r="J32">
        <v>0.37052341551692836</v>
      </c>
      <c r="K32">
        <v>0.34353281904133137</v>
      </c>
      <c r="L32">
        <v>0.32237547562360019</v>
      </c>
      <c r="M32">
        <v>0.30652480511459212</v>
      </c>
      <c r="N32">
        <v>0.29570771317660277</v>
      </c>
      <c r="O32">
        <v>0.28987531806997408</v>
      </c>
      <c r="P32">
        <v>0.52394420849726187</v>
      </c>
      <c r="Q32">
        <v>0.51760852435126004</v>
      </c>
      <c r="R32">
        <v>0.5112353010965468</v>
      </c>
      <c r="S32">
        <v>0.50929921645246823</v>
      </c>
      <c r="T32">
        <v>0.50732785258412771</v>
      </c>
      <c r="U32">
        <v>0.50532435010476884</v>
      </c>
      <c r="V32">
        <v>0.50329175700260953</v>
      </c>
      <c r="W32">
        <v>0.50123319631002594</v>
      </c>
      <c r="X32">
        <v>0.4991518261662054</v>
      </c>
      <c r="Y32">
        <v>0.49705081090593406</v>
      </c>
      <c r="Z32">
        <v>0.49493329886926929</v>
      </c>
      <c r="AA32">
        <v>0.50124663263340341</v>
      </c>
      <c r="AB32">
        <v>0.50748104972548591</v>
      </c>
      <c r="AC32">
        <v>0.51363753660391731</v>
      </c>
      <c r="AD32">
        <v>0.51971706739636836</v>
      </c>
      <c r="AE32">
        <v>0.52572060405391374</v>
      </c>
      <c r="AF32">
        <v>0.53164909650323977</v>
      </c>
      <c r="AG32">
        <v>0.53750348279694926</v>
      </c>
      <c r="AH32">
        <v>0.54328468926198736</v>
      </c>
      <c r="AI32">
        <v>0.53737132429189394</v>
      </c>
      <c r="AJ32">
        <v>0.5317478244262358</v>
      </c>
      <c r="AK32">
        <v>0.52640131504449461</v>
      </c>
      <c r="AL32">
        <v>0.52131950540240135</v>
      </c>
      <c r="AM32">
        <v>0.51649066276167321</v>
      </c>
      <c r="AN32">
        <v>0.5119035877854845</v>
      </c>
      <c r="AO32">
        <v>0.50754759110327197</v>
      </c>
      <c r="AP32">
        <v>0.50341247096129482</v>
      </c>
      <c r="AQ32">
        <v>0.50283959596521288</v>
      </c>
      <c r="AR32">
        <v>0.50232727450698178</v>
      </c>
      <c r="AS32">
        <v>0.5018741008970462</v>
      </c>
      <c r="AT32">
        <v>0.50147891783778697</v>
      </c>
      <c r="AU32">
        <v>0.50114079397160705</v>
      </c>
      <c r="AV32">
        <v>0.50085900446103004</v>
      </c>
      <c r="AW32">
        <v>0.50063301414300221</v>
      </c>
      <c r="AX32">
        <v>0.5004624628854033</v>
      </c>
      <c r="AY32">
        <v>0.50034715284119224</v>
      </c>
      <c r="AZ32">
        <v>0.50028703734908331</v>
      </c>
      <c r="BA32">
        <v>0.50028221127244299</v>
      </c>
      <c r="BB32">
        <v>0.50033290260263108</v>
      </c>
      <c r="BC32">
        <v>0.50043946518110738</v>
      </c>
      <c r="BD32">
        <v>0.50060237241766392</v>
      </c>
      <c r="BE32">
        <v>0.50082221190116849</v>
      </c>
      <c r="BF32">
        <v>0.50109968081503831</v>
      </c>
      <c r="BG32">
        <v>0.50143558208292704</v>
      </c>
      <c r="BH32">
        <v>0.50183082118130284</v>
      </c>
      <c r="BI32">
        <v>0.50228640356510623</v>
      </c>
      <c r="BJ32">
        <v>0.50280343266082006</v>
      </c>
      <c r="BK32">
        <v>0.5033831083883018</v>
      </c>
      <c r="BL32">
        <v>0.50402672617882738</v>
      </c>
      <c r="BM32">
        <v>0.50473567646213247</v>
      </c>
      <c r="BN32">
        <v>0.50551144459995412</v>
      </c>
      <c r="BO32">
        <v>0.50635561124776995</v>
      </c>
      <c r="BP32">
        <v>0.50726985313020523</v>
      </c>
      <c r="BQ32">
        <v>0.50825594421900366</v>
      </c>
      <c r="BR32">
        <v>0.50931575730559486</v>
      </c>
      <c r="BS32">
        <v>0.51045126596320134</v>
      </c>
      <c r="BT32">
        <v>0.51166454689615382</v>
      </c>
      <c r="BU32">
        <v>0.51295778267666681</v>
      </c>
      <c r="BV32">
        <v>0.51433059423789329</v>
      </c>
      <c r="BW32">
        <v>0.51577808237297984</v>
      </c>
      <c r="BX32">
        <v>0.51729554871372718</v>
      </c>
      <c r="BY32">
        <v>0.51887848847099027</v>
      </c>
      <c r="BZ32">
        <v>0.52052258342644131</v>
      </c>
      <c r="CA32">
        <v>0.52222369516697509</v>
      </c>
      <c r="CB32">
        <v>0.52397785855334678</v>
      </c>
      <c r="CC32">
        <v>0.52578127541493547</v>
      </c>
      <c r="CD32">
        <v>0.52763030846281644</v>
      </c>
      <c r="CE32">
        <v>0.52952147541360262</v>
      </c>
      <c r="CF32">
        <v>0.53145144331678729</v>
      </c>
      <c r="CG32">
        <v>0.53341702307857497</v>
      </c>
      <c r="CH32">
        <v>0.53541516417543789</v>
      </c>
      <c r="CI32">
        <v>0.53744294955087613</v>
      </c>
      <c r="CJ32">
        <v>0.53949759068908609</v>
      </c>
      <c r="CK32">
        <v>0.54157642285946828</v>
      </c>
      <c r="CL32">
        <v>0.54367690052611539</v>
      </c>
      <c r="CM32">
        <v>0.54579659291662985</v>
      </c>
      <c r="CN32">
        <v>0.54793317974481648</v>
      </c>
      <c r="CO32">
        <v>0.55008444708198767</v>
      </c>
      <c r="CP32">
        <v>0.55224828337180198</v>
      </c>
      <c r="CQ32">
        <v>0.55442267558373381</v>
      </c>
      <c r="CR32">
        <v>0.55660570550044319</v>
      </c>
      <c r="CS32">
        <v>0.55879554613447813</v>
      </c>
      <c r="CT32">
        <v>0.56099045826990079</v>
      </c>
      <c r="CU32">
        <v>0.5631887871245822</v>
      </c>
      <c r="CV32">
        <v>0.56538895912905518</v>
      </c>
      <c r="CW32">
        <v>0.56758947881795985</v>
      </c>
      <c r="CX32">
        <v>0.5697889258302502</v>
      </c>
      <c r="CY32">
        <v>0.57198595201446356</v>
      </c>
      <c r="CZ32">
        <v>0.57417927863548124</v>
      </c>
      <c r="DA32">
        <v>0.57636769367933127</v>
      </c>
      <c r="DB32">
        <v>0.57855004925270226</v>
      </c>
      <c r="DC32">
        <v>0.58072525907395167</v>
      </c>
      <c r="DD32">
        <v>0.58289229605250115</v>
      </c>
      <c r="DE32">
        <v>0.58505018995361813</v>
      </c>
    </row>
    <row r="33" spans="1:109" x14ac:dyDescent="0.2">
      <c r="A33" t="s">
        <v>483</v>
      </c>
      <c r="B33">
        <v>0.34302524566650389</v>
      </c>
      <c r="C33">
        <v>0.42829046174151414</v>
      </c>
      <c r="D33">
        <v>0.50503699711112449</v>
      </c>
      <c r="E33">
        <v>0.49577803398737935</v>
      </c>
      <c r="F33">
        <v>0.53048428252988789</v>
      </c>
      <c r="G33">
        <v>0.49567155937933915</v>
      </c>
      <c r="H33">
        <v>0.48700776664342826</v>
      </c>
      <c r="I33">
        <v>0.4860368918190367</v>
      </c>
      <c r="J33">
        <v>0.49142378528445269</v>
      </c>
      <c r="K33">
        <v>0.50168788957552579</v>
      </c>
      <c r="L33">
        <v>0.51557548458977809</v>
      </c>
      <c r="M33">
        <v>0.53204329195550548</v>
      </c>
      <c r="N33">
        <v>0.55023415282154808</v>
      </c>
      <c r="O33">
        <v>0.5694530428406015</v>
      </c>
      <c r="P33">
        <v>0.91722509031563249</v>
      </c>
      <c r="Q33">
        <v>0.92757195402617842</v>
      </c>
      <c r="R33">
        <v>0.93662545977290612</v>
      </c>
      <c r="S33">
        <v>0.93784626853634134</v>
      </c>
      <c r="T33">
        <v>0.93855598330694512</v>
      </c>
      <c r="U33">
        <v>0.93808756048642483</v>
      </c>
      <c r="V33">
        <v>0.93663305540258668</v>
      </c>
      <c r="W33">
        <v>0.93434397608822495</v>
      </c>
      <c r="X33">
        <v>0.93134664763013575</v>
      </c>
      <c r="Y33">
        <v>0.92774423451237698</v>
      </c>
      <c r="Z33">
        <v>0.9236216038127123</v>
      </c>
      <c r="AA33">
        <v>0.92457633376505344</v>
      </c>
      <c r="AB33">
        <v>0.92551912959299032</v>
      </c>
      <c r="AC33">
        <v>0.92645014047307794</v>
      </c>
      <c r="AD33">
        <v>0.92736951371716447</v>
      </c>
      <c r="AE33">
        <v>0.92827739479569993</v>
      </c>
      <c r="AF33">
        <v>0.92917392736075366</v>
      </c>
      <c r="AG33">
        <v>0.93005925326874428</v>
      </c>
      <c r="AH33">
        <v>0.93093351260288493</v>
      </c>
      <c r="AI33">
        <v>0.93590505340042129</v>
      </c>
      <c r="AJ33">
        <v>0.94051873297128985</v>
      </c>
      <c r="AK33">
        <v>0.94480031086625516</v>
      </c>
      <c r="AL33">
        <v>0.94877369241325427</v>
      </c>
      <c r="AM33">
        <v>0.95246106218798088</v>
      </c>
      <c r="AN33">
        <v>0.95588300787699632</v>
      </c>
      <c r="AO33">
        <v>0.95905863522493162</v>
      </c>
      <c r="AP33">
        <v>0.9620056747075646</v>
      </c>
      <c r="AQ33">
        <v>0.96209116663292937</v>
      </c>
      <c r="AR33">
        <v>0.96153705876470064</v>
      </c>
      <c r="AS33">
        <v>0.96040486951907789</v>
      </c>
      <c r="AT33">
        <v>0.95874917282115701</v>
      </c>
      <c r="AU33">
        <v>0.9566185420581228</v>
      </c>
      <c r="AV33">
        <v>0.95405634089941282</v>
      </c>
      <c r="AW33">
        <v>0.95110138985273696</v>
      </c>
      <c r="AX33">
        <v>0.94778853127781781</v>
      </c>
      <c r="AY33">
        <v>0.94414911088185849</v>
      </c>
      <c r="AZ33">
        <v>0.94021139009907839</v>
      </c>
      <c r="BA33">
        <v>0.93600090094189248</v>
      </c>
      <c r="BB33">
        <v>0.93154075270695158</v>
      </c>
      <c r="BC33">
        <v>0.9268518981805457</v>
      </c>
      <c r="BD33">
        <v>0.921953365607175</v>
      </c>
      <c r="BE33">
        <v>0.91686246158170093</v>
      </c>
      <c r="BF33">
        <v>0.91159494913839789</v>
      </c>
      <c r="BG33">
        <v>0.90616520459296501</v>
      </c>
      <c r="BH33">
        <v>0.90058635611047222</v>
      </c>
      <c r="BI33">
        <v>0.8948704064957792</v>
      </c>
      <c r="BJ33">
        <v>0.88902834231175931</v>
      </c>
      <c r="BK33">
        <v>0.88307023110795568</v>
      </c>
      <c r="BL33">
        <v>0.87700530827490264</v>
      </c>
      <c r="BM33">
        <v>0.87084205481685673</v>
      </c>
      <c r="BN33">
        <v>0.86458826714979842</v>
      </c>
      <c r="BO33">
        <v>0.85825111987566483</v>
      </c>
      <c r="BP33">
        <v>0.85183722235253712</v>
      </c>
      <c r="BQ33">
        <v>0.84535266976963164</v>
      </c>
      <c r="BR33">
        <v>0.83880308934195846</v>
      </c>
      <c r="BS33">
        <v>0.83219368215957101</v>
      </c>
      <c r="BT33">
        <v>0.8255292611581293</v>
      </c>
      <c r="BU33">
        <v>0.81881428561912883</v>
      </c>
      <c r="BV33">
        <v>0.81205289255804647</v>
      </c>
      <c r="BW33">
        <v>0.80524897433380649</v>
      </c>
      <c r="BX33">
        <v>0.79840628278233006</v>
      </c>
      <c r="BY33">
        <v>0.79152843779908699</v>
      </c>
      <c r="BZ33">
        <v>0.78461893491685475</v>
      </c>
      <c r="CA33">
        <v>0.77768115200883514</v>
      </c>
      <c r="CB33">
        <v>0.7707183552310517</v>
      </c>
      <c r="CC33">
        <v>0.76373370430367826</v>
      </c>
      <c r="CD33">
        <v>0.75673025721840281</v>
      </c>
      <c r="CE33">
        <v>0.74971097444790036</v>
      </c>
      <c r="CF33">
        <v>0.74267872272379143</v>
      </c>
      <c r="CG33">
        <v>0.73563627844094737</v>
      </c>
      <c r="CH33">
        <v>0.72858633073852463</v>
      </c>
      <c r="CI33">
        <v>0.72153251300300802</v>
      </c>
      <c r="CJ33">
        <v>0.71447871756482306</v>
      </c>
      <c r="CK33">
        <v>0.70742859682072534</v>
      </c>
      <c r="CL33">
        <v>0.70038557871812834</v>
      </c>
      <c r="CM33">
        <v>0.69335288099253045</v>
      </c>
      <c r="CN33">
        <v>0.68633352428110472</v>
      </c>
      <c r="CO33">
        <v>0.67933034422145044</v>
      </c>
      <c r="CP33">
        <v>0.67234600263222588</v>
      </c>
      <c r="CQ33">
        <v>0.66538299786164135</v>
      </c>
      <c r="CR33">
        <v>0.65844367438038021</v>
      </c>
      <c r="CS33">
        <v>0.65153023168725632</v>
      </c>
      <c r="CT33">
        <v>0.64464473258865396</v>
      </c>
      <c r="CU33">
        <v>0.637789110906399</v>
      </c>
      <c r="CV33">
        <v>0.63096517866306945</v>
      </c>
      <c r="CW33">
        <v>0.62417463278876661</v>
      </c>
      <c r="CX33">
        <v>0.61741906138895719</v>
      </c>
      <c r="CY33">
        <v>0.61069994960908536</v>
      </c>
      <c r="CZ33">
        <v>0.60401868512818147</v>
      </c>
      <c r="DA33">
        <v>0.59737656331060884</v>
      </c>
      <c r="DB33">
        <v>0.59077479204233907</v>
      </c>
      <c r="DC33">
        <v>0.58421508961577007</v>
      </c>
      <c r="DD33">
        <v>0.57770034841165774</v>
      </c>
      <c r="DE33">
        <v>0.57123319638099535</v>
      </c>
    </row>
    <row r="34" spans="1:109" x14ac:dyDescent="0.2">
      <c r="A34" t="s">
        <v>484</v>
      </c>
      <c r="B34">
        <v>0.81556205749511723</v>
      </c>
      <c r="C34">
        <v>0.81544634853073472</v>
      </c>
      <c r="D34">
        <v>0.84022091042316327</v>
      </c>
      <c r="E34">
        <v>0.86166972442561329</v>
      </c>
      <c r="F34">
        <v>0.87904913920808114</v>
      </c>
      <c r="G34">
        <v>0.81273885840460813</v>
      </c>
      <c r="H34">
        <v>0.80282732468868856</v>
      </c>
      <c r="I34">
        <v>0.77636961116158865</v>
      </c>
      <c r="J34">
        <v>0.74011793677244109</v>
      </c>
      <c r="K34">
        <v>0.69814655888039179</v>
      </c>
      <c r="L34">
        <v>0.65309191544836398</v>
      </c>
      <c r="M34">
        <v>0.60676390163304972</v>
      </c>
      <c r="N34">
        <v>0.56044632186835885</v>
      </c>
      <c r="O34">
        <v>0.5150701453752804</v>
      </c>
      <c r="P34">
        <v>0.91314660408722648</v>
      </c>
      <c r="Q34">
        <v>0.92400327857632314</v>
      </c>
      <c r="R34">
        <v>0.93350286875428279</v>
      </c>
      <c r="S34">
        <v>0.93926405786038569</v>
      </c>
      <c r="T34">
        <v>0.94452610814208371</v>
      </c>
      <c r="U34">
        <v>0.9493322640687808</v>
      </c>
      <c r="V34">
        <v>0.95372202348861501</v>
      </c>
      <c r="W34">
        <v>0.9577314622288321</v>
      </c>
      <c r="X34">
        <v>0.9613935305733794</v>
      </c>
      <c r="Y34">
        <v>0.96473832405422699</v>
      </c>
      <c r="Z34">
        <v>0.96779333078182628</v>
      </c>
      <c r="AA34">
        <v>0.96836392642266789</v>
      </c>
      <c r="AB34">
        <v>0.96892441299624954</v>
      </c>
      <c r="AC34">
        <v>0.96947496960180279</v>
      </c>
      <c r="AD34">
        <v>0.97001577216551349</v>
      </c>
      <c r="AE34">
        <v>0.97054699349673723</v>
      </c>
      <c r="AF34">
        <v>0.97106880334321954</v>
      </c>
      <c r="AG34">
        <v>0.97158136844533749</v>
      </c>
      <c r="AH34">
        <v>0.97208485258938004</v>
      </c>
      <c r="AI34">
        <v>0.97074937013313989</v>
      </c>
      <c r="AJ34">
        <v>0.96944264489280263</v>
      </c>
      <c r="AK34">
        <v>0.96816407358889123</v>
      </c>
      <c r="AL34">
        <v>0.96691306513495967</v>
      </c>
      <c r="AM34">
        <v>0.96568904040493508</v>
      </c>
      <c r="AN34">
        <v>0.96449143200447263</v>
      </c>
      <c r="AO34">
        <v>0.96331968404626966</v>
      </c>
      <c r="AP34">
        <v>0.9621732519292826</v>
      </c>
      <c r="AQ34">
        <v>0.96057587669026911</v>
      </c>
      <c r="AR34">
        <v>0.95871640157971449</v>
      </c>
      <c r="AS34">
        <v>0.95660896066040768</v>
      </c>
      <c r="AT34">
        <v>0.95426714432380133</v>
      </c>
      <c r="AU34">
        <v>0.95170401765962909</v>
      </c>
      <c r="AV34">
        <v>0.94893213824633249</v>
      </c>
      <c r="AW34">
        <v>0.9459635733797882</v>
      </c>
      <c r="AX34">
        <v>0.94280991675731518</v>
      </c>
      <c r="AY34">
        <v>0.93948230463344107</v>
      </c>
      <c r="AZ34">
        <v>0.93599143146342467</v>
      </c>
      <c r="BA34">
        <v>0.93234756505006078</v>
      </c>
      <c r="BB34">
        <v>0.92856056120883701</v>
      </c>
      <c r="BC34">
        <v>0.92463987796607006</v>
      </c>
      <c r="BD34">
        <v>0.92059458930421656</v>
      </c>
      <c r="BE34">
        <v>0.91643339846813654</v>
      </c>
      <c r="BF34">
        <v>0.91216465084568177</v>
      </c>
      <c r="BG34">
        <v>0.90779634643558549</v>
      </c>
      <c r="BH34">
        <v>0.9033361519152483</v>
      </c>
      <c r="BI34">
        <v>0.89879141232064219</v>
      </c>
      <c r="BJ34">
        <v>0.8941691623501935</v>
      </c>
      <c r="BK34">
        <v>0.88947613730415465</v>
      </c>
      <c r="BL34">
        <v>0.88471878367063495</v>
      </c>
      <c r="BM34">
        <v>0.87990326936912733</v>
      </c>
      <c r="BN34">
        <v>0.87503549366205013</v>
      </c>
      <c r="BO34">
        <v>0.87012109674450699</v>
      </c>
      <c r="BP34">
        <v>0.86516546902216906</v>
      </c>
      <c r="BQ34">
        <v>0.86017376008688551</v>
      </c>
      <c r="BR34">
        <v>0.85515088739934675</v>
      </c>
      <c r="BS34">
        <v>0.8501015446878436</v>
      </c>
      <c r="BT34">
        <v>0.84503021007189849</v>
      </c>
      <c r="BU34">
        <v>0.8399411539192837</v>
      </c>
      <c r="BV34">
        <v>0.83483844644468486</v>
      </c>
      <c r="BW34">
        <v>0.82972596505802565</v>
      </c>
      <c r="BX34">
        <v>0.82460740147022593</v>
      </c>
      <c r="BY34">
        <v>0.81948626856393603</v>
      </c>
      <c r="BZ34">
        <v>0.81436590703656364</v>
      </c>
      <c r="CA34">
        <v>0.80924949182268957</v>
      </c>
      <c r="CB34">
        <v>0.80414003830275771</v>
      </c>
      <c r="CC34">
        <v>0.79904040830471601</v>
      </c>
      <c r="CD34">
        <v>0.79395331590508722</v>
      </c>
      <c r="CE34">
        <v>0.78888133303575136</v>
      </c>
      <c r="CF34">
        <v>0.78382689490253399</v>
      </c>
      <c r="CG34">
        <v>0.77879230522151111</v>
      </c>
      <c r="CH34">
        <v>0.77377974127876281</v>
      </c>
      <c r="CI34">
        <v>0.76879125881913579</v>
      </c>
      <c r="CJ34">
        <v>0.76382879676940652</v>
      </c>
      <c r="CK34">
        <v>0.75889418180107338</v>
      </c>
      <c r="CL34">
        <v>0.75398913273785051</v>
      </c>
      <c r="CM34">
        <v>0.74911526481277857</v>
      </c>
      <c r="CN34">
        <v>0.74427409377972364</v>
      </c>
      <c r="CO34">
        <v>0.73946703988388585</v>
      </c>
      <c r="CP34">
        <v>0.73469543169580365</v>
      </c>
      <c r="CQ34">
        <v>0.72996050981320015</v>
      </c>
      <c r="CR34">
        <v>0.72526343043488672</v>
      </c>
      <c r="CS34">
        <v>0.72060526881081244</v>
      </c>
      <c r="CT34">
        <v>0.71598702257222058</v>
      </c>
      <c r="CU34">
        <v>0.71140961494575494</v>
      </c>
      <c r="CV34">
        <v>0.70687389785524013</v>
      </c>
      <c r="CW34">
        <v>0.70238065491474677</v>
      </c>
      <c r="CX34">
        <v>0.69793060431644272</v>
      </c>
      <c r="CY34">
        <v>0.6935244016166221</v>
      </c>
      <c r="CZ34">
        <v>0.68916264242320291</v>
      </c>
      <c r="DA34">
        <v>0.68484586498788058</v>
      </c>
      <c r="DB34">
        <v>0.68057455270602851</v>
      </c>
      <c r="DC34">
        <v>0.67634913652734052</v>
      </c>
      <c r="DD34">
        <v>0.67216999728011917</v>
      </c>
      <c r="DE34">
        <v>0.6680374679120229</v>
      </c>
    </row>
    <row r="35" spans="1:109" x14ac:dyDescent="0.2">
      <c r="A35" t="s">
        <v>485</v>
      </c>
      <c r="B35">
        <v>0.74665122985839849</v>
      </c>
      <c r="C35">
        <v>0.77970729560728558</v>
      </c>
      <c r="D35">
        <v>0.80927948340188294</v>
      </c>
      <c r="E35">
        <v>0.83488188793302776</v>
      </c>
      <c r="F35">
        <v>0.85704741462078027</v>
      </c>
      <c r="G35">
        <v>0.84969346099705212</v>
      </c>
      <c r="H35">
        <v>0.86987067571873133</v>
      </c>
      <c r="I35">
        <v>0.88630776656083632</v>
      </c>
      <c r="J35">
        <v>0.89113182920052414</v>
      </c>
      <c r="K35">
        <v>0.88532788481442082</v>
      </c>
      <c r="L35">
        <v>0.87166241792070065</v>
      </c>
      <c r="M35">
        <v>0.85235068681638515</v>
      </c>
      <c r="N35">
        <v>0.8291548638529348</v>
      </c>
      <c r="O35">
        <v>0.8034657602944375</v>
      </c>
      <c r="P35">
        <v>0.51647374265423474</v>
      </c>
      <c r="Q35">
        <v>0.51441164714024545</v>
      </c>
      <c r="R35">
        <v>0.51240110112318171</v>
      </c>
      <c r="S35">
        <v>0.52907844649497038</v>
      </c>
      <c r="T35">
        <v>0.54516387300702196</v>
      </c>
      <c r="U35">
        <v>0.5606783892748386</v>
      </c>
      <c r="V35">
        <v>0.57564225826793047</v>
      </c>
      <c r="W35">
        <v>0.59007502377457488</v>
      </c>
      <c r="X35">
        <v>0.60399553592727739</v>
      </c>
      <c r="Y35">
        <v>0.61742197582227387</v>
      </c>
      <c r="Z35">
        <v>0.63037187926522686</v>
      </c>
      <c r="AA35">
        <v>0.62927594635082185</v>
      </c>
      <c r="AB35">
        <v>0.62820736387316667</v>
      </c>
      <c r="AC35">
        <v>0.62716544926640294</v>
      </c>
      <c r="AD35">
        <v>0.62614953699899456</v>
      </c>
      <c r="AE35">
        <v>0.62515897814861365</v>
      </c>
      <c r="AF35">
        <v>0.62419313998763648</v>
      </c>
      <c r="AG35">
        <v>0.62325140557898318</v>
      </c>
      <c r="AH35">
        <v>0.62233317338204419</v>
      </c>
      <c r="AI35">
        <v>0.6117165885500383</v>
      </c>
      <c r="AJ35">
        <v>0.60138927111854801</v>
      </c>
      <c r="AK35">
        <v>0.59134333949190709</v>
      </c>
      <c r="AL35">
        <v>0.58157112682229228</v>
      </c>
      <c r="AM35">
        <v>0.57206517515854283</v>
      </c>
      <c r="AN35">
        <v>0.5628182297544061</v>
      </c>
      <c r="AO35">
        <v>0.55382323353186502</v>
      </c>
      <c r="AP35">
        <v>0.5450733216953213</v>
      </c>
      <c r="AQ35">
        <v>0.55569705188368079</v>
      </c>
      <c r="AR35">
        <v>0.56607269012998129</v>
      </c>
      <c r="AS35">
        <v>0.57620603003125725</v>
      </c>
      <c r="AT35">
        <v>0.58610272988886891</v>
      </c>
      <c r="AU35">
        <v>0.5957683158680106</v>
      </c>
      <c r="AV35">
        <v>0.60520818508343677</v>
      </c>
      <c r="AW35">
        <v>0.61442760861312773</v>
      </c>
      <c r="AX35">
        <v>0.62343173444157896</v>
      </c>
      <c r="AY35">
        <v>0.63222559033435621</v>
      </c>
      <c r="AZ35">
        <v>0.64081408664552275</v>
      </c>
      <c r="BA35">
        <v>0.6492020190595057</v>
      </c>
      <c r="BB35">
        <v>0.65739407126893257</v>
      </c>
      <c r="BC35">
        <v>0.66539481758993313</v>
      </c>
      <c r="BD35">
        <v>0.67320872551636746</v>
      </c>
      <c r="BE35">
        <v>0.68084015821440569</v>
      </c>
      <c r="BF35">
        <v>0.68829337695885318</v>
      </c>
      <c r="BG35">
        <v>0.6955725435125808</v>
      </c>
      <c r="BH35">
        <v>0.70268172245038951</v>
      </c>
      <c r="BI35">
        <v>0.7096248834286063</v>
      </c>
      <c r="BJ35">
        <v>0.71640590340167964</v>
      </c>
      <c r="BK35">
        <v>0.72302856878701083</v>
      </c>
      <c r="BL35">
        <v>0.72949657757923181</v>
      </c>
      <c r="BM35">
        <v>0.73581354141510824</v>
      </c>
      <c r="BN35">
        <v>0.74198298759022219</v>
      </c>
      <c r="BO35">
        <v>0.74800836102855961</v>
      </c>
      <c r="BP35">
        <v>0.7538930262061031</v>
      </c>
      <c r="BQ35">
        <v>0.75964026902950366</v>
      </c>
      <c r="BR35">
        <v>0.76525329867088043</v>
      </c>
      <c r="BS35">
        <v>0.77073524935977311</v>
      </c>
      <c r="BT35">
        <v>0.77608918213324751</v>
      </c>
      <c r="BU35">
        <v>0.78131808654513202</v>
      </c>
      <c r="BV35">
        <v>0.78642488233533792</v>
      </c>
      <c r="BW35">
        <v>0.79141242106019793</v>
      </c>
      <c r="BX35">
        <v>0.79628348768473101</v>
      </c>
      <c r="BY35">
        <v>0.80104080213772422</v>
      </c>
      <c r="BZ35">
        <v>0.80568702083049926</v>
      </c>
      <c r="CA35">
        <v>0.81022473814021168</v>
      </c>
      <c r="CB35">
        <v>0.81465648785851108</v>
      </c>
      <c r="CC35">
        <v>0.81898474460637183</v>
      </c>
      <c r="CD35">
        <v>0.82321192521588304</v>
      </c>
      <c r="CE35">
        <v>0.82734039007977067</v>
      </c>
      <c r="CF35">
        <v>0.8313724444694045</v>
      </c>
      <c r="CG35">
        <v>0.83531033982202629</v>
      </c>
      <c r="CH35">
        <v>0.83915627499791767</v>
      </c>
      <c r="CI35">
        <v>0.84291239750821023</v>
      </c>
      <c r="CJ35">
        <v>0.84658080471402231</v>
      </c>
      <c r="CK35">
        <v>0.85016354499759361</v>
      </c>
      <c r="CL35">
        <v>0.8536626189060702</v>
      </c>
      <c r="CM35">
        <v>0.85707998026857934</v>
      </c>
      <c r="CN35">
        <v>0.8604175372872177</v>
      </c>
      <c r="CO35">
        <v>0.86367715360256203</v>
      </c>
      <c r="CP35">
        <v>0.86686064933429752</v>
      </c>
      <c r="CQ35">
        <v>0.8699698020975446</v>
      </c>
      <c r="CR35">
        <v>0.87300634799545196</v>
      </c>
      <c r="CS35">
        <v>0.87597198258860975</v>
      </c>
      <c r="CT35">
        <v>0.87886836184182493</v>
      </c>
      <c r="CU35">
        <v>0.88169710304878612</v>
      </c>
      <c r="CV35">
        <v>0.88445978573513595</v>
      </c>
      <c r="CW35">
        <v>0.88715795254045371</v>
      </c>
      <c r="CX35">
        <v>0.88979311007964157</v>
      </c>
      <c r="CY35">
        <v>0.8923667297841954</v>
      </c>
      <c r="CZ35">
        <v>0.89488024872382921</v>
      </c>
      <c r="DA35">
        <v>0.89733507040891303</v>
      </c>
      <c r="DB35">
        <v>0.89973256557417169</v>
      </c>
      <c r="DC35">
        <v>0.9020740729440816</v>
      </c>
      <c r="DD35">
        <v>0.90436089998039426</v>
      </c>
      <c r="DE35">
        <v>0.90659432361220282</v>
      </c>
    </row>
    <row r="36" spans="1:109" x14ac:dyDescent="0.2">
      <c r="A36" t="s">
        <v>486</v>
      </c>
      <c r="B36">
        <v>0.42901557922363281</v>
      </c>
      <c r="C36">
        <v>0.5056647745092242</v>
      </c>
      <c r="D36">
        <v>0.51240846287643227</v>
      </c>
      <c r="E36">
        <v>0.57786296143835325</v>
      </c>
      <c r="F36">
        <v>0.63453081983980975</v>
      </c>
      <c r="G36">
        <v>0.60694236516579969</v>
      </c>
      <c r="H36">
        <v>0.62343973214197634</v>
      </c>
      <c r="I36">
        <v>0.63772248544912224</v>
      </c>
      <c r="J36">
        <v>0.65008791578278524</v>
      </c>
      <c r="K36">
        <v>0.66079340540712617</v>
      </c>
      <c r="L36">
        <v>0.67006178547998729</v>
      </c>
      <c r="M36">
        <v>0.67808597420832817</v>
      </c>
      <c r="N36">
        <v>0.68503299237567417</v>
      </c>
      <c r="O36">
        <v>0.6910474398234242</v>
      </c>
      <c r="P36">
        <v>0.49905539301984359</v>
      </c>
      <c r="Q36">
        <v>0.5049064120200909</v>
      </c>
      <c r="R36">
        <v>0.51061119560805479</v>
      </c>
      <c r="S36">
        <v>0.50965111691668619</v>
      </c>
      <c r="T36">
        <v>0.50871472098544002</v>
      </c>
      <c r="U36">
        <v>0.5078014236193622</v>
      </c>
      <c r="V36">
        <v>0.50691065503413923</v>
      </c>
      <c r="W36">
        <v>0.50604185950062341</v>
      </c>
      <c r="X36">
        <v>0.50519449499812696</v>
      </c>
      <c r="Y36">
        <v>0.50436803287626797</v>
      </c>
      <c r="Z36">
        <v>0.50356195752515831</v>
      </c>
      <c r="AA36">
        <v>0.50403192280816755</v>
      </c>
      <c r="AB36">
        <v>0.50449036121311919</v>
      </c>
      <c r="AC36">
        <v>0.50493755546072161</v>
      </c>
      <c r="AD36">
        <v>0.50537378133736877</v>
      </c>
      <c r="AE36">
        <v>0.50579930786521832</v>
      </c>
      <c r="AF36">
        <v>0.50621439746809882</v>
      </c>
      <c r="AG36">
        <v>0.5066193061333476</v>
      </c>
      <c r="AH36">
        <v>0.50701428356967904</v>
      </c>
      <c r="AI36">
        <v>0.50691521125805761</v>
      </c>
      <c r="AJ36">
        <v>0.50681862638551833</v>
      </c>
      <c r="AK36">
        <v>0.50672446649916114</v>
      </c>
      <c r="AL36">
        <v>0.50663267071411</v>
      </c>
      <c r="AM36">
        <v>0.50654317967414431</v>
      </c>
      <c r="AN36">
        <v>0.50645593551331847</v>
      </c>
      <c r="AO36">
        <v>0.50637088181854495</v>
      </c>
      <c r="AP36">
        <v>0.50628796359311701</v>
      </c>
      <c r="AQ36">
        <v>0.49944372668762571</v>
      </c>
      <c r="AR36">
        <v>0.4927722221653224</v>
      </c>
      <c r="AS36">
        <v>0.48626909066860252</v>
      </c>
      <c r="AT36">
        <v>0.47993008285975675</v>
      </c>
      <c r="AU36">
        <v>0.47375105664432876</v>
      </c>
      <c r="AV36">
        <v>0.46772797446454861</v>
      </c>
      <c r="AW36">
        <v>0.46185690066107349</v>
      </c>
      <c r="AX36">
        <v>0.45613399890131201</v>
      </c>
      <c r="AY36">
        <v>0.45055552967265144</v>
      </c>
      <c r="AZ36">
        <v>0.44511784783895009</v>
      </c>
      <c r="BA36">
        <v>0.43981740025869775</v>
      </c>
      <c r="BB36">
        <v>0.43465072346328859</v>
      </c>
      <c r="BC36">
        <v>0.42961444139388855</v>
      </c>
      <c r="BD36">
        <v>0.42470526319541918</v>
      </c>
      <c r="BE36">
        <v>0.41991998106621592</v>
      </c>
      <c r="BF36">
        <v>0.41525546816195591</v>
      </c>
      <c r="BG36">
        <v>0.41070867655248594</v>
      </c>
      <c r="BH36">
        <v>0.40627663523021496</v>
      </c>
      <c r="BI36">
        <v>0.40195644816877024</v>
      </c>
      <c r="BJ36">
        <v>0.39774529243064843</v>
      </c>
      <c r="BK36">
        <v>0.39364041632262509</v>
      </c>
      <c r="BL36">
        <v>0.38963913759771707</v>
      </c>
      <c r="BM36">
        <v>0.38573884170252354</v>
      </c>
      <c r="BN36">
        <v>0.38193698006879961</v>
      </c>
      <c r="BO36">
        <v>0.37823106844814691</v>
      </c>
      <c r="BP36">
        <v>0.37461868528873227</v>
      </c>
      <c r="BQ36">
        <v>0.37109747015297462</v>
      </c>
      <c r="BR36">
        <v>0.36766512217516545</v>
      </c>
      <c r="BS36">
        <v>0.36431939855801537</v>
      </c>
      <c r="BT36">
        <v>0.36105811310714431</v>
      </c>
      <c r="BU36">
        <v>0.35787913480255762</v>
      </c>
      <c r="BV36">
        <v>0.35478038640617499</v>
      </c>
      <c r="BW36">
        <v>0.3517598431045017</v>
      </c>
      <c r="BX36">
        <v>0.34881553118555597</v>
      </c>
      <c r="BY36">
        <v>0.34594552674918738</v>
      </c>
      <c r="BZ36">
        <v>0.34314795444994373</v>
      </c>
      <c r="CA36">
        <v>0.34042098627166517</v>
      </c>
      <c r="CB36">
        <v>0.33776284033300458</v>
      </c>
      <c r="CC36">
        <v>0.33517177972309381</v>
      </c>
      <c r="CD36">
        <v>0.33264611136659483</v>
      </c>
      <c r="CE36">
        <v>0.33018418491739465</v>
      </c>
      <c r="CF36">
        <v>0.32778439168022028</v>
      </c>
      <c r="CG36">
        <v>0.32544516355947006</v>
      </c>
      <c r="CH36">
        <v>0.32316497203457373</v>
      </c>
      <c r="CI36">
        <v>0.32094232716121196</v>
      </c>
      <c r="CJ36">
        <v>0.31877577659774303</v>
      </c>
      <c r="CK36">
        <v>0.31666390465619981</v>
      </c>
      <c r="CL36">
        <v>0.31460533137723762</v>
      </c>
      <c r="CM36">
        <v>0.31259871162842823</v>
      </c>
      <c r="CN36">
        <v>0.31064273422531058</v>
      </c>
      <c r="CO36">
        <v>0.30873612107462423</v>
      </c>
      <c r="CP36">
        <v>0.30687762633916565</v>
      </c>
      <c r="CQ36">
        <v>0.30506603562372142</v>
      </c>
      <c r="CR36">
        <v>0.30330016518154668</v>
      </c>
      <c r="CS36">
        <v>0.30157886114087001</v>
      </c>
      <c r="CT36">
        <v>0.29990099875091975</v>
      </c>
      <c r="CU36">
        <v>0.29826548164697869</v>
      </c>
      <c r="CV36">
        <v>0.29667124113398696</v>
      </c>
      <c r="CW36">
        <v>0.29511723548822538</v>
      </c>
      <c r="CX36">
        <v>0.29360244927662227</v>
      </c>
      <c r="CY36">
        <v>0.29212589269323974</v>
      </c>
      <c r="CZ36">
        <v>0.29068660091250531</v>
      </c>
      <c r="DA36">
        <v>0.28928363345876629</v>
      </c>
      <c r="DB36">
        <v>0.28791607359175547</v>
      </c>
      <c r="DC36">
        <v>0.28658302770756594</v>
      </c>
      <c r="DD36">
        <v>0.285283624754744</v>
      </c>
      <c r="DE36">
        <v>0.2840170156651185</v>
      </c>
    </row>
    <row r="37" spans="1:109" x14ac:dyDescent="0.2">
      <c r="A37" t="s">
        <v>487</v>
      </c>
      <c r="B37">
        <v>0.46971038818359373</v>
      </c>
      <c r="C37">
        <v>0.46066358661429635</v>
      </c>
      <c r="D37">
        <v>0.5068385554305268</v>
      </c>
      <c r="E37">
        <v>0.50358255810827146</v>
      </c>
      <c r="F37">
        <v>0.50700593955422402</v>
      </c>
      <c r="G37">
        <v>0.50199936862816563</v>
      </c>
      <c r="H37">
        <v>0.45608538716736047</v>
      </c>
      <c r="I37">
        <v>0.4163349184107078</v>
      </c>
      <c r="J37">
        <v>0.38192056975043126</v>
      </c>
      <c r="K37">
        <v>0.35212601811982031</v>
      </c>
      <c r="L37">
        <v>0.3263310999700601</v>
      </c>
      <c r="M37">
        <v>0.30399890277501257</v>
      </c>
      <c r="N37">
        <v>0.2846645893779714</v>
      </c>
      <c r="O37">
        <v>0.26792572256293612</v>
      </c>
      <c r="P37">
        <v>0.63639103002523334</v>
      </c>
      <c r="Q37">
        <v>0.62428069933616182</v>
      </c>
      <c r="R37">
        <v>0.61255070805545209</v>
      </c>
      <c r="S37">
        <v>0.61216940091406369</v>
      </c>
      <c r="T37">
        <v>0.61176811896314065</v>
      </c>
      <c r="U37">
        <v>0.61139721543073944</v>
      </c>
      <c r="V37">
        <v>0.61110155490176787</v>
      </c>
      <c r="W37">
        <v>0.61092131716696529</v>
      </c>
      <c r="X37">
        <v>0.61088804721997203</v>
      </c>
      <c r="Y37">
        <v>0.61102993853104481</v>
      </c>
      <c r="Z37">
        <v>0.61136439075756654</v>
      </c>
      <c r="AA37">
        <v>0.61106205114474033</v>
      </c>
      <c r="AB37">
        <v>0.6097856528676735</v>
      </c>
      <c r="AC37">
        <v>0.60766078467592932</v>
      </c>
      <c r="AD37">
        <v>0.60479822780778247</v>
      </c>
      <c r="AE37">
        <v>0.60129565975667509</v>
      </c>
      <c r="AF37">
        <v>0.59723916758734474</v>
      </c>
      <c r="AG37">
        <v>0.59270459208449711</v>
      </c>
      <c r="AH37">
        <v>0.58775872131558182</v>
      </c>
      <c r="AI37">
        <v>0.58060174991527258</v>
      </c>
      <c r="AJ37">
        <v>0.57394997503263456</v>
      </c>
      <c r="AK37">
        <v>0.56778001320407645</v>
      </c>
      <c r="AL37">
        <v>0.56207045024310676</v>
      </c>
      <c r="AM37">
        <v>0.55680171325946537</v>
      </c>
      <c r="AN37">
        <v>0.55195595348825777</v>
      </c>
      <c r="AO37">
        <v>0.54751693891897646</v>
      </c>
      <c r="AP37">
        <v>0.54346995587182489</v>
      </c>
      <c r="AQ37">
        <v>0.53454538070818114</v>
      </c>
      <c r="AR37">
        <v>0.52610558764906168</v>
      </c>
      <c r="AS37">
        <v>0.51814065546172317</v>
      </c>
      <c r="AT37">
        <v>0.51064103270700789</v>
      </c>
      <c r="AU37">
        <v>0.50359750527588454</v>
      </c>
      <c r="AV37">
        <v>0.49700117299039004</v>
      </c>
      <c r="AW37">
        <v>0.49084343438743794</v>
      </c>
      <c r="AX37">
        <v>0.48511597875718954</v>
      </c>
      <c r="AY37">
        <v>0.47981078451585235</v>
      </c>
      <c r="AZ37">
        <v>0.47492012303841014</v>
      </c>
      <c r="BA37">
        <v>0.47043656714663784</v>
      </c>
      <c r="BB37">
        <v>0.46635300353191012</v>
      </c>
      <c r="BC37">
        <v>0.46266264848355376</v>
      </c>
      <c r="BD37">
        <v>0.45935906638669233</v>
      </c>
      <c r="BE37">
        <v>0.4564361905451873</v>
      </c>
      <c r="BF37">
        <v>0.45388834597313016</v>
      </c>
      <c r="BG37">
        <v>0.45171027388106127</v>
      </c>
      <c r="BH37">
        <v>0.44989715766004762</v>
      </c>
      <c r="BI37">
        <v>0.44844465023781777</v>
      </c>
      <c r="BJ37">
        <v>0.44734890274655942</v>
      </c>
      <c r="BK37">
        <v>0.44660659450221674</v>
      </c>
      <c r="BL37">
        <v>0.44621496435083552</v>
      </c>
      <c r="BM37">
        <v>0.4461718434894606</v>
      </c>
      <c r="BN37">
        <v>0.44647568991812897</v>
      </c>
      <c r="BO37">
        <v>0.4471256247265093</v>
      </c>
      <c r="BP37">
        <v>0.44812147046462525</v>
      </c>
      <c r="BQ37">
        <v>0.44946379189280633</v>
      </c>
      <c r="BR37">
        <v>0.45115393945249477</v>
      </c>
      <c r="BS37">
        <v>0.45319409584779374</v>
      </c>
      <c r="BT37">
        <v>0.45558732617870062</v>
      </c>
      <c r="BU37">
        <v>0.45833763212191875</v>
      </c>
      <c r="BV37">
        <v>0.46145001071514113</v>
      </c>
      <c r="BW37">
        <v>0.4649303644905956</v>
      </c>
      <c r="BX37">
        <v>0.4687852785739674</v>
      </c>
      <c r="BY37">
        <v>0.47302205439671879</v>
      </c>
      <c r="BZ37">
        <v>0.47764874630778059</v>
      </c>
      <c r="CA37">
        <v>0.48267420123823163</v>
      </c>
      <c r="CB37">
        <v>0.48810502379672099</v>
      </c>
      <c r="CC37">
        <v>0.49393431415764882</v>
      </c>
      <c r="CD37">
        <v>0.50015513243945531</v>
      </c>
      <c r="CE37">
        <v>0.50676050052886001</v>
      </c>
      <c r="CF37">
        <v>0.51374340401416041</v>
      </c>
      <c r="CG37">
        <v>0.52109679423527488</v>
      </c>
      <c r="CH37">
        <v>0.5288135904550566</v>
      </c>
      <c r="CI37">
        <v>0.53688668215365609</v>
      </c>
      <c r="CJ37">
        <v>0.54530893144534309</v>
      </c>
      <c r="CK37">
        <v>0.55407317561516811</v>
      </c>
      <c r="CL37">
        <v>0.56317222977113213</v>
      </c>
      <c r="CM37">
        <v>0.57259888960609939</v>
      </c>
      <c r="CN37">
        <v>0.58234593426250858</v>
      </c>
      <c r="CO37">
        <v>0.59240612929199044</v>
      </c>
      <c r="CP37">
        <v>0.60232854094546817</v>
      </c>
      <c r="CQ37">
        <v>0.61200940271290361</v>
      </c>
      <c r="CR37">
        <v>0.62145459485299637</v>
      </c>
      <c r="CS37">
        <v>0.63066985447620072</v>
      </c>
      <c r="CT37">
        <v>0.63966077902950746</v>
      </c>
      <c r="CU37">
        <v>0.64843282969639315</v>
      </c>
      <c r="CV37">
        <v>0.65699133471400095</v>
      </c>
      <c r="CW37">
        <v>0.66534149260956899</v>
      </c>
      <c r="CX37">
        <v>0.67348837535807105</v>
      </c>
      <c r="CY37">
        <v>0.68143693146298834</v>
      </c>
      <c r="CZ37">
        <v>0.68919198896208322</v>
      </c>
      <c r="DA37">
        <v>0.69675825836000094</v>
      </c>
      <c r="DB37">
        <v>0.70414033548948041</v>
      </c>
      <c r="DC37">
        <v>0.71134270430291191</v>
      </c>
      <c r="DD37">
        <v>0.71836973959593764</v>
      </c>
      <c r="DE37">
        <v>0.72522570966474942</v>
      </c>
    </row>
    <row r="38" spans="1:109" x14ac:dyDescent="0.2">
      <c r="A38" t="s">
        <v>488</v>
      </c>
      <c r="B38">
        <v>0.69426445007324222</v>
      </c>
      <c r="C38">
        <v>0.71739534701741181</v>
      </c>
      <c r="D38">
        <v>0.63518884259113684</v>
      </c>
      <c r="E38">
        <v>0.57619199226650353</v>
      </c>
      <c r="F38">
        <v>0.55115811846437068</v>
      </c>
      <c r="G38">
        <v>0.57491909148417608</v>
      </c>
      <c r="H38">
        <v>0.51305839237949391</v>
      </c>
      <c r="I38">
        <v>0.46193387723271329</v>
      </c>
      <c r="J38">
        <v>0.42079659790258106</v>
      </c>
      <c r="K38">
        <v>0.38829246851065469</v>
      </c>
      <c r="L38">
        <v>0.36309290414920287</v>
      </c>
      <c r="M38">
        <v>0.34417772078089903</v>
      </c>
      <c r="N38">
        <v>0.33079365933311877</v>
      </c>
      <c r="O38">
        <v>0.32243412397877197</v>
      </c>
      <c r="P38">
        <v>0.62550762425137851</v>
      </c>
      <c r="Q38">
        <v>0.6415906473076467</v>
      </c>
      <c r="R38">
        <v>0.65698296569973746</v>
      </c>
      <c r="S38">
        <v>0.62796203308378151</v>
      </c>
      <c r="T38">
        <v>0.60075831946401359</v>
      </c>
      <c r="U38">
        <v>0.57525803508309514</v>
      </c>
      <c r="V38">
        <v>0.55135451541675118</v>
      </c>
      <c r="W38">
        <v>0.52894777500930501</v>
      </c>
      <c r="X38">
        <v>0.50794408924692824</v>
      </c>
      <c r="Y38">
        <v>0.488255602319215</v>
      </c>
      <c r="Z38">
        <v>0.46979995972923222</v>
      </c>
      <c r="AA38">
        <v>0.47489988894325202</v>
      </c>
      <c r="AB38">
        <v>0.47987978127821468</v>
      </c>
      <c r="AC38">
        <v>0.4847424620384978</v>
      </c>
      <c r="AD38">
        <v>0.48949069002937562</v>
      </c>
      <c r="AE38">
        <v>0.49412715912220645</v>
      </c>
      <c r="AF38">
        <v>0.49865449978278015</v>
      </c>
      <c r="AG38">
        <v>0.50307528056369322</v>
      </c>
      <c r="AH38">
        <v>0.50739200956159769</v>
      </c>
      <c r="AI38">
        <v>0.50663753129644262</v>
      </c>
      <c r="AJ38">
        <v>0.50590147212658843</v>
      </c>
      <c r="AK38">
        <v>0.5051833823862365</v>
      </c>
      <c r="AL38">
        <v>0.50448282338728967</v>
      </c>
      <c r="AM38">
        <v>0.50379936715135332</v>
      </c>
      <c r="AN38">
        <v>0.50313259614827932</v>
      </c>
      <c r="AO38">
        <v>0.50248210304109275</v>
      </c>
      <c r="AP38">
        <v>0.5018474904371456</v>
      </c>
      <c r="AQ38">
        <v>0.5079832841170383</v>
      </c>
      <c r="AR38">
        <v>0.51395042477783093</v>
      </c>
      <c r="AS38">
        <v>0.51975354814268115</v>
      </c>
      <c r="AT38">
        <v>0.52539716251378876</v>
      </c>
      <c r="AU38">
        <v>0.53088565227478401</v>
      </c>
      <c r="AV38">
        <v>0.53622328129684582</v>
      </c>
      <c r="AW38">
        <v>0.54141419625119769</v>
      </c>
      <c r="AX38">
        <v>0.54646242983055293</v>
      </c>
      <c r="AY38">
        <v>0.55137190388201363</v>
      </c>
      <c r="AZ38">
        <v>0.55614643245385598</v>
      </c>
      <c r="BA38">
        <v>0.5607897247585697</v>
      </c>
      <c r="BB38">
        <v>0.56530538805445285</v>
      </c>
      <c r="BC38">
        <v>0.56969693044800096</v>
      </c>
      <c r="BD38">
        <v>0.57396776361926793</v>
      </c>
      <c r="BE38">
        <v>0.57812120547231527</v>
      </c>
      <c r="BF38">
        <v>0.58216048271280918</v>
      </c>
      <c r="BG38">
        <v>0.58608873335476808</v>
      </c>
      <c r="BH38">
        <v>0.58990900915840749</v>
      </c>
      <c r="BI38">
        <v>0.59362427800097683</v>
      </c>
      <c r="BJ38">
        <v>0.59723742618242925</v>
      </c>
      <c r="BK38">
        <v>0.60075126066771645</v>
      </c>
      <c r="BL38">
        <v>0.60416851126744964</v>
      </c>
      <c r="BM38">
        <v>0.60749183275862195</v>
      </c>
      <c r="BN38">
        <v>0.61072380694703809</v>
      </c>
      <c r="BO38">
        <v>0.61386694467305558</v>
      </c>
      <c r="BP38">
        <v>0.61692368776219397</v>
      </c>
      <c r="BQ38">
        <v>0.6198964109221281</v>
      </c>
      <c r="BR38">
        <v>0.6227874235875398</v>
      </c>
      <c r="BS38">
        <v>0.62559897171426015</v>
      </c>
      <c r="BT38">
        <v>0.6283332395240967</v>
      </c>
      <c r="BU38">
        <v>0.63099235120170072</v>
      </c>
      <c r="BV38">
        <v>0.6335783725447941</v>
      </c>
      <c r="BW38">
        <v>0.63609331256903556</v>
      </c>
      <c r="BX38">
        <v>0.63853912506877541</v>
      </c>
      <c r="BY38">
        <v>0.6409177101349095</v>
      </c>
      <c r="BZ38">
        <v>0.64323091563101276</v>
      </c>
      <c r="CA38">
        <v>0.6454805386288982</v>
      </c>
      <c r="CB38">
        <v>0.64766832680471753</v>
      </c>
      <c r="CC38">
        <v>0.64979597979668735</v>
      </c>
      <c r="CD38">
        <v>0.65186515052549554</v>
      </c>
      <c r="CE38">
        <v>0.6538774464784145</v>
      </c>
      <c r="CF38">
        <v>0.65583443095811766</v>
      </c>
      <c r="CG38">
        <v>0.65773762429717098</v>
      </c>
      <c r="CH38">
        <v>0.65958850503914102</v>
      </c>
      <c r="CI38">
        <v>0.66138851108723895</v>
      </c>
      <c r="CJ38">
        <v>0.66313904082139152</v>
      </c>
      <c r="CK38">
        <v>0.66484145418460805</v>
      </c>
      <c r="CL38">
        <v>0.66649707373948586</v>
      </c>
      <c r="CM38">
        <v>0.66810718569567662</v>
      </c>
      <c r="CN38">
        <v>0.6696730409091104</v>
      </c>
      <c r="CO38">
        <v>0.67119585585375474</v>
      </c>
      <c r="CP38">
        <v>0.67267681356666287</v>
      </c>
      <c r="CQ38">
        <v>0.67411706456704579</v>
      </c>
      <c r="CR38">
        <v>0.67551772775008212</v>
      </c>
      <c r="CS38">
        <v>0.67687989125615966</v>
      </c>
      <c r="CT38">
        <v>0.67820461331622506</v>
      </c>
      <c r="CU38">
        <v>0.67949292307389653</v>
      </c>
      <c r="CV38">
        <v>0.68074582138498052</v>
      </c>
      <c r="CW38">
        <v>0.68196428159501143</v>
      </c>
      <c r="CX38">
        <v>0.68314925029541929</v>
      </c>
      <c r="CY38">
        <v>0.68430164805891347</v>
      </c>
      <c r="CZ38">
        <v>0.68542237015465268</v>
      </c>
      <c r="DA38">
        <v>0.68651228724375724</v>
      </c>
      <c r="DB38">
        <v>0.68757224605570377</v>
      </c>
      <c r="DC38">
        <v>0.68860307004612886</v>
      </c>
      <c r="DD38">
        <v>0.68960556003655071</v>
      </c>
      <c r="DE38">
        <v>0.69058049483650774</v>
      </c>
    </row>
    <row r="39" spans="1:109" x14ac:dyDescent="0.2">
      <c r="A39" t="s">
        <v>489</v>
      </c>
      <c r="B39">
        <v>0.51738662719726558</v>
      </c>
      <c r="C39">
        <v>0.51266714984007311</v>
      </c>
      <c r="D39">
        <v>0.5733159441283322</v>
      </c>
      <c r="E39">
        <v>0.50977780733653044</v>
      </c>
      <c r="F39">
        <v>0.46819310066906128</v>
      </c>
      <c r="G39">
        <v>0.47479686091968304</v>
      </c>
      <c r="H39">
        <v>0.54530035717486314</v>
      </c>
      <c r="I39">
        <v>0.60633943363828713</v>
      </c>
      <c r="J39">
        <v>0.65918459811102048</v>
      </c>
      <c r="K39">
        <v>0.7049358048781087</v>
      </c>
      <c r="L39">
        <v>0.74454534988624066</v>
      </c>
      <c r="M39">
        <v>0.77883769246287082</v>
      </c>
      <c r="N39">
        <v>0.80852661615920551</v>
      </c>
      <c r="O39">
        <v>0.83423008591421333</v>
      </c>
      <c r="P39">
        <f t="shared" ref="P39:AG39" si="0">MIN(P22:P38)</f>
        <v>0.29716283696870005</v>
      </c>
      <c r="Q39">
        <f t="shared" si="0"/>
        <v>0.29187206716090075</v>
      </c>
      <c r="R39">
        <f t="shared" si="0"/>
        <v>0.28668866971547141</v>
      </c>
      <c r="S39">
        <f t="shared" si="0"/>
        <v>0.30555773032620637</v>
      </c>
      <c r="T39">
        <f t="shared" si="0"/>
        <v>0.32313705048649333</v>
      </c>
      <c r="U39">
        <f t="shared" si="0"/>
        <v>0.32330566025630103</v>
      </c>
      <c r="V39">
        <f t="shared" si="0"/>
        <v>0.32066793104805774</v>
      </c>
      <c r="W39">
        <f t="shared" si="0"/>
        <v>0.31813397671434723</v>
      </c>
      <c r="X39">
        <f t="shared" si="0"/>
        <v>0.31569911917279331</v>
      </c>
      <c r="Y39">
        <f t="shared" si="0"/>
        <v>0.31335904948716448</v>
      </c>
      <c r="Z39">
        <f t="shared" si="0"/>
        <v>0.31110999608894102</v>
      </c>
      <c r="AA39">
        <f t="shared" si="0"/>
        <v>0.31505374498318295</v>
      </c>
      <c r="AB39">
        <f t="shared" si="0"/>
        <v>0.31894077109788843</v>
      </c>
      <c r="AC39">
        <f t="shared" si="0"/>
        <v>0.32276609392693567</v>
      </c>
      <c r="AD39">
        <f t="shared" si="0"/>
        <v>0.32652566864789445</v>
      </c>
      <c r="AE39">
        <f t="shared" si="0"/>
        <v>0.33021625146356703</v>
      </c>
      <c r="AF39">
        <f t="shared" si="0"/>
        <v>0.33383527931615686</v>
      </c>
      <c r="AG39">
        <f t="shared" si="0"/>
        <v>0.31069742730845784</v>
      </c>
      <c r="AH39">
        <f t="shared" ref="AH39:BM39" si="1">MIN(AH22:AH38)</f>
        <v>0.28945019032848007</v>
      </c>
      <c r="AI39">
        <f t="shared" si="1"/>
        <v>0.30209184632541963</v>
      </c>
      <c r="AJ39">
        <f t="shared" si="1"/>
        <v>0.31450858991766956</v>
      </c>
      <c r="AK39">
        <f t="shared" si="1"/>
        <v>0.32670442260549182</v>
      </c>
      <c r="AL39">
        <f t="shared" si="1"/>
        <v>0.33868327469696863</v>
      </c>
      <c r="AM39">
        <f t="shared" si="1"/>
        <v>0.33885142985517047</v>
      </c>
      <c r="AN39">
        <f t="shared" si="1"/>
        <v>0.33876907228497583</v>
      </c>
      <c r="AO39">
        <f t="shared" si="1"/>
        <v>0.33879853682308408</v>
      </c>
      <c r="AP39">
        <f t="shared" si="1"/>
        <v>0.3389424920991691</v>
      </c>
      <c r="AQ39">
        <f t="shared" si="1"/>
        <v>0.35582687832522186</v>
      </c>
      <c r="AR39">
        <f t="shared" si="1"/>
        <v>0.37228001236092317</v>
      </c>
      <c r="AS39">
        <f t="shared" si="1"/>
        <v>0.38200668229086449</v>
      </c>
      <c r="AT39">
        <f t="shared" si="1"/>
        <v>0.38192407711859927</v>
      </c>
      <c r="AU39">
        <f t="shared" si="1"/>
        <v>0.38215893772275367</v>
      </c>
      <c r="AV39">
        <f t="shared" si="1"/>
        <v>0.38268307603127061</v>
      </c>
      <c r="AW39">
        <f t="shared" si="1"/>
        <v>0.38347207625530405</v>
      </c>
      <c r="AX39">
        <f t="shared" si="1"/>
        <v>0.38450497064182648</v>
      </c>
      <c r="AY39">
        <f t="shared" si="1"/>
        <v>0.38576393701185863</v>
      </c>
      <c r="AZ39">
        <f t="shared" si="1"/>
        <v>0.38723401957024312</v>
      </c>
      <c r="BA39">
        <f t="shared" si="1"/>
        <v>0.38890287354735198</v>
      </c>
      <c r="BB39">
        <f t="shared" si="1"/>
        <v>0.390760533569392</v>
      </c>
      <c r="BC39">
        <f t="shared" si="1"/>
        <v>0.39279920519230072</v>
      </c>
      <c r="BD39">
        <f t="shared" si="1"/>
        <v>0.39501307872755109</v>
      </c>
      <c r="BE39">
        <f t="shared" si="1"/>
        <v>0.39739816429954045</v>
      </c>
      <c r="BF39">
        <f t="shared" si="1"/>
        <v>0.39995214697468739</v>
      </c>
      <c r="BG39">
        <f t="shared" si="1"/>
        <v>0.40267426076933971</v>
      </c>
      <c r="BH39">
        <f t="shared" si="1"/>
        <v>0.40556518035963529</v>
      </c>
      <c r="BI39">
        <f t="shared" si="1"/>
        <v>0.40195644816877024</v>
      </c>
      <c r="BJ39">
        <f t="shared" si="1"/>
        <v>0.39774529243064843</v>
      </c>
      <c r="BK39">
        <f t="shared" si="1"/>
        <v>0.39364041632262509</v>
      </c>
      <c r="BL39">
        <f t="shared" si="1"/>
        <v>0.38963913759771707</v>
      </c>
      <c r="BM39">
        <f t="shared" si="1"/>
        <v>0.38573884170252354</v>
      </c>
      <c r="BN39">
        <f t="shared" ref="BN39:CS39" si="2">MIN(BN22:BN38)</f>
        <v>0.38193698006879961</v>
      </c>
      <c r="BO39">
        <f t="shared" si="2"/>
        <v>0.37823106844814691</v>
      </c>
      <c r="BP39">
        <f t="shared" si="2"/>
        <v>0.37461868528873227</v>
      </c>
      <c r="BQ39">
        <f t="shared" si="2"/>
        <v>0.37109747015297462</v>
      </c>
      <c r="BR39">
        <f t="shared" si="2"/>
        <v>0.36766512217516545</v>
      </c>
      <c r="BS39">
        <f t="shared" si="2"/>
        <v>0.36431939855801537</v>
      </c>
      <c r="BT39">
        <f t="shared" si="2"/>
        <v>0.36105811310714431</v>
      </c>
      <c r="BU39">
        <f t="shared" si="2"/>
        <v>0.35787913480255762</v>
      </c>
      <c r="BV39">
        <f t="shared" si="2"/>
        <v>0.35478038640617499</v>
      </c>
      <c r="BW39">
        <f t="shared" si="2"/>
        <v>0.3517598431045017</v>
      </c>
      <c r="BX39">
        <f t="shared" si="2"/>
        <v>0.34881553118555597</v>
      </c>
      <c r="BY39">
        <f t="shared" si="2"/>
        <v>0.34594552674918738</v>
      </c>
      <c r="BZ39">
        <f t="shared" si="2"/>
        <v>0.34314795444994373</v>
      </c>
      <c r="CA39">
        <f t="shared" si="2"/>
        <v>0.34042098627166517</v>
      </c>
      <c r="CB39">
        <f t="shared" si="2"/>
        <v>0.33776284033300458</v>
      </c>
      <c r="CC39">
        <f t="shared" si="2"/>
        <v>0.33517177972309381</v>
      </c>
      <c r="CD39">
        <f t="shared" si="2"/>
        <v>0.33264611136659483</v>
      </c>
      <c r="CE39">
        <f t="shared" si="2"/>
        <v>0.33018418491739465</v>
      </c>
      <c r="CF39">
        <f t="shared" si="2"/>
        <v>0.32778439168022028</v>
      </c>
      <c r="CG39">
        <f t="shared" si="2"/>
        <v>0.32544516355947006</v>
      </c>
      <c r="CH39">
        <f t="shared" si="2"/>
        <v>0.32316497203457373</v>
      </c>
      <c r="CI39">
        <f t="shared" si="2"/>
        <v>0.32094232716121196</v>
      </c>
      <c r="CJ39">
        <f t="shared" si="2"/>
        <v>0.31877577659774303</v>
      </c>
      <c r="CK39">
        <f t="shared" si="2"/>
        <v>0.31666390465619981</v>
      </c>
      <c r="CL39">
        <f t="shared" si="2"/>
        <v>0.31460533137723762</v>
      </c>
      <c r="CM39">
        <f t="shared" si="2"/>
        <v>0.31259871162842823</v>
      </c>
      <c r="CN39">
        <f t="shared" si="2"/>
        <v>0.31064273422531058</v>
      </c>
      <c r="CO39">
        <f t="shared" si="2"/>
        <v>0.30873612107462423</v>
      </c>
      <c r="CP39">
        <f t="shared" si="2"/>
        <v>0.30687762633916565</v>
      </c>
      <c r="CQ39">
        <f t="shared" si="2"/>
        <v>0.30506603562372142</v>
      </c>
      <c r="CR39">
        <f t="shared" si="2"/>
        <v>0.30330016518154668</v>
      </c>
      <c r="CS39">
        <f t="shared" si="2"/>
        <v>0.30157886114087001</v>
      </c>
      <c r="CT39">
        <f t="shared" ref="CT39:DE39" si="3">MIN(CT22:CT38)</f>
        <v>0.29990099875091975</v>
      </c>
      <c r="CU39">
        <f t="shared" si="3"/>
        <v>0.29826548164697869</v>
      </c>
      <c r="CV39">
        <f t="shared" si="3"/>
        <v>0.29667124113398696</v>
      </c>
      <c r="CW39">
        <f t="shared" si="3"/>
        <v>0.29511723548822538</v>
      </c>
      <c r="CX39">
        <f t="shared" si="3"/>
        <v>0.29360244927662227</v>
      </c>
      <c r="CY39">
        <f t="shared" si="3"/>
        <v>0.29212589269323974</v>
      </c>
      <c r="CZ39">
        <f t="shared" si="3"/>
        <v>0.29068660091250531</v>
      </c>
      <c r="DA39">
        <f t="shared" si="3"/>
        <v>0.28928363345876629</v>
      </c>
      <c r="DB39">
        <f t="shared" si="3"/>
        <v>0.28791607359175547</v>
      </c>
      <c r="DC39">
        <f t="shared" si="3"/>
        <v>0.28658302770756594</v>
      </c>
      <c r="DD39">
        <f t="shared" si="3"/>
        <v>0.285283624754744</v>
      </c>
      <c r="DE39">
        <f t="shared" si="3"/>
        <v>0.2840170156651185</v>
      </c>
    </row>
    <row r="41" spans="1:109" x14ac:dyDescent="0.2">
      <c r="A41" t="s">
        <v>243</v>
      </c>
      <c r="B41">
        <v>2017</v>
      </c>
      <c r="C41">
        <v>2018</v>
      </c>
      <c r="D41">
        <v>2019</v>
      </c>
      <c r="E41">
        <v>2020</v>
      </c>
      <c r="F41">
        <v>2021</v>
      </c>
      <c r="G41">
        <v>2022</v>
      </c>
      <c r="H41">
        <v>2023</v>
      </c>
      <c r="I41">
        <v>2024</v>
      </c>
      <c r="J41">
        <v>2025</v>
      </c>
      <c r="K41">
        <v>2026</v>
      </c>
      <c r="L41">
        <v>2027</v>
      </c>
      <c r="M41">
        <v>2028</v>
      </c>
      <c r="N41">
        <v>2029</v>
      </c>
      <c r="O41">
        <v>2030</v>
      </c>
      <c r="P41">
        <v>2018.75</v>
      </c>
      <c r="Q41">
        <v>2018.875</v>
      </c>
      <c r="R41">
        <v>2019</v>
      </c>
      <c r="S41">
        <v>2019.125</v>
      </c>
      <c r="T41">
        <v>2019.25</v>
      </c>
      <c r="U41">
        <v>2019.375</v>
      </c>
      <c r="V41">
        <v>2019.5</v>
      </c>
      <c r="W41">
        <v>2019.625</v>
      </c>
      <c r="X41">
        <v>2019.75</v>
      </c>
      <c r="Y41">
        <v>2019.875</v>
      </c>
      <c r="Z41">
        <v>2020</v>
      </c>
      <c r="AA41">
        <v>2020.125</v>
      </c>
      <c r="AB41">
        <v>2020.25</v>
      </c>
      <c r="AC41">
        <v>2020.375</v>
      </c>
      <c r="AD41">
        <v>2020.5</v>
      </c>
      <c r="AE41">
        <v>2020.625</v>
      </c>
      <c r="AF41">
        <v>2020.75</v>
      </c>
      <c r="AG41">
        <v>2020.875</v>
      </c>
      <c r="AH41">
        <v>2021</v>
      </c>
      <c r="AI41">
        <v>2021.125</v>
      </c>
      <c r="AJ41">
        <v>2021.25</v>
      </c>
      <c r="AK41">
        <v>2021.375</v>
      </c>
      <c r="AL41">
        <v>2021.5</v>
      </c>
      <c r="AM41">
        <v>2021.625</v>
      </c>
      <c r="AN41">
        <v>2021.75</v>
      </c>
      <c r="AO41">
        <v>2021.875</v>
      </c>
      <c r="AP41">
        <v>2022</v>
      </c>
      <c r="AQ41">
        <v>2022.125</v>
      </c>
      <c r="AR41">
        <v>2022.25</v>
      </c>
      <c r="AS41">
        <v>2022.375</v>
      </c>
      <c r="AT41">
        <v>2022.5</v>
      </c>
      <c r="AU41">
        <v>2022.625</v>
      </c>
      <c r="AV41">
        <v>2022.75</v>
      </c>
      <c r="AW41">
        <v>2022.875</v>
      </c>
      <c r="AX41">
        <v>2023</v>
      </c>
      <c r="AY41">
        <v>2023.125</v>
      </c>
      <c r="AZ41">
        <v>2023.25</v>
      </c>
      <c r="BA41">
        <v>2023.375</v>
      </c>
      <c r="BB41">
        <v>2023.5</v>
      </c>
      <c r="BC41">
        <v>2023.625</v>
      </c>
      <c r="BD41">
        <v>2023.75</v>
      </c>
      <c r="BE41">
        <v>2023.875</v>
      </c>
      <c r="BF41">
        <v>2024</v>
      </c>
      <c r="BG41">
        <v>2024.125</v>
      </c>
      <c r="BH41">
        <v>2024.25</v>
      </c>
      <c r="BI41">
        <v>2024.375</v>
      </c>
      <c r="BJ41">
        <v>2024.5</v>
      </c>
      <c r="BK41">
        <v>2024.625</v>
      </c>
      <c r="BL41">
        <v>2024.75</v>
      </c>
      <c r="BM41">
        <v>2024.875</v>
      </c>
      <c r="BN41">
        <v>2025</v>
      </c>
      <c r="BO41">
        <v>2025.125</v>
      </c>
      <c r="BP41">
        <v>2025.25</v>
      </c>
      <c r="BQ41">
        <v>2025.375</v>
      </c>
      <c r="BR41">
        <v>2025.5</v>
      </c>
      <c r="BS41">
        <v>2025.625</v>
      </c>
      <c r="BT41">
        <v>2025.75</v>
      </c>
      <c r="BU41">
        <v>2025.875</v>
      </c>
      <c r="BV41">
        <v>2026</v>
      </c>
      <c r="BW41">
        <v>2026.125</v>
      </c>
      <c r="BX41">
        <v>2026.25</v>
      </c>
      <c r="BY41">
        <v>2026.375</v>
      </c>
      <c r="BZ41">
        <v>2026.5</v>
      </c>
      <c r="CA41">
        <v>2026.625</v>
      </c>
      <c r="CB41">
        <v>2026.75</v>
      </c>
      <c r="CC41">
        <v>2026.875</v>
      </c>
      <c r="CD41">
        <v>2027</v>
      </c>
      <c r="CE41">
        <v>2027.125</v>
      </c>
      <c r="CF41">
        <v>2027.25</v>
      </c>
      <c r="CG41">
        <v>2027.375</v>
      </c>
      <c r="CH41">
        <v>2027.5</v>
      </c>
      <c r="CI41">
        <v>2027.625</v>
      </c>
      <c r="CJ41">
        <v>2027.75</v>
      </c>
      <c r="CK41">
        <v>2027.875</v>
      </c>
      <c r="CL41">
        <v>2028</v>
      </c>
      <c r="CM41">
        <v>2028.125</v>
      </c>
      <c r="CN41">
        <v>2028.25</v>
      </c>
      <c r="CO41">
        <v>2028.375</v>
      </c>
      <c r="CP41">
        <v>2028.5</v>
      </c>
      <c r="CQ41">
        <v>2028.625</v>
      </c>
      <c r="CR41">
        <v>2028.75</v>
      </c>
      <c r="CS41">
        <v>2028.875</v>
      </c>
      <c r="CT41">
        <v>2029</v>
      </c>
      <c r="CU41">
        <v>2029.125</v>
      </c>
      <c r="CV41">
        <v>2029.25</v>
      </c>
      <c r="CW41">
        <v>2029.375</v>
      </c>
      <c r="CX41">
        <v>2029.5</v>
      </c>
      <c r="CY41">
        <v>2029.625</v>
      </c>
      <c r="CZ41">
        <v>2029.75</v>
      </c>
      <c r="DA41">
        <v>2029.875</v>
      </c>
      <c r="DB41">
        <v>2030</v>
      </c>
      <c r="DC41">
        <v>2030.125</v>
      </c>
      <c r="DD41">
        <v>2030.25</v>
      </c>
      <c r="DE41">
        <v>2030.375</v>
      </c>
    </row>
    <row r="42" spans="1:109" x14ac:dyDescent="0.2">
      <c r="A42" s="33" t="s">
        <v>895</v>
      </c>
      <c r="B42">
        <v>0.58068820055793302</v>
      </c>
      <c r="C42">
        <v>0.58570041541033535</v>
      </c>
      <c r="D42">
        <v>0.58371690157127387</v>
      </c>
      <c r="E42">
        <v>0.57571946544215602</v>
      </c>
      <c r="F42">
        <v>0.58411442307363959</v>
      </c>
      <c r="G42">
        <v>0.58347842821687856</v>
      </c>
      <c r="H42">
        <v>0.5943771591886412</v>
      </c>
      <c r="I42">
        <v>0.60418856662343023</v>
      </c>
      <c r="J42">
        <v>0.62189911819688148</v>
      </c>
      <c r="K42">
        <v>0.64266417340572435</v>
      </c>
      <c r="L42">
        <v>0.66268230631959546</v>
      </c>
      <c r="M42">
        <v>0.68183761873156423</v>
      </c>
      <c r="N42">
        <v>0.70019402545516141</v>
      </c>
      <c r="O42">
        <v>0.71821342122755616</v>
      </c>
      <c r="P42">
        <v>0.76861344694699518</v>
      </c>
      <c r="Q42">
        <v>0.74078569149280205</v>
      </c>
      <c r="R42">
        <v>0.7140645200788116</v>
      </c>
      <c r="S42">
        <v>0.71815965750351607</v>
      </c>
      <c r="T42">
        <v>0.72219614480710981</v>
      </c>
      <c r="U42">
        <v>0.72617482197036753</v>
      </c>
      <c r="V42">
        <v>0.73009651694394884</v>
      </c>
      <c r="W42">
        <v>0.73396204582069247</v>
      </c>
      <c r="X42">
        <v>0.7377722130054426</v>
      </c>
      <c r="Y42">
        <v>0.74152781138244295</v>
      </c>
      <c r="Z42">
        <v>0.74522962248033386</v>
      </c>
      <c r="AA42">
        <v>0.72486397792828017</v>
      </c>
      <c r="AB42">
        <v>0.70492615608460263</v>
      </c>
      <c r="AC42">
        <v>0.68542854859281499</v>
      </c>
      <c r="AD42">
        <v>0.66638082878456595</v>
      </c>
      <c r="AE42">
        <v>0.64779016757389174</v>
      </c>
      <c r="AF42">
        <v>0.62966145286834685</v>
      </c>
      <c r="AG42">
        <v>0.6119975061435271</v>
      </c>
      <c r="AH42">
        <v>0.59479929175838575</v>
      </c>
      <c r="AI42">
        <v>0.5947859010229859</v>
      </c>
      <c r="AJ42">
        <v>0.59547707499285352</v>
      </c>
      <c r="AK42">
        <v>0.59684066643862654</v>
      </c>
      <c r="AL42">
        <v>0.59884564652874961</v>
      </c>
      <c r="AM42">
        <v>0.6014621474086097</v>
      </c>
      <c r="AN42">
        <v>0.60466148771852068</v>
      </c>
      <c r="AO42">
        <v>0.60841618396459551</v>
      </c>
      <c r="AP42">
        <v>0.61269995024315838</v>
      </c>
      <c r="AQ42">
        <v>0.65967446571318911</v>
      </c>
      <c r="AR42">
        <v>0.70095157653524853</v>
      </c>
      <c r="AS42">
        <v>0.73722230462617655</v>
      </c>
      <c r="AT42">
        <v>0.76909385983064016</v>
      </c>
      <c r="AU42">
        <v>0.79709980524768975</v>
      </c>
      <c r="AV42">
        <v>0.82170898963392613</v>
      </c>
      <c r="AW42">
        <v>0.84333339642103267</v>
      </c>
      <c r="AX42">
        <v>0.86233504074841605</v>
      </c>
      <c r="AY42">
        <v>0.87903202997448171</v>
      </c>
      <c r="AZ42">
        <v>0.89370388912582832</v>
      </c>
      <c r="BA42">
        <v>0.90659624043793829</v>
      </c>
      <c r="BB42">
        <v>0.91792491532776022</v>
      </c>
      <c r="BC42">
        <v>0.92787956763689561</v>
      </c>
      <c r="BD42">
        <v>0.9366268486348529</v>
      </c>
      <c r="BE42">
        <v>0.94431319693523574</v>
      </c>
      <c r="BF42">
        <v>0.95106729003097545</v>
      </c>
      <c r="BG42">
        <v>0.95700219848986567</v>
      </c>
      <c r="BH42">
        <v>0.96221727887388109</v>
      </c>
      <c r="BI42">
        <v>0.96679983707172545</v>
      </c>
      <c r="BJ42">
        <v>0.97082658989053072</v>
      </c>
      <c r="BK42">
        <v>0.97436494937527951</v>
      </c>
      <c r="BL42">
        <v>0.97747415135679738</v>
      </c>
      <c r="BM42">
        <v>0.98020624712138615</v>
      </c>
      <c r="BN42">
        <v>0.98260697480368353</v>
      </c>
      <c r="BO42">
        <v>0.98471652509077479</v>
      </c>
      <c r="BP42">
        <v>0.98657021405624212</v>
      </c>
      <c r="BQ42">
        <v>0.98819907438809673</v>
      </c>
      <c r="BR42">
        <v>0.98963037490836536</v>
      </c>
      <c r="BS42">
        <v>0.99088807708163185</v>
      </c>
      <c r="BT42">
        <v>0.9919932361549636</v>
      </c>
      <c r="BU42">
        <v>0.99296435364472302</v>
      </c>
      <c r="BV42">
        <v>0.99381768707126172</v>
      </c>
      <c r="BW42">
        <v>0.99456752212677979</v>
      </c>
      <c r="BX42">
        <v>0.99522641183272331</v>
      </c>
      <c r="BY42">
        <v>0.99580538669046492</v>
      </c>
      <c r="BZ42">
        <v>0.99631413934340995</v>
      </c>
      <c r="CA42">
        <v>0.99676118684196324</v>
      </c>
      <c r="CB42">
        <v>0.99715401322784225</v>
      </c>
      <c r="CC42">
        <v>0.99749919482474669</v>
      </c>
      <c r="CD42">
        <v>0.99780251033288103</v>
      </c>
      <c r="CE42">
        <v>0.99806903757042753</v>
      </c>
      <c r="CF42">
        <v>0.99830323848152203</v>
      </c>
      <c r="CG42">
        <v>0.99850903383385603</v>
      </c>
      <c r="CH42">
        <v>0.99868986885642008</v>
      </c>
      <c r="CI42">
        <v>0.99884877091623259</v>
      </c>
      <c r="CJ42">
        <v>0.99898840019962398</v>
      </c>
      <c r="CK42">
        <v>0.99911109424653177</v>
      </c>
      <c r="CL42">
        <v>0.99921890708335925</v>
      </c>
      <c r="CM42">
        <v>0.99931364360952113</v>
      </c>
      <c r="CN42">
        <v>0.99939688981334363</v>
      </c>
      <c r="CO42">
        <v>0.99947003932316425</v>
      </c>
      <c r="CP42">
        <v>0.99953431673812498</v>
      </c>
      <c r="CQ42">
        <v>0.99959079812923979</v>
      </c>
      <c r="CR42">
        <v>0.99964042905394646</v>
      </c>
      <c r="CS42">
        <v>0.99968404038572545</v>
      </c>
      <c r="CT42">
        <v>0.99972236222378863</v>
      </c>
      <c r="CU42">
        <v>0.99975603611570241</v>
      </c>
      <c r="CV42">
        <v>0.99978562579756347</v>
      </c>
      <c r="CW42">
        <v>0.99981162663152945</v>
      </c>
      <c r="CX42">
        <v>0.99983447389869839</v>
      </c>
      <c r="CY42">
        <v>0.99985455008616897</v>
      </c>
      <c r="CZ42">
        <v>0.99987219129027327</v>
      </c>
      <c r="DA42">
        <v>0.99988769284318046</v>
      </c>
      <c r="DB42">
        <v>0.99990131425706541</v>
      </c>
      <c r="DC42">
        <v>0.99991328356861353</v>
      </c>
      <c r="DD42">
        <v>0.99992380115659274</v>
      </c>
      <c r="DE42">
        <v>0.99993304309640318</v>
      </c>
    </row>
    <row r="43" spans="1:109" x14ac:dyDescent="0.2">
      <c r="A43" t="s">
        <v>473</v>
      </c>
      <c r="B43">
        <v>0.93385078430175783</v>
      </c>
      <c r="C43">
        <v>0.92762374342173204</v>
      </c>
      <c r="D43">
        <v>0.83706282074076577</v>
      </c>
      <c r="E43">
        <v>0.74584692773209538</v>
      </c>
      <c r="F43">
        <v>0.66278927617000094</v>
      </c>
      <c r="G43">
        <v>0.70805658939738658</v>
      </c>
      <c r="H43">
        <v>0.74724719894360669</v>
      </c>
      <c r="I43">
        <v>0.74724774203938926</v>
      </c>
      <c r="J43">
        <v>0.77322871389117265</v>
      </c>
      <c r="K43">
        <v>0.80367058929380819</v>
      </c>
      <c r="L43">
        <v>0.83002593419282056</v>
      </c>
      <c r="M43">
        <v>0.85284332620822045</v>
      </c>
      <c r="N43">
        <v>0.87259770166334683</v>
      </c>
      <c r="O43">
        <v>0.88970024122434122</v>
      </c>
      <c r="P43">
        <v>0.42217974344454889</v>
      </c>
      <c r="Q43">
        <v>0.42417870830355514</v>
      </c>
      <c r="R43">
        <v>0.42567074538832739</v>
      </c>
      <c r="S43">
        <v>0.42800453863980725</v>
      </c>
      <c r="T43">
        <v>0.43024642168021998</v>
      </c>
      <c r="U43">
        <v>0.43240643421441527</v>
      </c>
      <c r="V43">
        <v>0.43450368778361509</v>
      </c>
      <c r="W43">
        <v>0.43655407645984989</v>
      </c>
      <c r="X43">
        <v>0.43857101532737042</v>
      </c>
      <c r="Y43">
        <v>0.44056590474496155</v>
      </c>
      <c r="Z43">
        <v>0.44254853130928906</v>
      </c>
      <c r="AA43">
        <v>0.45354127606639122</v>
      </c>
      <c r="AB43">
        <v>0.46426560010385293</v>
      </c>
      <c r="AC43">
        <v>0.4747278424276648</v>
      </c>
      <c r="AD43">
        <v>0.48493419466875259</v>
      </c>
      <c r="AE43">
        <v>0.49489070448763212</v>
      </c>
      <c r="AF43">
        <v>0.50460327890043344</v>
      </c>
      <c r="AG43">
        <v>0.51407768752811978</v>
      </c>
      <c r="AH43">
        <v>0.52331956577068395</v>
      </c>
      <c r="AI43">
        <v>0.52288183621552942</v>
      </c>
      <c r="AJ43">
        <v>0.52246237401821394</v>
      </c>
      <c r="AK43">
        <v>0.52206363112305454</v>
      </c>
      <c r="AL43">
        <v>0.52168766492200025</v>
      </c>
      <c r="AM43">
        <v>0.52133618244369784</v>
      </c>
      <c r="AN43">
        <v>0.52101057939886408</v>
      </c>
      <c r="AO43">
        <v>0.52071197477871434</v>
      </c>
      <c r="AP43">
        <v>0.52044124159285976</v>
      </c>
      <c r="AQ43">
        <v>0.52364375087860071</v>
      </c>
      <c r="AR43">
        <v>0.52674472627536451</v>
      </c>
      <c r="AS43">
        <v>0.52975826676186233</v>
      </c>
      <c r="AT43">
        <v>0.53269703757372833</v>
      </c>
      <c r="AU43">
        <v>0.53557246247506418</v>
      </c>
      <c r="AV43">
        <v>0.53839488464458674</v>
      </c>
      <c r="AW43">
        <v>0.54117370229079975</v>
      </c>
      <c r="AX43">
        <v>0.54391748374726234</v>
      </c>
      <c r="AY43">
        <v>0.54663406577490692</v>
      </c>
      <c r="AZ43">
        <v>0.54933063802093596</v>
      </c>
      <c r="BA43">
        <v>0.5520138159878778</v>
      </c>
      <c r="BB43">
        <v>0.55468970440536036</v>
      </c>
      <c r="BC43">
        <v>0.55736394992402971</v>
      </c>
      <c r="BD43">
        <v>0.56004178749372635</v>
      </c>
      <c r="BE43">
        <v>0.56272808135158814</v>
      </c>
      <c r="BF43">
        <v>0.56542736138870386</v>
      </c>
      <c r="BG43">
        <v>0.56814385553698743</v>
      </c>
      <c r="BH43">
        <v>0.57088151871469939</v>
      </c>
      <c r="BI43">
        <v>0.57364405878460467</v>
      </c>
      <c r="BJ43">
        <v>0.57643495990932969</v>
      </c>
      <c r="BK43">
        <v>0.57925750363110762</v>
      </c>
      <c r="BL43">
        <v>0.58211478795545235</v>
      </c>
      <c r="BM43">
        <v>0.58500974467855571</v>
      </c>
      <c r="BN43">
        <v>0.58794515516489387</v>
      </c>
      <c r="BO43">
        <v>0.59092366475350644</v>
      </c>
      <c r="BP43">
        <v>0.59394779594773539</v>
      </c>
      <c r="BQ43">
        <v>0.59701996052313377</v>
      </c>
      <c r="BR43">
        <v>0.60014247067116755</v>
      </c>
      <c r="BS43">
        <v>0.60331754928173698</v>
      </c>
      <c r="BT43">
        <v>0.60654733945503947</v>
      </c>
      <c r="BU43">
        <v>0.60983391332253933</v>
      </c>
      <c r="BV43">
        <v>0.61317928024754009</v>
      </c>
      <c r="BW43">
        <v>0.61658539446783212</v>
      </c>
      <c r="BX43">
        <v>0.62005416119294743</v>
      </c>
      <c r="BY43">
        <v>0.62358744010539557</v>
      </c>
      <c r="BZ43">
        <v>0.62718704863328611</v>
      </c>
      <c r="CA43">
        <v>0.63085476501552618</v>
      </c>
      <c r="CB43">
        <v>0.63459233117844893</v>
      </c>
      <c r="CC43">
        <v>0.63840145544068172</v>
      </c>
      <c r="CD43">
        <v>0.64228381506125642</v>
      </c>
      <c r="CE43">
        <v>0.64624105864437187</v>
      </c>
      <c r="CF43">
        <v>0.65027480841281671</v>
      </c>
      <c r="CG43">
        <v>0.65438666236081644</v>
      </c>
      <c r="CH43">
        <v>0.65857819629597525</v>
      </c>
      <c r="CI43">
        <v>0.66285096577900959</v>
      </c>
      <c r="CJ43">
        <v>0.66720650796911263</v>
      </c>
      <c r="CK43">
        <v>0.67164634338202578</v>
      </c>
      <c r="CL43">
        <v>0.67617197756721792</v>
      </c>
      <c r="CM43">
        <v>0.68078490270997072</v>
      </c>
      <c r="CN43">
        <v>0.68548659916363686</v>
      </c>
      <c r="CO43">
        <v>0.69027853691686059</v>
      </c>
      <c r="CP43">
        <v>0.69516217700012839</v>
      </c>
      <c r="CQ43">
        <v>0.70013897283563797</v>
      </c>
      <c r="CR43">
        <v>0.70521037153413935</v>
      </c>
      <c r="CS43">
        <v>0.71037781514209752</v>
      </c>
      <c r="CT43">
        <v>0.71564274184225862</v>
      </c>
      <c r="CU43">
        <v>0.72100658711045784</v>
      </c>
      <c r="CV43">
        <v>0.72647078483129168</v>
      </c>
      <c r="CW43">
        <v>0.73203676837508025</v>
      </c>
      <c r="CX43">
        <v>0.7377059716383717</v>
      </c>
      <c r="CY43">
        <v>0.74347983005007956</v>
      </c>
      <c r="CZ43">
        <v>0.74935978154520277</v>
      </c>
      <c r="DA43">
        <v>0.75534726750794678</v>
      </c>
      <c r="DB43">
        <v>0.7614437336859482</v>
      </c>
      <c r="DC43">
        <v>0.76760010505333187</v>
      </c>
      <c r="DD43">
        <v>0.7735976002402708</v>
      </c>
      <c r="DE43">
        <v>0.77944031933092273</v>
      </c>
    </row>
    <row r="44" spans="1:109" x14ac:dyDescent="0.2">
      <c r="A44" t="s">
        <v>474</v>
      </c>
      <c r="B44">
        <v>0.36852024078369139</v>
      </c>
      <c r="C44">
        <v>0.39332890623941064</v>
      </c>
      <c r="D44">
        <v>0.43267104377250326</v>
      </c>
      <c r="E44">
        <v>0.4659646130986107</v>
      </c>
      <c r="F44">
        <v>0.52028622283819392</v>
      </c>
      <c r="G44">
        <v>0.48554648063208877</v>
      </c>
      <c r="H44">
        <v>0.49719328806324414</v>
      </c>
      <c r="I44">
        <v>0.52187334306696365</v>
      </c>
      <c r="J44">
        <v>0.56596529579110899</v>
      </c>
      <c r="K44">
        <v>0.62314838300127828</v>
      </c>
      <c r="L44">
        <v>0.67373710685078458</v>
      </c>
      <c r="M44">
        <v>0.7175347785585926</v>
      </c>
      <c r="N44">
        <v>0.7554530318976449</v>
      </c>
      <c r="O44">
        <v>0.78828112252941729</v>
      </c>
      <c r="P44">
        <v>0.59165753244020913</v>
      </c>
      <c r="Q44">
        <v>0.58987953842507901</v>
      </c>
      <c r="R44">
        <v>0.58758058382332135</v>
      </c>
      <c r="S44">
        <v>0.5835375304675422</v>
      </c>
      <c r="T44">
        <v>0.57960169439788278</v>
      </c>
      <c r="U44">
        <v>0.57577317320422927</v>
      </c>
      <c r="V44">
        <v>0.57206160602155809</v>
      </c>
      <c r="W44">
        <v>0.56847441645268559</v>
      </c>
      <c r="X44">
        <v>0.56501738575662463</v>
      </c>
      <c r="Y44">
        <v>0.56169499531670486</v>
      </c>
      <c r="Z44">
        <v>0.5585107311270946</v>
      </c>
      <c r="AA44">
        <v>0.55927015598825924</v>
      </c>
      <c r="AB44">
        <v>0.5605708098442802</v>
      </c>
      <c r="AC44">
        <v>0.56239539452826315</v>
      </c>
      <c r="AD44">
        <v>0.56472682189351842</v>
      </c>
      <c r="AE44">
        <v>0.56754822528633642</v>
      </c>
      <c r="AF44">
        <v>0.57084296988706529</v>
      </c>
      <c r="AG44">
        <v>0.57459466198623399</v>
      </c>
      <c r="AH44">
        <v>0.57878715725908947</v>
      </c>
      <c r="AI44">
        <v>0.58547313916353916</v>
      </c>
      <c r="AJ44">
        <v>0.59177198417544741</v>
      </c>
      <c r="AK44">
        <v>0.59770918072409851</v>
      </c>
      <c r="AL44">
        <v>0.60330852646356303</v>
      </c>
      <c r="AM44">
        <v>0.6085922640298238</v>
      </c>
      <c r="AN44">
        <v>0.61358120264887417</v>
      </c>
      <c r="AO44">
        <v>0.61829482744828845</v>
      </c>
      <c r="AP44">
        <v>0.62275139803903778</v>
      </c>
      <c r="AQ44">
        <v>0.62584201209830559</v>
      </c>
      <c r="AR44">
        <v>0.62892734233266434</v>
      </c>
      <c r="AS44">
        <v>0.63201879473929801</v>
      </c>
      <c r="AT44">
        <v>0.6351269583704674</v>
      </c>
      <c r="AU44">
        <v>0.63826172932576175</v>
      </c>
      <c r="AV44">
        <v>0.64143241565062603</v>
      </c>
      <c r="AW44">
        <v>0.644647826873884</v>
      </c>
      <c r="AX44">
        <v>0.64791635109963808</v>
      </c>
      <c r="AY44">
        <v>0.65124602195265058</v>
      </c>
      <c r="AZ44">
        <v>0.65464457720696612</v>
      </c>
      <c r="BA44">
        <v>0.6581195105667943</v>
      </c>
      <c r="BB44">
        <v>0.66167811778902319</v>
      </c>
      <c r="BC44">
        <v>0.66532753498543307</v>
      </c>
      <c r="BD44">
        <v>0.66907477345984712</v>
      </c>
      <c r="BE44">
        <v>0.67292675165007987</v>
      </c>
      <c r="BF44">
        <v>0.67689032465451104</v>
      </c>
      <c r="BG44">
        <v>0.68097231175046324</v>
      </c>
      <c r="BH44">
        <v>0.68517952225269441</v>
      </c>
      <c r="BI44">
        <v>0.68951878001245204</v>
      </c>
      <c r="BJ44">
        <v>0.69399694681852142</v>
      </c>
      <c r="BK44">
        <v>0.69862094492985072</v>
      </c>
      <c r="BL44">
        <v>0.70339777894333355</v>
      </c>
      <c r="BM44">
        <v>0.70833455717912974</v>
      </c>
      <c r="BN44">
        <v>0.71343851274868897</v>
      </c>
      <c r="BO44">
        <v>0.71871702445674357</v>
      </c>
      <c r="BP44">
        <v>0.72417763767744614</v>
      </c>
      <c r="BQ44">
        <v>0.72982808533611543</v>
      </c>
      <c r="BR44">
        <v>0.73567630912139315</v>
      </c>
      <c r="BS44">
        <v>0.74173048104774109</v>
      </c>
      <c r="BT44">
        <v>0.74799902548490227</v>
      </c>
      <c r="BU44">
        <v>0.75436530342338148</v>
      </c>
      <c r="BV44">
        <v>0.76057075065528135</v>
      </c>
      <c r="BW44">
        <v>0.76661943023226686</v>
      </c>
      <c r="BX44">
        <v>0.77251530256149481</v>
      </c>
      <c r="BY44">
        <v>0.77826222799871214</v>
      </c>
      <c r="BZ44">
        <v>0.78386396937584624</v>
      </c>
      <c r="CA44">
        <v>0.78932419446474</v>
      </c>
      <c r="CB44">
        <v>0.79464647837864655</v>
      </c>
      <c r="CC44">
        <v>0.79983430591305449</v>
      </c>
      <c r="CD44">
        <v>0.80489107382737768</v>
      </c>
      <c r="CE44">
        <v>0.8098200930690026</v>
      </c>
      <c r="CF44">
        <v>0.81462459094114992</v>
      </c>
      <c r="CG44">
        <v>0.81930771321596962</v>
      </c>
      <c r="CH44">
        <v>0.82387252619425289</v>
      </c>
      <c r="CI44">
        <v>0.82832201871310995</v>
      </c>
      <c r="CJ44">
        <v>0.8326591041029282</v>
      </c>
      <c r="CK44">
        <v>0.83688662209489162</v>
      </c>
      <c r="CL44">
        <v>0.8410073406803108</v>
      </c>
      <c r="CM44">
        <v>0.84502395792298124</v>
      </c>
      <c r="CN44">
        <v>0.84893910372575532</v>
      </c>
      <c r="CO44">
        <v>0.85275534155248645</v>
      </c>
      <c r="CP44">
        <v>0.85647517010647145</v>
      </c>
      <c r="CQ44">
        <v>0.86010102496649077</v>
      </c>
      <c r="CR44">
        <v>0.86363528018151703</v>
      </c>
      <c r="CS44">
        <v>0.86708024982513765</v>
      </c>
      <c r="CT44">
        <v>0.87043818951070706</v>
      </c>
      <c r="CU44">
        <v>0.87371129786822255</v>
      </c>
      <c r="CV44">
        <v>0.87690171798388983</v>
      </c>
      <c r="CW44">
        <v>0.8800115388033205</v>
      </c>
      <c r="CX44">
        <v>0.88304279649928119</v>
      </c>
      <c r="CY44">
        <v>0.88599747580488941</v>
      </c>
      <c r="CZ44">
        <v>0.88887751131312831</v>
      </c>
      <c r="DA44">
        <v>0.89168478874353274</v>
      </c>
      <c r="DB44">
        <v>0.89442114617687452</v>
      </c>
      <c r="DC44">
        <v>0.89708837525865659</v>
      </c>
      <c r="DD44">
        <v>0.89968822237220269</v>
      </c>
      <c r="DE44">
        <v>0.90222238978211178</v>
      </c>
    </row>
    <row r="45" spans="1:109" x14ac:dyDescent="0.2">
      <c r="A45" t="s">
        <v>475</v>
      </c>
      <c r="B45">
        <v>0.55213714599609376</v>
      </c>
      <c r="C45">
        <v>0.58717420817280608</v>
      </c>
      <c r="D45">
        <v>0.58357611224694617</v>
      </c>
      <c r="E45">
        <v>0.55931342381162774</v>
      </c>
      <c r="F45">
        <v>0.57797259733992801</v>
      </c>
      <c r="G45">
        <v>0.60803900352825269</v>
      </c>
      <c r="H45">
        <v>0.65401711985782829</v>
      </c>
      <c r="I45">
        <v>0.67408296682708191</v>
      </c>
      <c r="J45">
        <v>0.71717801415491766</v>
      </c>
      <c r="K45">
        <v>0.75514415970162607</v>
      </c>
      <c r="L45">
        <v>0.7880137134704116</v>
      </c>
      <c r="M45">
        <v>0.81647084414304982</v>
      </c>
      <c r="N45">
        <v>0.8411078773019437</v>
      </c>
      <c r="O45">
        <v>0.86243762448745498</v>
      </c>
      <c r="P45">
        <v>0.77166852087683924</v>
      </c>
      <c r="Q45">
        <v>0.78760233157250892</v>
      </c>
      <c r="R45">
        <v>0.80242422233379018</v>
      </c>
      <c r="S45">
        <v>0.80679890537142496</v>
      </c>
      <c r="T45">
        <v>0.81107672505918038</v>
      </c>
      <c r="U45">
        <v>0.81525982612582171</v>
      </c>
      <c r="V45">
        <v>0.81935030581196233</v>
      </c>
      <c r="W45">
        <v>0.82309787341450824</v>
      </c>
      <c r="X45">
        <v>0.82650618430494438</v>
      </c>
      <c r="Y45">
        <v>0.82961157700177257</v>
      </c>
      <c r="Z45">
        <v>0.83244662494268629</v>
      </c>
      <c r="AA45">
        <v>0.83691517390236436</v>
      </c>
      <c r="AB45">
        <v>0.8412645493163099</v>
      </c>
      <c r="AC45">
        <v>0.84549792947217961</v>
      </c>
      <c r="AD45">
        <v>0.84961840789458709</v>
      </c>
      <c r="AE45">
        <v>0.85362899560568217</v>
      </c>
      <c r="AF45">
        <v>0.85753262332544333</v>
      </c>
      <c r="AG45">
        <v>0.86133214361328825</v>
      </c>
      <c r="AH45">
        <v>0.86503033295256992</v>
      </c>
      <c r="AI45">
        <v>0.85985946557511372</v>
      </c>
      <c r="AJ45">
        <v>0.8548948161816613</v>
      </c>
      <c r="AK45">
        <v>0.85012999271589784</v>
      </c>
      <c r="AL45">
        <v>0.84555944449774423</v>
      </c>
      <c r="AM45">
        <v>0.84117839713589426</v>
      </c>
      <c r="AN45">
        <v>0.83698279346335913</v>
      </c>
      <c r="AO45">
        <v>0.83296923967983216</v>
      </c>
      <c r="AP45">
        <v>0.82913495606572707</v>
      </c>
      <c r="AQ45">
        <v>0.83883013422004049</v>
      </c>
      <c r="AR45">
        <v>0.84797519119520837</v>
      </c>
      <c r="AS45">
        <v>0.8566013418185322</v>
      </c>
      <c r="AT45">
        <v>0.86473802973401726</v>
      </c>
      <c r="AU45">
        <v>0.8724130279023764</v>
      </c>
      <c r="AV45">
        <v>0.87965253339849014</v>
      </c>
      <c r="AW45">
        <v>0.88648125682989465</v>
      </c>
      <c r="AX45">
        <v>0.89292250668151019</v>
      </c>
      <c r="AY45">
        <v>0.89899826887450385</v>
      </c>
      <c r="AZ45">
        <v>0.90472928181084455</v>
      </c>
      <c r="BA45">
        <v>0.91013510715970036</v>
      </c>
      <c r="BB45">
        <v>0.91523419662729288</v>
      </c>
      <c r="BC45">
        <v>0.92004395493811519</v>
      </c>
      <c r="BD45">
        <v>0.92458079924248604</v>
      </c>
      <c r="BE45">
        <v>0.92886021515321671</v>
      </c>
      <c r="BF45">
        <v>0.93289680960266075</v>
      </c>
      <c r="BG45">
        <v>0.93670436070056273</v>
      </c>
      <c r="BH45">
        <v>0.94029586476288729</v>
      </c>
      <c r="BI45">
        <v>0.94368358067215008</v>
      </c>
      <c r="BJ45">
        <v>0.94687907172066765</v>
      </c>
      <c r="BK45">
        <v>0.9498932450795482</v>
      </c>
      <c r="BL45">
        <v>0.95273638902814406</v>
      </c>
      <c r="BM45">
        <v>0.95541820807104072</v>
      </c>
      <c r="BN45">
        <v>0.95794785606244648</v>
      </c>
      <c r="BO45">
        <v>0.96033396745104771</v>
      </c>
      <c r="BP45">
        <v>0.96258468675197639</v>
      </c>
      <c r="BQ45">
        <v>0.96470769634648756</v>
      </c>
      <c r="BR45">
        <v>0.966710242704235</v>
      </c>
      <c r="BS45">
        <v>0.96859916111764932</v>
      </c>
      <c r="BT45">
        <v>0.97038089903284508</v>
      </c>
      <c r="BU45">
        <v>0.97206153805669149</v>
      </c>
      <c r="BV45">
        <v>0.97364681471516401</v>
      </c>
      <c r="BW45">
        <v>0.97514214003383126</v>
      </c>
      <c r="BX45">
        <v>0.97655261800731119</v>
      </c>
      <c r="BY45">
        <v>0.97788306302073835</v>
      </c>
      <c r="BZ45">
        <v>0.97913801628270658</v>
      </c>
      <c r="CA45">
        <v>0.98032176132577897</v>
      </c>
      <c r="CB45">
        <v>0.98143833862747132</v>
      </c>
      <c r="CC45">
        <v>0.98249155940161592</v>
      </c>
      <c r="CD45">
        <v>0.98348501860717963</v>
      </c>
      <c r="CE45">
        <v>0.98442210721893897</v>
      </c>
      <c r="CF45">
        <v>0.98530602380189591</v>
      </c>
      <c r="CG45">
        <v>0.98613978542894154</v>
      </c>
      <c r="CH45">
        <v>0.98692623797903201</v>
      </c>
      <c r="CI45">
        <v>0.98766806585102873</v>
      </c>
      <c r="CJ45">
        <v>0.98836780112635825</v>
      </c>
      <c r="CK45">
        <v>0.98902783221176704</v>
      </c>
      <c r="CL45">
        <v>0.98965041199167136</v>
      </c>
      <c r="CM45">
        <v>0.99023766551792858</v>
      </c>
      <c r="CN45">
        <v>0.99079159726327781</v>
      </c>
      <c r="CO45">
        <v>0.99131409796320757</v>
      </c>
      <c r="CP45">
        <v>0.99180695106960426</v>
      </c>
      <c r="CQ45">
        <v>0.99227183883820924</v>
      </c>
      <c r="CR45">
        <v>0.99271034807066305</v>
      </c>
      <c r="CS45">
        <v>0.99312397553073639</v>
      </c>
      <c r="CT45">
        <v>0.99351413305323455</v>
      </c>
      <c r="CU45">
        <v>0.99388215236301358</v>
      </c>
      <c r="CV45">
        <v>0.9942292896205579</v>
      </c>
      <c r="CW45">
        <v>0.99455672970963283</v>
      </c>
      <c r="CX45">
        <v>0.99486559028164945</v>
      </c>
      <c r="CY45">
        <v>0.99515692557054447</v>
      </c>
      <c r="CZ45">
        <v>0.99543172999119722</v>
      </c>
      <c r="DA45">
        <v>0.99569094153366688</v>
      </c>
      <c r="DB45">
        <v>0.99593544496483399</v>
      </c>
      <c r="DC45">
        <v>0.99616607484837594</v>
      </c>
      <c r="DD45">
        <v>0.9963836183933833</v>
      </c>
      <c r="DE45">
        <v>0.99658881814134126</v>
      </c>
    </row>
    <row r="46" spans="1:109" x14ac:dyDescent="0.2">
      <c r="A46" t="s">
        <v>476</v>
      </c>
      <c r="B46">
        <v>0.65300369262695313</v>
      </c>
      <c r="C46">
        <v>0.64759984897599676</v>
      </c>
      <c r="D46">
        <v>0.69490619747108118</v>
      </c>
      <c r="E46">
        <v>0.73586212130988915</v>
      </c>
      <c r="F46">
        <v>0.77132010424138797</v>
      </c>
      <c r="G46">
        <v>0.75398638251707084</v>
      </c>
      <c r="H46">
        <v>0.78701135679522072</v>
      </c>
      <c r="I46">
        <v>0.77805721195959576</v>
      </c>
      <c r="J46">
        <v>0.79918954173931922</v>
      </c>
      <c r="K46">
        <v>0.82614642439766495</v>
      </c>
      <c r="L46">
        <v>0.8494846034837471</v>
      </c>
      <c r="M46">
        <v>0.86968985532822973</v>
      </c>
      <c r="N46">
        <v>0.88718274543731412</v>
      </c>
      <c r="O46">
        <v>0.90232738242198307</v>
      </c>
      <c r="P46">
        <v>0.34013319951884968</v>
      </c>
      <c r="Q46">
        <v>0.33604370288817065</v>
      </c>
      <c r="R46">
        <v>0.33187805136881932</v>
      </c>
      <c r="S46">
        <v>0.32890669854664373</v>
      </c>
      <c r="T46">
        <v>0.326050617398981</v>
      </c>
      <c r="U46">
        <v>0.32330566025630103</v>
      </c>
      <c r="V46">
        <v>0.32066793104805774</v>
      </c>
      <c r="W46">
        <v>0.31813397671434723</v>
      </c>
      <c r="X46">
        <v>0.31569911917279331</v>
      </c>
      <c r="Y46">
        <v>0.31335904948716448</v>
      </c>
      <c r="Z46">
        <v>0.31110999608894102</v>
      </c>
      <c r="AA46">
        <v>0.31505374498318295</v>
      </c>
      <c r="AB46">
        <v>0.31894077109788843</v>
      </c>
      <c r="AC46">
        <v>0.32276609392693567</v>
      </c>
      <c r="AD46">
        <v>0.32652566864789445</v>
      </c>
      <c r="AE46">
        <v>0.33021625146356703</v>
      </c>
      <c r="AF46">
        <v>0.33383527931615686</v>
      </c>
      <c r="AG46">
        <v>0.33738076326382993</v>
      </c>
      <c r="AH46">
        <v>0.34085119468832381</v>
      </c>
      <c r="AI46">
        <v>0.34024745199165279</v>
      </c>
      <c r="AJ46">
        <v>0.33974338581492208</v>
      </c>
      <c r="AK46">
        <v>0.33934111542607454</v>
      </c>
      <c r="AL46">
        <v>0.33904297046965598</v>
      </c>
      <c r="AM46">
        <v>0.33885142985517047</v>
      </c>
      <c r="AN46">
        <v>0.33876907228497583</v>
      </c>
      <c r="AO46">
        <v>0.33879853682308408</v>
      </c>
      <c r="AP46">
        <v>0.3389424920991691</v>
      </c>
      <c r="AQ46">
        <v>0.35582687832522186</v>
      </c>
      <c r="AR46">
        <v>0.37228001236092317</v>
      </c>
      <c r="AS46">
        <v>0.38831290902488663</v>
      </c>
      <c r="AT46">
        <v>0.40393630180097145</v>
      </c>
      <c r="AU46">
        <v>0.419160650023988</v>
      </c>
      <c r="AV46">
        <v>0.43399614588186974</v>
      </c>
      <c r="AW46">
        <v>0.44845272123899976</v>
      </c>
      <c r="AX46">
        <v>0.46254005428525896</v>
      </c>
      <c r="AY46">
        <v>0.476267576015248</v>
      </c>
      <c r="AZ46">
        <v>0.48964447654202026</v>
      </c>
      <c r="BA46">
        <v>0.5026797112495528</v>
      </c>
      <c r="BB46">
        <v>0.515382006788074</v>
      </c>
      <c r="BC46">
        <v>0.52775986691626164</v>
      </c>
      <c r="BD46">
        <v>0.53982157819422283</v>
      </c>
      <c r="BE46">
        <v>0.5515752155310667</v>
      </c>
      <c r="BF46">
        <v>0.56302864759078364</v>
      </c>
      <c r="BG46">
        <v>0.57418954206005068</v>
      </c>
      <c r="BH46">
        <v>0.58506537078148935</v>
      </c>
      <c r="BI46">
        <v>0.5956634147558123</v>
      </c>
      <c r="BJ46">
        <v>0.60599076901620796</v>
      </c>
      <c r="BK46">
        <v>0.61605434737822606</v>
      </c>
      <c r="BL46">
        <v>0.62586088706834397</v>
      </c>
      <c r="BM46">
        <v>0.63541695323431291</v>
      </c>
      <c r="BN46">
        <v>0.64472894334030284</v>
      </c>
      <c r="BO46">
        <v>0.65380309144978932</v>
      </c>
      <c r="BP46">
        <v>0.66264547239904881</v>
      </c>
      <c r="BQ46">
        <v>0.67126200586405638</v>
      </c>
      <c r="BR46">
        <v>0.67965846032350985</v>
      </c>
      <c r="BS46">
        <v>0.68784045692063145</v>
      </c>
      <c r="BT46">
        <v>0.69581347322633369</v>
      </c>
      <c r="BU46">
        <v>0.70358284690626871</v>
      </c>
      <c r="BV46">
        <v>0.71115377929421519</v>
      </c>
      <c r="BW46">
        <v>0.71853133887419618</v>
      </c>
      <c r="BX46">
        <v>0.72572046467365836</v>
      </c>
      <c r="BY46">
        <v>0.73272596956998426</v>
      </c>
      <c r="BZ46">
        <v>0.7395525435125514</v>
      </c>
      <c r="CA46">
        <v>0.74620475666249542</v>
      </c>
      <c r="CB46">
        <v>0.75268706245227901</v>
      </c>
      <c r="CC46">
        <v>0.75900380056711458</v>
      </c>
      <c r="CD46">
        <v>0.76515919985023728</v>
      </c>
      <c r="CE46">
        <v>0.77115738113397314</v>
      </c>
      <c r="CF46">
        <v>0.77700235999849732</v>
      </c>
      <c r="CG46">
        <v>0.78269804946012955</v>
      </c>
      <c r="CH46">
        <v>0.78824826259096692</v>
      </c>
      <c r="CI46">
        <v>0.79365671507160673</v>
      </c>
      <c r="CJ46">
        <v>0.79892702767866985</v>
      </c>
      <c r="CK46">
        <v>0.80406272870878814</v>
      </c>
      <c r="CL46">
        <v>0.80906725634068066</v>
      </c>
      <c r="CM46">
        <v>0.81394396093689791</v>
      </c>
      <c r="CN46">
        <v>0.81869610728677678</v>
      </c>
      <c r="CO46">
        <v>0.82332687679210725</v>
      </c>
      <c r="CP46">
        <v>0.82783936959697313</v>
      </c>
      <c r="CQ46">
        <v>0.83223660666319443</v>
      </c>
      <c r="CR46">
        <v>0.83652153179275934</v>
      </c>
      <c r="CS46">
        <v>0.84069701359860038</v>
      </c>
      <c r="CT46">
        <v>0.84476584742503413</v>
      </c>
      <c r="CU46">
        <v>0.84873075721914981</v>
      </c>
      <c r="CV46">
        <v>0.85259439735440046</v>
      </c>
      <c r="CW46">
        <v>0.85635935440761601</v>
      </c>
      <c r="CX46">
        <v>0.86002814889062973</v>
      </c>
      <c r="CY46">
        <v>0.8636032369376756</v>
      </c>
      <c r="CZ46">
        <v>0.8670870119496874</v>
      </c>
      <c r="DA46">
        <v>0.87048180619660009</v>
      </c>
      <c r="DB46">
        <v>0.87378989237872606</v>
      </c>
      <c r="DC46">
        <v>0.87701348514825095</v>
      </c>
      <c r="DD46">
        <v>0.88015474259186899</v>
      </c>
      <c r="DE46">
        <v>0.88321576767554921</v>
      </c>
    </row>
    <row r="47" spans="1:109" x14ac:dyDescent="0.2">
      <c r="A47" t="s">
        <v>477</v>
      </c>
      <c r="B47">
        <v>0.33300739288330078</v>
      </c>
      <c r="C47">
        <v>0.36396638670925963</v>
      </c>
      <c r="D47">
        <v>0.33143609355697606</v>
      </c>
      <c r="E47">
        <v>0.31247492185421655</v>
      </c>
      <c r="F47">
        <v>0.31834035187449206</v>
      </c>
      <c r="G47">
        <v>0.31687543323468448</v>
      </c>
      <c r="H47">
        <v>0.37022141167762934</v>
      </c>
      <c r="I47">
        <v>0.40024494141303291</v>
      </c>
      <c r="J47">
        <v>0.44580694280927136</v>
      </c>
      <c r="K47">
        <v>0.51471239771898503</v>
      </c>
      <c r="L47">
        <v>0.57985761507244149</v>
      </c>
      <c r="M47">
        <v>0.63625771030845402</v>
      </c>
      <c r="N47">
        <v>0.68508663239758238</v>
      </c>
      <c r="O47">
        <v>0.72736073889348418</v>
      </c>
      <c r="P47">
        <v>0.59665181226496977</v>
      </c>
      <c r="Q47">
        <v>0.58099267108955455</v>
      </c>
      <c r="R47">
        <v>0.5658273220622041</v>
      </c>
      <c r="S47">
        <v>0.5652069639364905</v>
      </c>
      <c r="T47">
        <v>0.56460323574478177</v>
      </c>
      <c r="U47">
        <v>0.56401569168860521</v>
      </c>
      <c r="V47">
        <v>0.56344389792000316</v>
      </c>
      <c r="W47">
        <v>0.56288743222117588</v>
      </c>
      <c r="X47">
        <v>0.56234588369271188</v>
      </c>
      <c r="Y47">
        <v>0.56181885245017593</v>
      </c>
      <c r="Z47">
        <v>0.56130594932883104</v>
      </c>
      <c r="AA47">
        <v>0.56131958312853003</v>
      </c>
      <c r="AB47">
        <v>0.56133287718751756</v>
      </c>
      <c r="AC47">
        <v>0.56134583997179388</v>
      </c>
      <c r="AD47">
        <v>0.56135847973639486</v>
      </c>
      <c r="AE47">
        <v>0.56137080453064914</v>
      </c>
      <c r="AF47">
        <v>0.56138282220330415</v>
      </c>
      <c r="AG47">
        <v>0.56139454040752423</v>
      </c>
      <c r="AH47">
        <v>0.56140596660576458</v>
      </c>
      <c r="AI47">
        <v>0.56472529180692355</v>
      </c>
      <c r="AJ47">
        <v>0.56796164640806091</v>
      </c>
      <c r="AK47">
        <v>0.57111710436097429</v>
      </c>
      <c r="AL47">
        <v>0.57419368777649538</v>
      </c>
      <c r="AM47">
        <v>0.57719336822031808</v>
      </c>
      <c r="AN47">
        <v>0.5801180679764365</v>
      </c>
      <c r="AO47">
        <v>0.58296966127900118</v>
      </c>
      <c r="AP47">
        <v>0.58574997551338392</v>
      </c>
      <c r="AQ47">
        <v>0.58513684671922128</v>
      </c>
      <c r="AR47">
        <v>0.58453907067869504</v>
      </c>
      <c r="AS47">
        <v>0.58395626295863812</v>
      </c>
      <c r="AT47">
        <v>0.58338804875209527</v>
      </c>
      <c r="AU47">
        <v>0.58283406263728255</v>
      </c>
      <c r="AV47">
        <v>0.58229394834258286</v>
      </c>
      <c r="AW47">
        <v>0.58176735851742534</v>
      </c>
      <c r="AX47">
        <v>0.58125395450890216</v>
      </c>
      <c r="AY47">
        <v>0.5807534061439793</v>
      </c>
      <c r="AZ47">
        <v>0.58026539151715995</v>
      </c>
      <c r="BA47">
        <v>0.57978959678346564</v>
      </c>
      <c r="BB47">
        <v>0.57932571595660054</v>
      </c>
      <c r="BC47">
        <v>0.57887345071216989</v>
      </c>
      <c r="BD47">
        <v>0.57843251019582598</v>
      </c>
      <c r="BE47">
        <v>0.57800261083621818</v>
      </c>
      <c r="BF47">
        <v>0.5775834761626264</v>
      </c>
      <c r="BG47">
        <v>0.57717483662716118</v>
      </c>
      <c r="BH47">
        <v>0.57677642943141616</v>
      </c>
      <c r="BI47">
        <v>0.5763879983574608</v>
      </c>
      <c r="BJ47">
        <v>0.57600929360306496</v>
      </c>
      <c r="BK47">
        <v>0.57564007162104991</v>
      </c>
      <c r="BL47">
        <v>0.57528009496266186</v>
      </c>
      <c r="BM47">
        <v>0.57492913212486696</v>
      </c>
      <c r="BN47">
        <v>0.5745869574014707</v>
      </c>
      <c r="BO47">
        <v>0.57425335073796491</v>
      </c>
      <c r="BP47">
        <v>0.57392809759000929</v>
      </c>
      <c r="BQ47">
        <v>0.5736109887854568</v>
      </c>
      <c r="BR47">
        <v>0.57330182038983402</v>
      </c>
      <c r="BS47">
        <v>0.57300039357518961</v>
      </c>
      <c r="BT47">
        <v>0.57270651449222687</v>
      </c>
      <c r="BU47">
        <v>0.57241999414563827</v>
      </c>
      <c r="BV47">
        <v>0.57214064827256139</v>
      </c>
      <c r="BW47">
        <v>0.57186829722407861</v>
      </c>
      <c r="BX47">
        <v>0.5716027658496835</v>
      </c>
      <c r="BY47">
        <v>0.57134388338464093</v>
      </c>
      <c r="BZ47">
        <v>0.57109148334016724</v>
      </c>
      <c r="CA47">
        <v>0.57084540339636003</v>
      </c>
      <c r="CB47">
        <v>0.57060548529780963</v>
      </c>
      <c r="CC47">
        <v>0.5703715747518241</v>
      </c>
      <c r="CD47">
        <v>0.57014352132920265</v>
      </c>
      <c r="CE47">
        <v>0.56992117836749379</v>
      </c>
      <c r="CF47">
        <v>0.5697044028766759</v>
      </c>
      <c r="CG47">
        <v>0.56949305544719953</v>
      </c>
      <c r="CH47">
        <v>0.56928700016033218</v>
      </c>
      <c r="CI47">
        <v>0.56908610450074859</v>
      </c>
      <c r="CJ47">
        <v>0.56889023927130877</v>
      </c>
      <c r="CK47">
        <v>0.56869927850997126</v>
      </c>
      <c r="CL47">
        <v>0.56851309940878558</v>
      </c>
      <c r="CM47">
        <v>0.56833158223491442</v>
      </c>
      <c r="CN47">
        <v>0.56815461025363201</v>
      </c>
      <c r="CO47">
        <v>0.56798206965325204</v>
      </c>
      <c r="CP47">
        <v>0.56781384947193436</v>
      </c>
      <c r="CQ47">
        <v>0.56764984152632481</v>
      </c>
      <c r="CR47">
        <v>0.56748994034198197</v>
      </c>
      <c r="CS47">
        <v>0.56733404308554591</v>
      </c>
      <c r="CT47">
        <v>0.5671820494986054</v>
      </c>
      <c r="CU47">
        <v>0.56703386183322146</v>
      </c>
      <c r="CV47">
        <v>0.56688938478906459</v>
      </c>
      <c r="CW47">
        <v>0.56674852545212717</v>
      </c>
      <c r="CX47">
        <v>0.56661119323496945</v>
      </c>
      <c r="CY47">
        <v>0.56647729981846251</v>
      </c>
      <c r="CZ47">
        <v>0.56634675909498966</v>
      </c>
      <c r="DA47">
        <v>0.56621948711307002</v>
      </c>
      <c r="DB47">
        <v>0.56609540202336917</v>
      </c>
      <c r="DC47">
        <v>0.56597442402606113</v>
      </c>
      <c r="DD47">
        <v>0.56585647531950867</v>
      </c>
      <c r="DE47">
        <v>0.56574148005022851</v>
      </c>
    </row>
    <row r="48" spans="1:109" x14ac:dyDescent="0.2">
      <c r="A48" t="s">
        <v>478</v>
      </c>
      <c r="B48">
        <v>0.7371634674072266</v>
      </c>
      <c r="C48">
        <v>0.70201229319027614</v>
      </c>
      <c r="D48">
        <v>0.62119790290914279</v>
      </c>
      <c r="E48">
        <v>0.5605007059509356</v>
      </c>
      <c r="F48">
        <v>0.53064420478990226</v>
      </c>
      <c r="G48">
        <v>0.55836743981104031</v>
      </c>
      <c r="H48">
        <v>0.58033134111830953</v>
      </c>
      <c r="I48">
        <v>0.63666772047557518</v>
      </c>
      <c r="J48">
        <v>0.68544147993304239</v>
      </c>
      <c r="K48">
        <v>0.72766782885278491</v>
      </c>
      <c r="L48">
        <v>0.76422569445358512</v>
      </c>
      <c r="M48">
        <v>0.79587601638471706</v>
      </c>
      <c r="N48">
        <v>0.82327758542824392</v>
      </c>
      <c r="O48">
        <v>0.84700075600707525</v>
      </c>
      <c r="P48">
        <v>0.62824385742499789</v>
      </c>
      <c r="Q48">
        <v>0.64124643556927308</v>
      </c>
      <c r="R48">
        <v>0.65379423430566297</v>
      </c>
      <c r="S48">
        <v>0.65836442628929492</v>
      </c>
      <c r="T48">
        <v>0.662826724573505</v>
      </c>
      <c r="U48">
        <v>0.66718367632708098</v>
      </c>
      <c r="V48">
        <v>0.67143776858491167</v>
      </c>
      <c r="W48">
        <v>0.67559142966763563</v>
      </c>
      <c r="X48">
        <v>0.67964703056777553</v>
      </c>
      <c r="Y48">
        <v>0.68360688630314725</v>
      </c>
      <c r="Z48">
        <v>0.68747325723831887</v>
      </c>
      <c r="AA48">
        <v>0.68898705544626238</v>
      </c>
      <c r="AB48">
        <v>0.69046315985645357</v>
      </c>
      <c r="AC48">
        <v>0.69190250904999362</v>
      </c>
      <c r="AD48">
        <v>0.69330601823717641</v>
      </c>
      <c r="AE48">
        <v>0.69467457983942515</v>
      </c>
      <c r="AF48">
        <v>0.69600906405673835</v>
      </c>
      <c r="AG48">
        <v>0.69731031942100685</v>
      </c>
      <c r="AH48">
        <v>0.69857917333555275</v>
      </c>
      <c r="AI48">
        <v>0.69704978888314129</v>
      </c>
      <c r="AJ48">
        <v>0.69555862591228768</v>
      </c>
      <c r="AK48">
        <v>0.69410472921408417</v>
      </c>
      <c r="AL48">
        <v>0.69268716745164505</v>
      </c>
      <c r="AM48">
        <v>0.69130503256351128</v>
      </c>
      <c r="AN48">
        <v>0.68995743918196473</v>
      </c>
      <c r="AO48">
        <v>0.68864352406587925</v>
      </c>
      <c r="AP48">
        <v>0.68736244554774595</v>
      </c>
      <c r="AQ48">
        <v>0.68392458104197751</v>
      </c>
      <c r="AR48">
        <v>0.68057012237884784</v>
      </c>
      <c r="AS48">
        <v>0.67729704605377306</v>
      </c>
      <c r="AT48">
        <v>0.67410337765430317</v>
      </c>
      <c r="AU48">
        <v>0.67098719066910073</v>
      </c>
      <c r="AV48">
        <v>0.66794660532581429</v>
      </c>
      <c r="AW48">
        <v>0.66497978745714659</v>
      </c>
      <c r="AX48">
        <v>0.6620849473944328</v>
      </c>
      <c r="AY48">
        <v>0.65926033888806157</v>
      </c>
      <c r="AZ48">
        <v>0.65650425805408796</v>
      </c>
      <c r="BA48">
        <v>0.65381504234640198</v>
      </c>
      <c r="BB48">
        <v>0.65119106955383399</v>
      </c>
      <c r="BC48">
        <v>0.64863075682159077</v>
      </c>
      <c r="BD48">
        <v>0.64613255969643246</v>
      </c>
      <c r="BE48">
        <v>0.64369497119501484</v>
      </c>
      <c r="BF48">
        <v>0.64131652089483415</v>
      </c>
      <c r="BG48">
        <v>0.63899577404722641</v>
      </c>
      <c r="BH48">
        <v>0.63673133071188659</v>
      </c>
      <c r="BI48">
        <v>0.63452182491238485</v>
      </c>
      <c r="BJ48">
        <v>0.63236592381217049</v>
      </c>
      <c r="BK48">
        <v>0.63026232691056772</v>
      </c>
      <c r="BL48">
        <v>0.62820976525827632</v>
      </c>
      <c r="BM48">
        <v>0.6262070006919056</v>
      </c>
      <c r="BN48">
        <v>0.62425282508707913</v>
      </c>
      <c r="BO48">
        <v>0.62234605962965994</v>
      </c>
      <c r="BP48">
        <v>0.62048555410465622</v>
      </c>
      <c r="BQ48">
        <v>0.61867018620237924</v>
      </c>
      <c r="BR48">
        <v>0.61689886084143419</v>
      </c>
      <c r="BS48">
        <v>0.61517050950813601</v>
      </c>
      <c r="BT48">
        <v>0.61348408961195167</v>
      </c>
      <c r="BU48">
        <v>0.61183858385658008</v>
      </c>
      <c r="BV48">
        <v>0.61023299962628996</v>
      </c>
      <c r="BW48">
        <v>0.60866636838714605</v>
      </c>
      <c r="BX48">
        <v>0.60713774510276175</v>
      </c>
      <c r="BY48">
        <v>0.60564620766422661</v>
      </c>
      <c r="BZ48">
        <v>0.60419085633386405</v>
      </c>
      <c r="CA48">
        <v>0.60277081320248393</v>
      </c>
      <c r="CB48">
        <v>0.60138522165980302</v>
      </c>
      <c r="CC48">
        <v>0.60003324587771312</v>
      </c>
      <c r="CD48">
        <v>0.59871407030608625</v>
      </c>
      <c r="CE48">
        <v>0.59742689918081127</v>
      </c>
      <c r="CF48">
        <v>0.59617095604376669</v>
      </c>
      <c r="CG48">
        <v>0.59494548327443897</v>
      </c>
      <c r="CH48">
        <v>0.5937497416329045</v>
      </c>
      <c r="CI48">
        <v>0.59258300981389889</v>
      </c>
      <c r="CJ48">
        <v>0.59144458401170519</v>
      </c>
      <c r="CK48">
        <v>0.59033377749559868</v>
      </c>
      <c r="CL48">
        <v>0.58924992019559097</v>
      </c>
      <c r="CM48">
        <v>0.58819235829822514</v>
      </c>
      <c r="CN48">
        <v>0.58716045385217674</v>
      </c>
      <c r="CO48">
        <v>0.58615358438342335</v>
      </c>
      <c r="CP48">
        <v>0.58517114251975089</v>
      </c>
      <c r="CQ48">
        <v>0.58421253562436926</v>
      </c>
      <c r="CR48">
        <v>0.58327718543841711</v>
      </c>
      <c r="CS48">
        <v>0.58236452773213976</v>
      </c>
      <c r="CT48">
        <v>0.58147401196452964</v>
      </c>
      <c r="CU48">
        <v>0.58060510095122431</v>
      </c>
      <c r="CV48">
        <v>0.579757270540462</v>
      </c>
      <c r="CW48">
        <v>0.57893000929689808</v>
      </c>
      <c r="CX48">
        <v>0.57812281819309275</v>
      </c>
      <c r="CY48">
        <v>0.57733521030848367</v>
      </c>
      <c r="CZ48">
        <v>0.57656671053566155</v>
      </c>
      <c r="DA48">
        <v>0.57581685529377202</v>
      </c>
      <c r="DB48">
        <v>0.57508519224887056</v>
      </c>
      <c r="DC48">
        <v>0.57437128004106142</v>
      </c>
      <c r="DD48">
        <v>0.57367468801825738</v>
      </c>
      <c r="DE48">
        <v>0.57299499597639791</v>
      </c>
    </row>
    <row r="49" spans="1:109" x14ac:dyDescent="0.2">
      <c r="A49" t="s">
        <v>479</v>
      </c>
      <c r="B49">
        <v>0.53973793029785155</v>
      </c>
      <c r="C49">
        <v>0.53799314759298256</v>
      </c>
      <c r="D49">
        <v>0.60001314702707664</v>
      </c>
      <c r="E49">
        <v>0.65370755494718091</v>
      </c>
      <c r="F49">
        <v>0.70019400235442864</v>
      </c>
      <c r="G49">
        <v>0.67865430993147102</v>
      </c>
      <c r="H49">
        <v>0.65180428307724736</v>
      </c>
      <c r="I49">
        <v>0.6985461102509869</v>
      </c>
      <c r="J49">
        <v>0.73901329435447627</v>
      </c>
      <c r="K49">
        <v>0.77404814618384021</v>
      </c>
      <c r="L49">
        <v>0.80437990437008955</v>
      </c>
      <c r="M49">
        <v>0.83063991423540939</v>
      </c>
      <c r="N49">
        <v>0.85337476903322029</v>
      </c>
      <c r="O49">
        <v>0.87305768710249909</v>
      </c>
      <c r="P49">
        <v>0.79316411345837001</v>
      </c>
      <c r="Q49">
        <v>0.81383319015276989</v>
      </c>
      <c r="R49">
        <v>0.83243680935552222</v>
      </c>
      <c r="S49">
        <v>0.82783382516609194</v>
      </c>
      <c r="T49">
        <v>0.82433761417572793</v>
      </c>
      <c r="U49">
        <v>0.82186642021739398</v>
      </c>
      <c r="V49">
        <v>0.82034383989581294</v>
      </c>
      <c r="W49">
        <v>0.81969893435478736</v>
      </c>
      <c r="X49">
        <v>0.81986589693497647</v>
      </c>
      <c r="Y49">
        <v>0.82078373087320344</v>
      </c>
      <c r="Z49">
        <v>0.82239593694956958</v>
      </c>
      <c r="AA49">
        <v>0.80674633159495213</v>
      </c>
      <c r="AB49">
        <v>0.79158946958377563</v>
      </c>
      <c r="AC49">
        <v>0.77691153029876281</v>
      </c>
      <c r="AD49">
        <v>0.76269902363529951</v>
      </c>
      <c r="AE49">
        <v>0.74893878461561936</v>
      </c>
      <c r="AF49">
        <v>0.73561796794657019</v>
      </c>
      <c r="AG49">
        <v>0.72272404253286315</v>
      </c>
      <c r="AH49">
        <v>0.71024478595686724</v>
      </c>
      <c r="AI49">
        <v>0.71386672613240643</v>
      </c>
      <c r="AJ49">
        <v>0.71744339205575136</v>
      </c>
      <c r="AK49">
        <v>0.7209753496550545</v>
      </c>
      <c r="AL49">
        <v>0.72446315778436632</v>
      </c>
      <c r="AM49">
        <v>0.72790736831206171</v>
      </c>
      <c r="AN49">
        <v>0.73130852620816089</v>
      </c>
      <c r="AO49">
        <v>0.73466716963055889</v>
      </c>
      <c r="AP49">
        <v>0.73798383001017687</v>
      </c>
      <c r="AQ49">
        <v>0.74125903213504962</v>
      </c>
      <c r="AR49">
        <v>0.74449329423336152</v>
      </c>
      <c r="AS49">
        <v>0.74768712805544446</v>
      </c>
      <c r="AT49">
        <v>0.75084103895475141</v>
      </c>
      <c r="AU49">
        <v>0.75395552596781701</v>
      </c>
      <c r="AV49">
        <v>0.75703108189321933</v>
      </c>
      <c r="AW49">
        <v>0.76006819336955411</v>
      </c>
      <c r="AX49">
        <v>0.76306734095243467</v>
      </c>
      <c r="AY49">
        <v>0.76602899919052925</v>
      </c>
      <c r="AZ49">
        <v>0.76895363670064765</v>
      </c>
      <c r="BA49">
        <v>0.77184171624188957</v>
      </c>
      <c r="BB49">
        <v>0.77469369478886596</v>
      </c>
      <c r="BC49">
        <v>0.77751002360400512</v>
      </c>
      <c r="BD49">
        <v>0.78029114830895507</v>
      </c>
      <c r="BE49">
        <v>0.78303750895509316</v>
      </c>
      <c r="BF49">
        <v>0.78574954009315445</v>
      </c>
      <c r="BG49">
        <v>0.78842767084199006</v>
      </c>
      <c r="BH49">
        <v>0.79107232495646518</v>
      </c>
      <c r="BI49">
        <v>0.79368392089450934</v>
      </c>
      <c r="BJ49">
        <v>0.79626287188332801</v>
      </c>
      <c r="BK49">
        <v>0.79880958598478635</v>
      </c>
      <c r="BL49">
        <v>0.80132446615997655</v>
      </c>
      <c r="BM49">
        <v>0.80380791033297683</v>
      </c>
      <c r="BN49">
        <v>0.8062603114538146</v>
      </c>
      <c r="BO49">
        <v>0.80868205756064193</v>
      </c>
      <c r="BP49">
        <v>0.81107353184113395</v>
      </c>
      <c r="BQ49">
        <v>0.81343511269311974</v>
      </c>
      <c r="BR49">
        <v>0.81576717378445573</v>
      </c>
      <c r="BS49">
        <v>0.81807008411214999</v>
      </c>
      <c r="BT49">
        <v>0.82034420806074815</v>
      </c>
      <c r="BU49">
        <v>0.82258990545998878</v>
      </c>
      <c r="BV49">
        <v>0.82480753164173892</v>
      </c>
      <c r="BW49">
        <v>0.82699743749621724</v>
      </c>
      <c r="BX49">
        <v>0.82915996952751447</v>
      </c>
      <c r="BY49">
        <v>0.83129546990842051</v>
      </c>
      <c r="BZ49">
        <v>0.83340427653456528</v>
      </c>
      <c r="CA49">
        <v>0.83548672307788319</v>
      </c>
      <c r="CB49">
        <v>0.83754313903940969</v>
      </c>
      <c r="CC49">
        <v>0.83957384980141703</v>
      </c>
      <c r="CD49">
        <v>0.84157917667889937</v>
      </c>
      <c r="CE49">
        <v>0.84355943697041313</v>
      </c>
      <c r="CF49">
        <v>0.84551494400828298</v>
      </c>
      <c r="CG49">
        <v>0.84744600720817942</v>
      </c>
      <c r="CH49">
        <v>0.84935293211807716</v>
      </c>
      <c r="CI49">
        <v>0.85123602046660118</v>
      </c>
      <c r="CJ49">
        <v>0.85309557021076865</v>
      </c>
      <c r="CK49">
        <v>0.85493187558313399</v>
      </c>
      <c r="CL49">
        <v>0.85674522713834478</v>
      </c>
      <c r="CM49">
        <v>0.85853591179911548</v>
      </c>
      <c r="CN49">
        <v>0.86030421290162651</v>
      </c>
      <c r="CO49">
        <v>0.86205041024035622</v>
      </c>
      <c r="CP49">
        <v>0.86377478011235176</v>
      </c>
      <c r="CQ49">
        <v>0.86547759536094737</v>
      </c>
      <c r="CR49">
        <v>0.86715912541893558</v>
      </c>
      <c r="CS49">
        <v>0.86881963635119885</v>
      </c>
      <c r="CT49">
        <v>0.8704593908968089</v>
      </c>
      <c r="CU49">
        <v>0.8720786485105988</v>
      </c>
      <c r="CV49">
        <v>0.87367766540421632</v>
      </c>
      <c r="CW49">
        <v>0.87525669458666366</v>
      </c>
      <c r="CX49">
        <v>0.87681598590433041</v>
      </c>
      <c r="CY49">
        <v>0.87835578608052622</v>
      </c>
      <c r="CZ49">
        <v>0.87987633875451965</v>
      </c>
      <c r="DA49">
        <v>0.88137788452008814</v>
      </c>
      <c r="DB49">
        <v>0.88286066096358706</v>
      </c>
      <c r="DC49">
        <v>0.88432490270154218</v>
      </c>
      <c r="DD49">
        <v>0.88577084141777296</v>
      </c>
      <c r="DE49">
        <v>0.88719870590005079</v>
      </c>
    </row>
    <row r="50" spans="1:109" x14ac:dyDescent="0.2">
      <c r="A50" t="s">
        <v>480</v>
      </c>
      <c r="B50">
        <v>0.68254425048828127</v>
      </c>
      <c r="C50">
        <v>0.60972951698798816</v>
      </c>
      <c r="D50">
        <v>0.57130248649228776</v>
      </c>
      <c r="E50">
        <v>0.58423724247617947</v>
      </c>
      <c r="F50">
        <v>0.64004941463770471</v>
      </c>
      <c r="G50">
        <v>0.67635301685780713</v>
      </c>
      <c r="H50">
        <v>0.71900936389050063</v>
      </c>
      <c r="I50">
        <v>0.72386822976749488</v>
      </c>
      <c r="J50">
        <v>0.75429823830733722</v>
      </c>
      <c r="K50">
        <v>0.78728134892949364</v>
      </c>
      <c r="L50">
        <v>0.81583679253445451</v>
      </c>
      <c r="M50">
        <v>0.84055894105516904</v>
      </c>
      <c r="N50">
        <v>0.86196237767956385</v>
      </c>
      <c r="O50">
        <v>0.88049260772614113</v>
      </c>
      <c r="P50">
        <v>0.29716283696870005</v>
      </c>
      <c r="Q50">
        <v>0.29187206716090075</v>
      </c>
      <c r="R50">
        <v>0.28668866971547141</v>
      </c>
      <c r="S50">
        <v>0.30555773032620637</v>
      </c>
      <c r="T50">
        <v>0.32313705048649333</v>
      </c>
      <c r="U50">
        <v>0.33952103372860204</v>
      </c>
      <c r="V50">
        <v>0.35479647801110686</v>
      </c>
      <c r="W50">
        <v>0.36904327867615033</v>
      </c>
      <c r="X50">
        <v>0.38233505318792926</v>
      </c>
      <c r="Y50">
        <v>0.39473969842433143</v>
      </c>
      <c r="Z50">
        <v>0.4063198894843002</v>
      </c>
      <c r="AA50">
        <v>0.40827726686403903</v>
      </c>
      <c r="AB50">
        <v>0.41018026313032652</v>
      </c>
      <c r="AC50">
        <v>0.41203032710589221</v>
      </c>
      <c r="AD50">
        <v>0.41382886989135143</v>
      </c>
      <c r="AE50">
        <v>0.41557726583660592</v>
      </c>
      <c r="AF50">
        <v>0.4172768534872634</v>
      </c>
      <c r="AG50">
        <v>0.41892893650672397</v>
      </c>
      <c r="AH50">
        <v>0.42053478457456467</v>
      </c>
      <c r="AI50">
        <v>0.42402444957147783</v>
      </c>
      <c r="AJ50">
        <v>0.42744743765118837</v>
      </c>
      <c r="AK50">
        <v>0.43080502737960064</v>
      </c>
      <c r="AL50">
        <v>0.4340984714594216</v>
      </c>
      <c r="AM50">
        <v>0.43732899732739555</v>
      </c>
      <c r="AN50">
        <v>0.44049780773509145</v>
      </c>
      <c r="AO50">
        <v>0.44360608131374829</v>
      </c>
      <c r="AP50">
        <v>0.44665497312367047</v>
      </c>
      <c r="AQ50">
        <v>0.45502670872749285</v>
      </c>
      <c r="AR50">
        <v>0.4632380284568362</v>
      </c>
      <c r="AS50">
        <v>0.47129779714508069</v>
      </c>
      <c r="AT50">
        <v>0.4792144609288036</v>
      </c>
      <c r="AU50">
        <v>0.48699607118067584</v>
      </c>
      <c r="AV50">
        <v>0.49465030659925463</v>
      </c>
      <c r="AW50">
        <v>0.50218449362924678</v>
      </c>
      <c r="AX50">
        <v>0.50960562536654086</v>
      </c>
      <c r="AY50">
        <v>0.51692037908548572</v>
      </c>
      <c r="AZ50">
        <v>0.52413513251117705</v>
      </c>
      <c r="BA50">
        <v>0.53125064170016545</v>
      </c>
      <c r="BB50">
        <v>0.53826766712642726</v>
      </c>
      <c r="BC50">
        <v>0.54518697393346249</v>
      </c>
      <c r="BD50">
        <v>0.55200933213868231</v>
      </c>
      <c r="BE50">
        <v>0.55873551679268452</v>
      </c>
      <c r="BF50">
        <v>0.56536630809597144</v>
      </c>
      <c r="BG50">
        <v>0.57190249147561623</v>
      </c>
      <c r="BH50">
        <v>0.57834485762433097</v>
      </c>
      <c r="BI50">
        <v>0.58469420250433146</v>
      </c>
      <c r="BJ50">
        <v>0.59095132731833344</v>
      </c>
      <c r="BK50">
        <v>0.59711703844995156</v>
      </c>
      <c r="BL50">
        <v>0.60319214737570415</v>
      </c>
      <c r="BM50">
        <v>0.6091774705507591</v>
      </c>
      <c r="BN50">
        <v>0.61507382927048493</v>
      </c>
      <c r="BO50">
        <v>0.62088204950979864</v>
      </c>
      <c r="BP50">
        <v>0.62660296174222907</v>
      </c>
      <c r="BQ50">
        <v>0.63223740074054058</v>
      </c>
      <c r="BR50">
        <v>0.63778620536068575</v>
      </c>
      <c r="BS50">
        <v>0.64325021831078377</v>
      </c>
      <c r="BT50">
        <v>0.64863028590674465</v>
      </c>
      <c r="BU50">
        <v>0.65392725781608607</v>
      </c>
      <c r="BV50">
        <v>0.65914198679141678</v>
      </c>
      <c r="BW50">
        <v>0.66427532839498626</v>
      </c>
      <c r="BX50">
        <v>0.66932814071563151</v>
      </c>
      <c r="BY50">
        <v>0.67430128407937817</v>
      </c>
      <c r="BZ50">
        <v>0.67919562075488782</v>
      </c>
      <c r="CA50">
        <v>0.68401201465487227</v>
      </c>
      <c r="CB50">
        <v>0.68875133103453279</v>
      </c>
      <c r="CC50">
        <v>0.69341443618801579</v>
      </c>
      <c r="CD50">
        <v>0.69800219714381617</v>
      </c>
      <c r="CE50">
        <v>0.70251548135999664</v>
      </c>
      <c r="CF50">
        <v>0.70695515642003515</v>
      </c>
      <c r="CG50">
        <v>0.7113220897300544</v>
      </c>
      <c r="CH50">
        <v>0.7156171482181326</v>
      </c>
      <c r="CI50">
        <v>0.71984119803634383</v>
      </c>
      <c r="CJ50">
        <v>0.72399510426612357</v>
      </c>
      <c r="CK50">
        <v>0.72807973062750808</v>
      </c>
      <c r="CL50">
        <v>0.73209593919274807</v>
      </c>
      <c r="CM50">
        <v>0.73604459010475554</v>
      </c>
      <c r="CN50">
        <v>0.73992654130079616</v>
      </c>
      <c r="CO50">
        <v>0.74374264824180325</v>
      </c>
      <c r="CP50">
        <v>0.74749376364764719</v>
      </c>
      <c r="CQ50">
        <v>0.75118073723866019</v>
      </c>
      <c r="CR50">
        <v>0.75480441548368005</v>
      </c>
      <c r="CS50">
        <v>0.75836564135484452</v>
      </c>
      <c r="CT50">
        <v>0.76186525408933525</v>
      </c>
      <c r="CU50">
        <v>0.76530408895824364</v>
      </c>
      <c r="CV50">
        <v>0.76868297704269983</v>
      </c>
      <c r="CW50">
        <v>0.77200274501738297</v>
      </c>
      <c r="CX50">
        <v>0.77526421494150499</v>
      </c>
      <c r="CY50">
        <v>0.77846820405733663</v>
      </c>
      <c r="CZ50">
        <v>0.78161552459632522</v>
      </c>
      <c r="DA50">
        <v>0.78470698359283086</v>
      </c>
      <c r="DB50">
        <v>0.7877433827054916</v>
      </c>
      <c r="DC50">
        <v>0.79072551804620905</v>
      </c>
      <c r="DD50">
        <v>0.79365418001673083</v>
      </c>
      <c r="DE50">
        <v>0.79653015315279119</v>
      </c>
    </row>
    <row r="51" spans="1:109" x14ac:dyDescent="0.2">
      <c r="A51" t="s">
        <v>481</v>
      </c>
      <c r="B51">
        <v>0.33077934265136721</v>
      </c>
      <c r="C51">
        <v>0.32803417387110301</v>
      </c>
      <c r="D51">
        <v>0.30214063634924154</v>
      </c>
      <c r="E51">
        <v>0.29663787013087478</v>
      </c>
      <c r="F51">
        <v>0.32493634080901412</v>
      </c>
      <c r="G51">
        <v>0.32015063355080081</v>
      </c>
      <c r="H51">
        <v>0.35436974366382412</v>
      </c>
      <c r="I51">
        <v>0.43672214232498763</v>
      </c>
      <c r="J51">
        <v>0.50697641303345931</v>
      </c>
      <c r="K51">
        <v>0.56875430848659947</v>
      </c>
      <c r="L51">
        <v>0.624749647364234</v>
      </c>
      <c r="M51">
        <v>0.67512313645114896</v>
      </c>
      <c r="N51">
        <v>0.71873474694669914</v>
      </c>
      <c r="O51">
        <v>0.75649191601099741</v>
      </c>
      <c r="P51">
        <v>0.49036528050372619</v>
      </c>
      <c r="Q51">
        <v>0.49012190515906884</v>
      </c>
      <c r="R51">
        <v>0.48957852202028007</v>
      </c>
      <c r="S51">
        <v>0.49495461529800522</v>
      </c>
      <c r="T51">
        <v>0.5013822325086873</v>
      </c>
      <c r="U51">
        <v>0.50879014540575318</v>
      </c>
      <c r="V51">
        <v>0.51711671205152299</v>
      </c>
      <c r="W51">
        <v>0.52630985179461487</v>
      </c>
      <c r="X51">
        <v>0.53632621379288647</v>
      </c>
      <c r="Y51">
        <v>0.54683210463194454</v>
      </c>
      <c r="Z51">
        <v>0.55709995367177756</v>
      </c>
      <c r="AA51">
        <v>0.50757813743691016</v>
      </c>
      <c r="AB51">
        <v>0.46395666967891563</v>
      </c>
      <c r="AC51">
        <v>0.42546413502712027</v>
      </c>
      <c r="AD51">
        <v>0.39143261251836287</v>
      </c>
      <c r="AE51">
        <v>0.36128374089809034</v>
      </c>
      <c r="AF51">
        <v>0.33451663666395726</v>
      </c>
      <c r="AG51">
        <v>0.31069742730845784</v>
      </c>
      <c r="AH51">
        <v>0.28945019032848007</v>
      </c>
      <c r="AI51">
        <v>0.30209184632541963</v>
      </c>
      <c r="AJ51">
        <v>0.31450858991766956</v>
      </c>
      <c r="AK51">
        <v>0.32670442260549182</v>
      </c>
      <c r="AL51">
        <v>0.33868327469696863</v>
      </c>
      <c r="AM51">
        <v>0.35044900657460898</v>
      </c>
      <c r="AN51">
        <v>0.36200540993942049</v>
      </c>
      <c r="AO51">
        <v>0.37335620903284761</v>
      </c>
      <c r="AP51">
        <v>0.38450506183696981</v>
      </c>
      <c r="AQ51">
        <v>0.38325797796373112</v>
      </c>
      <c r="AR51">
        <v>0.38243905687880508</v>
      </c>
      <c r="AS51">
        <v>0.38200668229086449</v>
      </c>
      <c r="AT51">
        <v>0.38192407711859927</v>
      </c>
      <c r="AU51">
        <v>0.38215893772275367</v>
      </c>
      <c r="AV51">
        <v>0.38268307603127061</v>
      </c>
      <c r="AW51">
        <v>0.38347207625530405</v>
      </c>
      <c r="AX51">
        <v>0.38450497064182648</v>
      </c>
      <c r="AY51">
        <v>0.38576393701185863</v>
      </c>
      <c r="AZ51">
        <v>0.38723401957024312</v>
      </c>
      <c r="BA51">
        <v>0.38890287354735198</v>
      </c>
      <c r="BB51">
        <v>0.39076045612560167</v>
      </c>
      <c r="BC51">
        <v>0.39279881893952229</v>
      </c>
      <c r="BD51">
        <v>0.39501192327477391</v>
      </c>
      <c r="BE51">
        <v>0.39739547650873963</v>
      </c>
      <c r="BF51">
        <v>0.39994678834239172</v>
      </c>
      <c r="BG51">
        <v>0.40266464541907965</v>
      </c>
      <c r="BH51">
        <v>0.40554920299927255</v>
      </c>
      <c r="BI51">
        <v>0.4086018924524103</v>
      </c>
      <c r="BJ51">
        <v>0.41182534343135807</v>
      </c>
      <c r="BK51">
        <v>0.41522331970671367</v>
      </c>
      <c r="BL51">
        <v>0.41880066775393332</v>
      </c>
      <c r="BM51">
        <v>0.42256327730352855</v>
      </c>
      <c r="BN51">
        <v>0.42651805318189429</v>
      </c>
      <c r="BO51">
        <v>0.43067289788676116</v>
      </c>
      <c r="BP51">
        <v>0.43503670445646131</v>
      </c>
      <c r="BQ51">
        <v>0.43961935930619672</v>
      </c>
      <c r="BR51">
        <v>0.4444317548176977</v>
      </c>
      <c r="BS51">
        <v>0.4494858115817133</v>
      </c>
      <c r="BT51">
        <v>0.45479451030659468</v>
      </c>
      <c r="BU51">
        <v>0.46037193352192851</v>
      </c>
      <c r="BV51">
        <v>0.46623119302429594</v>
      </c>
      <c r="BW51">
        <v>0.47238188132282571</v>
      </c>
      <c r="BX51">
        <v>0.47883443418755295</v>
      </c>
      <c r="BY51">
        <v>0.48560014866852547</v>
      </c>
      <c r="BZ51">
        <v>0.49269120492520202</v>
      </c>
      <c r="CA51">
        <v>0.50012069195689401</v>
      </c>
      <c r="CB51">
        <v>0.5076411894871955</v>
      </c>
      <c r="CC51">
        <v>0.51504854394037158</v>
      </c>
      <c r="CD51">
        <v>0.52234445751176917</v>
      </c>
      <c r="CE51">
        <v>0.52953060678784158</v>
      </c>
      <c r="CF51">
        <v>0.53660864313142509</v>
      </c>
      <c r="CG51">
        <v>0.54358019306121863</v>
      </c>
      <c r="CH51">
        <v>0.55044685862555476</v>
      </c>
      <c r="CI51">
        <v>0.55721021777054713</v>
      </c>
      <c r="CJ51">
        <v>0.56387182470269914</v>
      </c>
      <c r="CK51">
        <v>0.57043321024605798</v>
      </c>
      <c r="CL51">
        <v>0.57689588219399435</v>
      </c>
      <c r="CM51">
        <v>0.583261325655691</v>
      </c>
      <c r="CN51">
        <v>0.58953100339741749</v>
      </c>
      <c r="CO51">
        <v>0.59570635617867096</v>
      </c>
      <c r="CP51">
        <v>0.60178880308325999</v>
      </c>
      <c r="CQ51">
        <v>0.60777974184540717</v>
      </c>
      <c r="CR51">
        <v>0.6136805491709455</v>
      </c>
      <c r="CS51">
        <v>0.6194925810536831</v>
      </c>
      <c r="CT51">
        <v>0.62521717308700731</v>
      </c>
      <c r="CU51">
        <v>0.6308556407708017</v>
      </c>
      <c r="CV51">
        <v>0.6364092798137454</v>
      </c>
      <c r="CW51">
        <v>0.64187936643106436</v>
      </c>
      <c r="CX51">
        <v>0.64726715763780285</v>
      </c>
      <c r="CY51">
        <v>0.6525738915376833</v>
      </c>
      <c r="CZ51">
        <v>0.65780078760761984</v>
      </c>
      <c r="DA51">
        <v>0.66294904697795187</v>
      </c>
      <c r="DB51">
        <v>0.66801985270846131</v>
      </c>
      <c r="DC51">
        <v>0.67301437006023745</v>
      </c>
      <c r="DD51">
        <v>0.67793374676345153</v>
      </c>
      <c r="DE51">
        <v>0.68277911328110308</v>
      </c>
    </row>
    <row r="52" spans="1:109" x14ac:dyDescent="0.2">
      <c r="A52" t="s">
        <v>482</v>
      </c>
      <c r="B52">
        <v>0.72533958435058599</v>
      </c>
      <c r="C52">
        <v>0.63960987295360372</v>
      </c>
      <c r="D52">
        <v>0.56659169018303568</v>
      </c>
      <c r="E52">
        <v>0.5129405657093622</v>
      </c>
      <c r="F52">
        <v>0.45594386231060652</v>
      </c>
      <c r="G52">
        <v>0.49634242524750749</v>
      </c>
      <c r="H52">
        <v>0.4456169632049467</v>
      </c>
      <c r="I52">
        <v>0.41219290885990745</v>
      </c>
      <c r="J52">
        <v>0.39217574256847781</v>
      </c>
      <c r="K52">
        <v>0.3884046844533342</v>
      </c>
      <c r="L52">
        <v>0.40142304268520057</v>
      </c>
      <c r="M52">
        <v>0.43169644212832831</v>
      </c>
      <c r="N52">
        <v>0.48107432337873496</v>
      </c>
      <c r="O52">
        <v>0.5478927722078486</v>
      </c>
      <c r="P52">
        <v>0.52394420849726187</v>
      </c>
      <c r="Q52">
        <v>0.51760852435126004</v>
      </c>
      <c r="R52">
        <v>0.5112353010965468</v>
      </c>
      <c r="S52">
        <v>0.50929921645246823</v>
      </c>
      <c r="T52">
        <v>0.50732785258412771</v>
      </c>
      <c r="U52">
        <v>0.50532435010476884</v>
      </c>
      <c r="V52">
        <v>0.50329175700260953</v>
      </c>
      <c r="W52">
        <v>0.50123319631002594</v>
      </c>
      <c r="X52">
        <v>0.4991518261662054</v>
      </c>
      <c r="Y52">
        <v>0.49705081090593406</v>
      </c>
      <c r="Z52">
        <v>0.49493329886926929</v>
      </c>
      <c r="AA52">
        <v>0.50124663263340341</v>
      </c>
      <c r="AB52">
        <v>0.50748104972548591</v>
      </c>
      <c r="AC52">
        <v>0.51363753660391731</v>
      </c>
      <c r="AD52">
        <v>0.51971706739636836</v>
      </c>
      <c r="AE52">
        <v>0.52572060405391374</v>
      </c>
      <c r="AF52">
        <v>0.53164909650323977</v>
      </c>
      <c r="AG52">
        <v>0.53750348279694926</v>
      </c>
      <c r="AH52">
        <v>0.54328468926198736</v>
      </c>
      <c r="AI52">
        <v>0.53737132429189394</v>
      </c>
      <c r="AJ52">
        <v>0.5317478244262358</v>
      </c>
      <c r="AK52">
        <v>0.52640131504449461</v>
      </c>
      <c r="AL52">
        <v>0.52131950540240135</v>
      </c>
      <c r="AM52">
        <v>0.51649066276167321</v>
      </c>
      <c r="AN52">
        <v>0.5119035877854845</v>
      </c>
      <c r="AO52">
        <v>0.50754759110327197</v>
      </c>
      <c r="AP52">
        <v>0.50341247096129482</v>
      </c>
      <c r="AQ52">
        <v>0.50283959596521288</v>
      </c>
      <c r="AR52">
        <v>0.50232727450698178</v>
      </c>
      <c r="AS52">
        <v>0.5018741008970462</v>
      </c>
      <c r="AT52">
        <v>0.50147891783778697</v>
      </c>
      <c r="AU52">
        <v>0.50114079397160705</v>
      </c>
      <c r="AV52">
        <v>0.50085900446103004</v>
      </c>
      <c r="AW52">
        <v>0.50063301414300221</v>
      </c>
      <c r="AX52">
        <v>0.5004624628854033</v>
      </c>
      <c r="AY52">
        <v>0.50034715284119224</v>
      </c>
      <c r="AZ52">
        <v>0.50028703734908331</v>
      </c>
      <c r="BA52">
        <v>0.50028221127244299</v>
      </c>
      <c r="BB52">
        <v>0.50033290260263108</v>
      </c>
      <c r="BC52">
        <v>0.50043946518110738</v>
      </c>
      <c r="BD52">
        <v>0.50060237235867977</v>
      </c>
      <c r="BE52">
        <v>0.50082221149797257</v>
      </c>
      <c r="BF52">
        <v>0.50109967923897625</v>
      </c>
      <c r="BG52">
        <v>0.50143557745916489</v>
      </c>
      <c r="BH52">
        <v>0.50183080986954387</v>
      </c>
      <c r="BI52">
        <v>0.5022863791964346</v>
      </c>
      <c r="BJ52">
        <v>0.50280338490606891</v>
      </c>
      <c r="BK52">
        <v>0.50338302143536329</v>
      </c>
      <c r="BL52">
        <v>0.50402657689773867</v>
      </c>
      <c r="BM52">
        <v>0.50473543223767914</v>
      </c>
      <c r="BN52">
        <v>0.5055110608120017</v>
      </c>
      <c r="BO52">
        <v>0.50635502837962498</v>
      </c>
      <c r="BP52">
        <v>0.50726899348506216</v>
      </c>
      <c r="BQ52">
        <v>0.508254708223983</v>
      </c>
      <c r="BR52">
        <v>0.50931401938205012</v>
      </c>
      <c r="BS52">
        <v>0.51044886994088079</v>
      </c>
      <c r="BT52">
        <v>0.5116613009474601</v>
      </c>
      <c r="BU52">
        <v>0.51295345374566781</v>
      </c>
      <c r="BV52">
        <v>0.5143252390329569</v>
      </c>
      <c r="BW52">
        <v>0.51577175541658904</v>
      </c>
      <c r="BX52">
        <v>0.51728830241771129</v>
      </c>
      <c r="BY52">
        <v>0.51887037320929186</v>
      </c>
      <c r="BZ52">
        <v>0.52051364760549823</v>
      </c>
      <c r="CA52">
        <v>0.52221398529379481</v>
      </c>
      <c r="CB52">
        <v>0.5239674193013476</v>
      </c>
      <c r="CC52">
        <v>0.52577014968762625</v>
      </c>
      <c r="CD52">
        <v>0.52761853745538512</v>
      </c>
      <c r="CE52">
        <v>0.52950909867248075</v>
      </c>
      <c r="CF52">
        <v>0.53143849879725547</v>
      </c>
      <c r="CG52">
        <v>0.53340354720047289</v>
      </c>
      <c r="CH52">
        <v>0.53540119187703983</v>
      </c>
      <c r="CI52">
        <v>0.53742851434099059</v>
      </c>
      <c r="CJ52">
        <v>0.53948272469743752</v>
      </c>
      <c r="CK52">
        <v>0.5415611568854154</v>
      </c>
      <c r="CL52">
        <v>0.54366126408576021</v>
      </c>
      <c r="CM52">
        <v>0.54578061428836899</v>
      </c>
      <c r="CN52">
        <v>0.54791688601338484</v>
      </c>
      <c r="CO52">
        <v>0.55006786418104303</v>
      </c>
      <c r="CP52">
        <v>0.55223143612509762</v>
      </c>
      <c r="CQ52">
        <v>0.55440558774492421</v>
      </c>
      <c r="CR52">
        <v>0.55658839979156727</v>
      </c>
      <c r="CS52">
        <v>0.55877804428316191</v>
      </c>
      <c r="CT52">
        <v>0.56097278104532189</v>
      </c>
      <c r="CU52">
        <v>0.56317095437223419</v>
      </c>
      <c r="CV52">
        <v>0.56537098980435252</v>
      </c>
      <c r="CW52">
        <v>0.5675713910187189</v>
      </c>
      <c r="CX52">
        <v>0.56977073682808366</v>
      </c>
      <c r="CY52">
        <v>0.57196767828512285</v>
      </c>
      <c r="CZ52">
        <v>0.57416093588818073</v>
      </c>
      <c r="DA52">
        <v>0.57634929688508729</v>
      </c>
      <c r="DB52">
        <v>0.57853161267171893</v>
      </c>
      <c r="DC52">
        <v>0.58070679628208355</v>
      </c>
      <c r="DD52">
        <v>0.58287381996682297</v>
      </c>
      <c r="DE52">
        <v>0.5850317128571304</v>
      </c>
    </row>
    <row r="53" spans="1:109" x14ac:dyDescent="0.2">
      <c r="A53" t="s">
        <v>483</v>
      </c>
      <c r="B53">
        <v>0.34302524566650389</v>
      </c>
      <c r="C53">
        <v>0.42829046174151414</v>
      </c>
      <c r="D53">
        <v>0.50503699711112449</v>
      </c>
      <c r="E53">
        <v>0.49577803398737935</v>
      </c>
      <c r="F53">
        <v>0.53048428252988789</v>
      </c>
      <c r="G53">
        <v>0.49567155937933915</v>
      </c>
      <c r="H53">
        <v>0.48700776664342826</v>
      </c>
      <c r="I53">
        <v>0.5090834211102323</v>
      </c>
      <c r="J53">
        <v>0.5406510298104783</v>
      </c>
      <c r="K53">
        <v>0.58122410469519037</v>
      </c>
      <c r="L53">
        <v>0.62849190360836937</v>
      </c>
      <c r="M53">
        <v>0.6778865481949905</v>
      </c>
      <c r="N53">
        <v>0.72112719710437323</v>
      </c>
      <c r="O53">
        <v>0.75856320262607024</v>
      </c>
      <c r="P53">
        <v>0.91722509031563249</v>
      </c>
      <c r="Q53">
        <v>0.92757195402617842</v>
      </c>
      <c r="R53">
        <v>0.93662545977290612</v>
      </c>
      <c r="S53">
        <v>0.93784626853634134</v>
      </c>
      <c r="T53">
        <v>0.93855598330694512</v>
      </c>
      <c r="U53">
        <v>0.93808756048642483</v>
      </c>
      <c r="V53">
        <v>0.93663305540258668</v>
      </c>
      <c r="W53">
        <v>0.93434397608822495</v>
      </c>
      <c r="X53">
        <v>0.93134664763013575</v>
      </c>
      <c r="Y53">
        <v>0.92774423451237698</v>
      </c>
      <c r="Z53">
        <v>0.9236216038127123</v>
      </c>
      <c r="AA53">
        <v>0.92457633376505344</v>
      </c>
      <c r="AB53">
        <v>0.92551912959299032</v>
      </c>
      <c r="AC53">
        <v>0.92645014047307794</v>
      </c>
      <c r="AD53">
        <v>0.92736951371716447</v>
      </c>
      <c r="AE53">
        <v>0.92827739479569993</v>
      </c>
      <c r="AF53">
        <v>0.92917392736075366</v>
      </c>
      <c r="AG53">
        <v>0.93005925326874428</v>
      </c>
      <c r="AH53">
        <v>0.93093351260288493</v>
      </c>
      <c r="AI53">
        <v>0.93590505340042129</v>
      </c>
      <c r="AJ53">
        <v>0.94051873297128985</v>
      </c>
      <c r="AK53">
        <v>0.94480031086625516</v>
      </c>
      <c r="AL53">
        <v>0.94877369241325427</v>
      </c>
      <c r="AM53">
        <v>0.95246106218798088</v>
      </c>
      <c r="AN53">
        <v>0.95588300787699632</v>
      </c>
      <c r="AO53">
        <v>0.95905863522493162</v>
      </c>
      <c r="AP53">
        <v>0.9620056747075646</v>
      </c>
      <c r="AQ53">
        <v>0.96209116663292937</v>
      </c>
      <c r="AR53">
        <v>0.96153705876470064</v>
      </c>
      <c r="AS53">
        <v>0.96040486951907789</v>
      </c>
      <c r="AT53">
        <v>0.95874917282115701</v>
      </c>
      <c r="AU53">
        <v>0.9566185420581228</v>
      </c>
      <c r="AV53">
        <v>0.95405634089941282</v>
      </c>
      <c r="AW53">
        <v>0.95110138985273696</v>
      </c>
      <c r="AX53">
        <v>0.94778853127781781</v>
      </c>
      <c r="AY53">
        <v>0.94414911088185849</v>
      </c>
      <c r="AZ53">
        <v>0.94021139009907839</v>
      </c>
      <c r="BA53">
        <v>0.93600090094189248</v>
      </c>
      <c r="BB53">
        <v>0.93154089600695789</v>
      </c>
      <c r="BC53">
        <v>0.92685258461328812</v>
      </c>
      <c r="BD53">
        <v>0.92195533985362854</v>
      </c>
      <c r="BE53">
        <v>0.91686688077008893</v>
      </c>
      <c r="BF53">
        <v>0.91160343316843184</v>
      </c>
      <c r="BG53">
        <v>0.90617987201762029</v>
      </c>
      <c r="BH53">
        <v>0.90060984791604781</v>
      </c>
      <c r="BI53">
        <v>0.8949058997228857</v>
      </c>
      <c r="BJ53">
        <v>0.88907955513619719</v>
      </c>
      <c r="BK53">
        <v>0.88314142073628044</v>
      </c>
      <c r="BL53">
        <v>0.87710126279311373</v>
      </c>
      <c r="BM53">
        <v>0.87096807995282355</v>
      </c>
      <c r="BN53">
        <v>0.86475016876339839</v>
      </c>
      <c r="BO53">
        <v>0.8584551828692969</v>
      </c>
      <c r="BP53">
        <v>0.85209018659398472</v>
      </c>
      <c r="BQ53">
        <v>0.84566170353542058</v>
      </c>
      <c r="BR53">
        <v>0.83917576071933486</v>
      </c>
      <c r="BS53">
        <v>0.83263792878655707</v>
      </c>
      <c r="BT53">
        <v>0.82605335863179208</v>
      </c>
      <c r="BU53">
        <v>0.81942681486059687</v>
      </c>
      <c r="BV53">
        <v>0.8127627063875944</v>
      </c>
      <c r="BW53">
        <v>0.80606515783966559</v>
      </c>
      <c r="BX53">
        <v>0.79933812054616449</v>
      </c>
      <c r="BY53">
        <v>0.79258538145810875</v>
      </c>
      <c r="BZ53">
        <v>0.78581057123590115</v>
      </c>
      <c r="CA53">
        <v>0.77901717161056183</v>
      </c>
      <c r="CB53">
        <v>0.77220852210993629</v>
      </c>
      <c r="CC53">
        <v>0.7653878262294932</v>
      </c>
      <c r="CD53">
        <v>0.75855815711694774</v>
      </c>
      <c r="CE53">
        <v>0.75172246283085453</v>
      </c>
      <c r="CF53">
        <v>0.74488357122536586</v>
      </c>
      <c r="CG53">
        <v>0.73804419450639946</v>
      </c>
      <c r="CH53">
        <v>0.73120693349839683</v>
      </c>
      <c r="CI53">
        <v>0.72437428165555895</v>
      </c>
      <c r="CJ53">
        <v>0.71754862884684389</v>
      </c>
      <c r="CK53">
        <v>0.71073226493999864</v>
      </c>
      <c r="CL53">
        <v>0.70392738320642234</v>
      </c>
      <c r="CM53">
        <v>0.6971360835656365</v>
      </c>
      <c r="CN53">
        <v>0.69036037568552833</v>
      </c>
      <c r="CO53">
        <v>0.68360218195227263</v>
      </c>
      <c r="CP53">
        <v>0.67686334032189188</v>
      </c>
      <c r="CQ53">
        <v>0.67014560706373405</v>
      </c>
      <c r="CR53">
        <v>0.66345065940470782</v>
      </c>
      <c r="CS53">
        <v>0.65678009808187598</v>
      </c>
      <c r="CT53">
        <v>0.65013544980994975</v>
      </c>
      <c r="CU53">
        <v>0.64351816966932196</v>
      </c>
      <c r="CV53">
        <v>0.63692964341950697</v>
      </c>
      <c r="CW53">
        <v>0.63037118974219819</v>
      </c>
      <c r="CX53">
        <v>0.62384406241760038</v>
      </c>
      <c r="CY53">
        <v>0.61734945243722184</v>
      </c>
      <c r="CZ53">
        <v>0.61088849005591672</v>
      </c>
      <c r="DA53">
        <v>0.60446224678563243</v>
      </c>
      <c r="DB53">
        <v>0.59807173733303831</v>
      </c>
      <c r="DC53">
        <v>0.5917179214829773</v>
      </c>
      <c r="DD53">
        <v>0.58540206930645577</v>
      </c>
      <c r="DE53">
        <v>0.57912691324716237</v>
      </c>
    </row>
    <row r="54" spans="1:109" x14ac:dyDescent="0.2">
      <c r="A54" t="s">
        <v>484</v>
      </c>
      <c r="B54">
        <v>0.81556205749511723</v>
      </c>
      <c r="C54">
        <v>0.81544634853073472</v>
      </c>
      <c r="D54">
        <v>0.84022091042316327</v>
      </c>
      <c r="E54">
        <v>0.86166972442561329</v>
      </c>
      <c r="F54">
        <v>0.87904913920808114</v>
      </c>
      <c r="G54">
        <v>0.81273885840460813</v>
      </c>
      <c r="H54">
        <v>0.80282732468868856</v>
      </c>
      <c r="I54">
        <v>0.69950506188175676</v>
      </c>
      <c r="J54">
        <v>0.60838816360034775</v>
      </c>
      <c r="K54">
        <v>0.52842871121370316</v>
      </c>
      <c r="L54">
        <v>0.45859579480904139</v>
      </c>
      <c r="M54">
        <v>0.39779066452129341</v>
      </c>
      <c r="N54">
        <v>0.34494307822868514</v>
      </c>
      <c r="O54">
        <v>0.29906324347740826</v>
      </c>
      <c r="P54">
        <v>0.91314660408722648</v>
      </c>
      <c r="Q54">
        <v>0.92400327857632314</v>
      </c>
      <c r="R54">
        <v>0.93350286875428279</v>
      </c>
      <c r="S54">
        <v>0.93926405786038569</v>
      </c>
      <c r="T54">
        <v>0.94452610814208371</v>
      </c>
      <c r="U54">
        <v>0.9493322640687808</v>
      </c>
      <c r="V54">
        <v>0.95372202348861501</v>
      </c>
      <c r="W54">
        <v>0.9577314622288321</v>
      </c>
      <c r="X54">
        <v>0.9613935305733794</v>
      </c>
      <c r="Y54">
        <v>0.96473832405422699</v>
      </c>
      <c r="Z54">
        <v>0.96779333078182628</v>
      </c>
      <c r="AA54">
        <v>0.96836392642266789</v>
      </c>
      <c r="AB54">
        <v>0.96892441299624954</v>
      </c>
      <c r="AC54">
        <v>0.96947496960180279</v>
      </c>
      <c r="AD54">
        <v>0.97001577216551349</v>
      </c>
      <c r="AE54">
        <v>0.97054699349673723</v>
      </c>
      <c r="AF54">
        <v>0.97106880334321954</v>
      </c>
      <c r="AG54">
        <v>0.97158136844533749</v>
      </c>
      <c r="AH54">
        <v>0.97208485258938004</v>
      </c>
      <c r="AI54">
        <v>0.97074937013313989</v>
      </c>
      <c r="AJ54">
        <v>0.96944264489280263</v>
      </c>
      <c r="AK54">
        <v>0.96816407358889123</v>
      </c>
      <c r="AL54">
        <v>0.96691306513495967</v>
      </c>
      <c r="AM54">
        <v>0.96568904040493508</v>
      </c>
      <c r="AN54">
        <v>0.96449143200447263</v>
      </c>
      <c r="AO54">
        <v>0.96331968404626966</v>
      </c>
      <c r="AP54">
        <v>0.9621732519292826</v>
      </c>
      <c r="AQ54">
        <v>0.96057587669026911</v>
      </c>
      <c r="AR54">
        <v>0.95871640157971449</v>
      </c>
      <c r="AS54">
        <v>0.95660896066040768</v>
      </c>
      <c r="AT54">
        <v>0.95426714432380133</v>
      </c>
      <c r="AU54">
        <v>0.95170401765962909</v>
      </c>
      <c r="AV54">
        <v>0.94893213824633249</v>
      </c>
      <c r="AW54">
        <v>0.9459635733797882</v>
      </c>
      <c r="AX54">
        <v>0.94280991675731518</v>
      </c>
      <c r="AY54">
        <v>0.93948230463344107</v>
      </c>
      <c r="AZ54">
        <v>0.93625307723338469</v>
      </c>
      <c r="BA54">
        <v>0.93311939342364791</v>
      </c>
      <c r="BB54">
        <v>0.93007849267898601</v>
      </c>
      <c r="BC54">
        <v>0.92712769282663632</v>
      </c>
      <c r="BD54">
        <v>0.92426438785298182</v>
      </c>
      <c r="BE54">
        <v>0.92148604577093818</v>
      </c>
      <c r="BF54">
        <v>0.91879020654639765</v>
      </c>
      <c r="BG54">
        <v>0.91617448008210878</v>
      </c>
      <c r="BH54">
        <v>0.91363654425741669</v>
      </c>
      <c r="BI54">
        <v>0.91117414302232913</v>
      </c>
      <c r="BJ54">
        <v>0.90878508454441731</v>
      </c>
      <c r="BK54">
        <v>0.90646723940709995</v>
      </c>
      <c r="BL54">
        <v>0.90421853885789971</v>
      </c>
      <c r="BM54">
        <v>0.90203697310529762</v>
      </c>
      <c r="BN54">
        <v>0.89992058966285149</v>
      </c>
      <c r="BO54">
        <v>0.8978674917392776</v>
      </c>
      <c r="BP54">
        <v>0.89587583667323289</v>
      </c>
      <c r="BQ54">
        <v>0.89394383441156788</v>
      </c>
      <c r="BR54">
        <v>0.89206974602985445</v>
      </c>
      <c r="BS54">
        <v>0.89025188229402608</v>
      </c>
      <c r="BT54">
        <v>0.88848860226199777</v>
      </c>
      <c r="BU54">
        <v>0.88677831192416678</v>
      </c>
      <c r="BV54">
        <v>0.88511946288172227</v>
      </c>
      <c r="BW54">
        <v>0.88351055106172394</v>
      </c>
      <c r="BX54">
        <v>0.88195011546793534</v>
      </c>
      <c r="BY54">
        <v>0.88043673696642877</v>
      </c>
      <c r="BZ54">
        <v>0.87896903710500107</v>
      </c>
      <c r="CA54">
        <v>0.87754567696547092</v>
      </c>
      <c r="CB54">
        <v>0.87616535604794887</v>
      </c>
      <c r="CC54">
        <v>0.87482681118619987</v>
      </c>
      <c r="CD54">
        <v>0.87352881549324002</v>
      </c>
      <c r="CE54">
        <v>0.8722701773363335</v>
      </c>
      <c r="CF54">
        <v>0.87104973934057817</v>
      </c>
      <c r="CG54">
        <v>0.86986637742029094</v>
      </c>
      <c r="CH54">
        <v>0.8687189998374254</v>
      </c>
      <c r="CI54">
        <v>0.86760654628627454</v>
      </c>
      <c r="CJ54">
        <v>0.86652798700373379</v>
      </c>
      <c r="CK54">
        <v>0.86548232190441643</v>
      </c>
      <c r="CL54">
        <v>0.86446857973993574</v>
      </c>
      <c r="CM54">
        <v>0.86348581728168594</v>
      </c>
      <c r="CN54">
        <v>0.86253311852647085</v>
      </c>
      <c r="CO54">
        <v>0.86160959392434977</v>
      </c>
      <c r="CP54">
        <v>0.86071437962808539</v>
      </c>
      <c r="CQ54">
        <v>0.85984663676359574</v>
      </c>
      <c r="CR54">
        <v>0.85900555072082918</v>
      </c>
      <c r="CS54">
        <v>0.85819033046449678</v>
      </c>
      <c r="CT54">
        <v>0.8574002078641122</v>
      </c>
      <c r="CU54">
        <v>0.85663443704280451</v>
      </c>
      <c r="CV54">
        <v>0.85589229374438369</v>
      </c>
      <c r="CW54">
        <v>0.85517307471815251</v>
      </c>
      <c r="CX54">
        <v>0.85447609712097328</v>
      </c>
      <c r="CY54">
        <v>0.85380069793611124</v>
      </c>
      <c r="CZ54">
        <v>0.85314623340838847</v>
      </c>
      <c r="DA54">
        <v>0.85251207849519683</v>
      </c>
      <c r="DB54">
        <v>0.85189762633292876</v>
      </c>
      <c r="DC54">
        <v>0.85130228771839889</v>
      </c>
      <c r="DD54">
        <v>0.85072549060483926</v>
      </c>
      <c r="DE54">
        <v>0.85016667961206471</v>
      </c>
    </row>
    <row r="55" spans="1:109" x14ac:dyDescent="0.2">
      <c r="A55" t="s">
        <v>485</v>
      </c>
      <c r="B55">
        <v>0.74665122985839849</v>
      </c>
      <c r="C55">
        <v>0.77970729560728558</v>
      </c>
      <c r="D55">
        <v>0.80927948340188294</v>
      </c>
      <c r="E55">
        <v>0.83488188793302776</v>
      </c>
      <c r="F55">
        <v>0.85704741462078027</v>
      </c>
      <c r="G55">
        <v>0.84969346099705212</v>
      </c>
      <c r="H55">
        <v>0.86987067571873133</v>
      </c>
      <c r="I55">
        <v>0.88366299968222051</v>
      </c>
      <c r="J55">
        <v>0.88267599218371839</v>
      </c>
      <c r="K55">
        <v>0.8700874102347318</v>
      </c>
      <c r="L55">
        <v>0.84902984092876588</v>
      </c>
      <c r="M55">
        <v>0.82200389776798632</v>
      </c>
      <c r="N55">
        <v>0.79099144271341082</v>
      </c>
      <c r="O55">
        <v>0.75754979875729134</v>
      </c>
      <c r="P55">
        <v>0.51647374265423474</v>
      </c>
      <c r="Q55">
        <v>0.51441164714024545</v>
      </c>
      <c r="R55">
        <v>0.51240110112318171</v>
      </c>
      <c r="S55">
        <v>0.52907844649497038</v>
      </c>
      <c r="T55">
        <v>0.54516387300702196</v>
      </c>
      <c r="U55">
        <v>0.5606783892748386</v>
      </c>
      <c r="V55">
        <v>0.57564225826793047</v>
      </c>
      <c r="W55">
        <v>0.59007502377457488</v>
      </c>
      <c r="X55">
        <v>0.60399553592727739</v>
      </c>
      <c r="Y55">
        <v>0.61742197582227387</v>
      </c>
      <c r="Z55">
        <v>0.63037187926522686</v>
      </c>
      <c r="AA55">
        <v>0.62927594635082185</v>
      </c>
      <c r="AB55">
        <v>0.62820736387316667</v>
      </c>
      <c r="AC55">
        <v>0.62716544926640294</v>
      </c>
      <c r="AD55">
        <v>0.62614953699899456</v>
      </c>
      <c r="AE55">
        <v>0.62515897814861365</v>
      </c>
      <c r="AF55">
        <v>0.62419313998763648</v>
      </c>
      <c r="AG55">
        <v>0.62325140557898318</v>
      </c>
      <c r="AH55">
        <v>0.62233317338204419</v>
      </c>
      <c r="AI55">
        <v>0.6117165885500383</v>
      </c>
      <c r="AJ55">
        <v>0.60138927111854801</v>
      </c>
      <c r="AK55">
        <v>0.59134333949190709</v>
      </c>
      <c r="AL55">
        <v>0.58157112682229228</v>
      </c>
      <c r="AM55">
        <v>0.57206517515854283</v>
      </c>
      <c r="AN55">
        <v>0.5628182297544061</v>
      </c>
      <c r="AO55">
        <v>0.55382323353186502</v>
      </c>
      <c r="AP55">
        <v>0.5450733216953213</v>
      </c>
      <c r="AQ55">
        <v>0.55569705188368079</v>
      </c>
      <c r="AR55">
        <v>0.56607269012998129</v>
      </c>
      <c r="AS55">
        <v>0.57620603003125725</v>
      </c>
      <c r="AT55">
        <v>0.58610272988886891</v>
      </c>
      <c r="AU55">
        <v>0.5957683158680106</v>
      </c>
      <c r="AV55">
        <v>0.60520818508343677</v>
      </c>
      <c r="AW55">
        <v>0.61442760861312773</v>
      </c>
      <c r="AX55">
        <v>0.62343173444157896</v>
      </c>
      <c r="AY55">
        <v>0.63222559033435621</v>
      </c>
      <c r="AZ55">
        <v>0.64081408664552275</v>
      </c>
      <c r="BA55">
        <v>0.6492020190595057</v>
      </c>
      <c r="BB55">
        <v>0.65739407126893257</v>
      </c>
      <c r="BC55">
        <v>0.66539481758993313</v>
      </c>
      <c r="BD55">
        <v>0.67320872551636746</v>
      </c>
      <c r="BE55">
        <v>0.68084015821440569</v>
      </c>
      <c r="BF55">
        <v>0.68829337695885318</v>
      </c>
      <c r="BG55">
        <v>0.6955725435125808</v>
      </c>
      <c r="BH55">
        <v>0.70268172245038951</v>
      </c>
      <c r="BI55">
        <v>0.7096248834286063</v>
      </c>
      <c r="BJ55">
        <v>0.71640590340167964</v>
      </c>
      <c r="BK55">
        <v>0.72302856878701083</v>
      </c>
      <c r="BL55">
        <v>0.72949657757923181</v>
      </c>
      <c r="BM55">
        <v>0.73581354141510824</v>
      </c>
      <c r="BN55">
        <v>0.74198298759022219</v>
      </c>
      <c r="BO55">
        <v>0.74800836102855961</v>
      </c>
      <c r="BP55">
        <v>0.7538930262061031</v>
      </c>
      <c r="BQ55">
        <v>0.75964026902950366</v>
      </c>
      <c r="BR55">
        <v>0.76525329867088043</v>
      </c>
      <c r="BS55">
        <v>0.77073524935977311</v>
      </c>
      <c r="BT55">
        <v>0.77608918213324751</v>
      </c>
      <c r="BU55">
        <v>0.78131808654513202</v>
      </c>
      <c r="BV55">
        <v>0.78642488233533792</v>
      </c>
      <c r="BW55">
        <v>0.79141242106019793</v>
      </c>
      <c r="BX55">
        <v>0.79628348768473101</v>
      </c>
      <c r="BY55">
        <v>0.80104080213772422</v>
      </c>
      <c r="BZ55">
        <v>0.80568702083049926</v>
      </c>
      <c r="CA55">
        <v>0.81022473814021168</v>
      </c>
      <c r="CB55">
        <v>0.81465648785851108</v>
      </c>
      <c r="CC55">
        <v>0.81898474460637183</v>
      </c>
      <c r="CD55">
        <v>0.82321192521588304</v>
      </c>
      <c r="CE55">
        <v>0.82734039007977067</v>
      </c>
      <c r="CF55">
        <v>0.8313724444694045</v>
      </c>
      <c r="CG55">
        <v>0.83531033982202629</v>
      </c>
      <c r="CH55">
        <v>0.83915627499791767</v>
      </c>
      <c r="CI55">
        <v>0.84291239750821023</v>
      </c>
      <c r="CJ55">
        <v>0.84658080471402231</v>
      </c>
      <c r="CK55">
        <v>0.85016354499759361</v>
      </c>
      <c r="CL55">
        <v>0.8536626189060702</v>
      </c>
      <c r="CM55">
        <v>0.85707998026857934</v>
      </c>
      <c r="CN55">
        <v>0.8604175372872177</v>
      </c>
      <c r="CO55">
        <v>0.86367715360256203</v>
      </c>
      <c r="CP55">
        <v>0.86686064933429752</v>
      </c>
      <c r="CQ55">
        <v>0.8699698020975446</v>
      </c>
      <c r="CR55">
        <v>0.87300634799545196</v>
      </c>
      <c r="CS55">
        <v>0.87597198258860975</v>
      </c>
      <c r="CT55">
        <v>0.87886836184182493</v>
      </c>
      <c r="CU55">
        <v>0.88169710304878612</v>
      </c>
      <c r="CV55">
        <v>0.88445978573513595</v>
      </c>
      <c r="CW55">
        <v>0.88715795254045371</v>
      </c>
      <c r="CX55">
        <v>0.88979311007964157</v>
      </c>
      <c r="CY55">
        <v>0.8923667297841954</v>
      </c>
      <c r="CZ55">
        <v>0.89488024872382921</v>
      </c>
      <c r="DA55">
        <v>0.89733507040891303</v>
      </c>
      <c r="DB55">
        <v>0.89973256557417169</v>
      </c>
      <c r="DC55">
        <v>0.9020740729440816</v>
      </c>
      <c r="DD55">
        <v>0.90436089998039426</v>
      </c>
      <c r="DE55">
        <v>0.90659432361220282</v>
      </c>
    </row>
    <row r="56" spans="1:109" x14ac:dyDescent="0.2">
      <c r="A56" t="s">
        <v>486</v>
      </c>
      <c r="B56">
        <v>0.42901557922363281</v>
      </c>
      <c r="C56">
        <v>0.5056647745092242</v>
      </c>
      <c r="D56">
        <v>0.51240846287643227</v>
      </c>
      <c r="E56">
        <v>0.57786296143835325</v>
      </c>
      <c r="F56">
        <v>0.63453081983980975</v>
      </c>
      <c r="G56">
        <v>0.60694236516579969</v>
      </c>
      <c r="H56">
        <v>0.62343973214197634</v>
      </c>
      <c r="I56">
        <v>0.67398933812373019</v>
      </c>
      <c r="J56">
        <v>0.71775314316325023</v>
      </c>
      <c r="K56">
        <v>0.75564207611019418</v>
      </c>
      <c r="L56">
        <v>0.78844478233196036</v>
      </c>
      <c r="M56">
        <v>0.81684403910116643</v>
      </c>
      <c r="N56">
        <v>0.84143096737442369</v>
      </c>
      <c r="O56">
        <v>0.86271733577578946</v>
      </c>
      <c r="P56">
        <v>0.49905539301984359</v>
      </c>
      <c r="Q56">
        <v>0.5049064120200909</v>
      </c>
      <c r="R56">
        <v>0.51061119560805479</v>
      </c>
      <c r="S56">
        <v>0.50965111691668619</v>
      </c>
      <c r="T56">
        <v>0.50871472098544002</v>
      </c>
      <c r="U56">
        <v>0.5078014236193622</v>
      </c>
      <c r="V56">
        <v>0.50691065503413923</v>
      </c>
      <c r="W56">
        <v>0.50604185950062341</v>
      </c>
      <c r="X56">
        <v>0.50519449499812696</v>
      </c>
      <c r="Y56">
        <v>0.50436803287626797</v>
      </c>
      <c r="Z56">
        <v>0.50356195752515831</v>
      </c>
      <c r="AA56">
        <v>0.50403192280816755</v>
      </c>
      <c r="AB56">
        <v>0.50449036121311919</v>
      </c>
      <c r="AC56">
        <v>0.50493755546072161</v>
      </c>
      <c r="AD56">
        <v>0.50537378133736877</v>
      </c>
      <c r="AE56">
        <v>0.50579930786521832</v>
      </c>
      <c r="AF56">
        <v>0.50621439746809882</v>
      </c>
      <c r="AG56">
        <v>0.5066193061333476</v>
      </c>
      <c r="AH56">
        <v>0.50701428356967904</v>
      </c>
      <c r="AI56">
        <v>0.50691521125805761</v>
      </c>
      <c r="AJ56">
        <v>0.50681862638551833</v>
      </c>
      <c r="AK56">
        <v>0.50672446649916114</v>
      </c>
      <c r="AL56">
        <v>0.50663267071411</v>
      </c>
      <c r="AM56">
        <v>0.50654317967414431</v>
      </c>
      <c r="AN56">
        <v>0.50645593551331847</v>
      </c>
      <c r="AO56">
        <v>0.50637088181854495</v>
      </c>
      <c r="AP56">
        <v>0.50628796359311701</v>
      </c>
      <c r="AQ56">
        <v>0.49944372668762571</v>
      </c>
      <c r="AR56">
        <v>0.4927722221653224</v>
      </c>
      <c r="AS56">
        <v>0.48626909066860252</v>
      </c>
      <c r="AT56">
        <v>0.47993008285975675</v>
      </c>
      <c r="AU56">
        <v>0.47375105664432876</v>
      </c>
      <c r="AV56">
        <v>0.46772797446454861</v>
      </c>
      <c r="AW56">
        <v>0.46185690066107349</v>
      </c>
      <c r="AX56">
        <v>0.45613399890131201</v>
      </c>
      <c r="AY56">
        <v>0.45648880583960799</v>
      </c>
      <c r="AZ56">
        <v>0.45683465828832837</v>
      </c>
      <c r="BA56">
        <v>0.45717178223765226</v>
      </c>
      <c r="BB56">
        <v>0.4575003979743002</v>
      </c>
      <c r="BC56">
        <v>0.45782072022547587</v>
      </c>
      <c r="BD56">
        <v>0.45813295829917527</v>
      </c>
      <c r="BE56">
        <v>0.45843731622095463</v>
      </c>
      <c r="BF56">
        <v>0.45873399286724675</v>
      </c>
      <c r="BG56">
        <v>0.45902318209531268</v>
      </c>
      <c r="BH56">
        <v>0.4593050728699139</v>
      </c>
      <c r="BI56">
        <v>0.45957984938678736</v>
      </c>
      <c r="BJ56">
        <v>0.45984769119300439</v>
      </c>
      <c r="BK56">
        <v>0.46010877330429212</v>
      </c>
      <c r="BL56">
        <v>0.46036326631939378</v>
      </c>
      <c r="BM56">
        <v>0.46061133653154307</v>
      </c>
      <c r="BN56">
        <v>0.46085314603712502</v>
      </c>
      <c r="BO56">
        <v>0.46108885284159457</v>
      </c>
      <c r="BP56">
        <v>0.46131861096272192</v>
      </c>
      <c r="BQ56">
        <v>0.46154257053123238</v>
      </c>
      <c r="BR56">
        <v>0.46176087788890607</v>
      </c>
      <c r="BS56">
        <v>0.46197367568420211</v>
      </c>
      <c r="BT56">
        <v>0.46218110296546916</v>
      </c>
      <c r="BU56">
        <v>0.46238329527180383</v>
      </c>
      <c r="BV56">
        <v>0.46258038472161589</v>
      </c>
      <c r="BW56">
        <v>0.46277250009895832</v>
      </c>
      <c r="BX56">
        <v>0.4629597669376786</v>
      </c>
      <c r="BY56">
        <v>0.46314230760344621</v>
      </c>
      <c r="BZ56">
        <v>0.46332024137371003</v>
      </c>
      <c r="CA56">
        <v>0.46349368451563766</v>
      </c>
      <c r="CB56">
        <v>0.46366275036208793</v>
      </c>
      <c r="CC56">
        <v>0.46382754938566567</v>
      </c>
      <c r="CD56">
        <v>0.46398818927090812</v>
      </c>
      <c r="CE56">
        <v>0.4641447749846489</v>
      </c>
      <c r="CF56">
        <v>0.46429740884460652</v>
      </c>
      <c r="CG56">
        <v>0.46444619058624187</v>
      </c>
      <c r="CH56">
        <v>0.46459121742792819</v>
      </c>
      <c r="CI56">
        <v>0.46473258413447649</v>
      </c>
      <c r="CJ56">
        <v>0.46487038307905765</v>
      </c>
      <c r="CK56">
        <v>0.46500470430356178</v>
      </c>
      <c r="CL56">
        <v>0.4651356355774342</v>
      </c>
      <c r="CM56">
        <v>0.46526326245502664</v>
      </c>
      <c r="CN56">
        <v>0.46538766833150091</v>
      </c>
      <c r="CO56">
        <v>0.46550893449732189</v>
      </c>
      <c r="CP56">
        <v>0.46562714019137491</v>
      </c>
      <c r="CQ56">
        <v>0.46574236265274299</v>
      </c>
      <c r="CR56">
        <v>0.4658546771711769</v>
      </c>
      <c r="CS56">
        <v>0.46596415713629191</v>
      </c>
      <c r="CT56">
        <v>0.46607087408552267</v>
      </c>
      <c r="CU56">
        <v>0.46617489775086773</v>
      </c>
      <c r="CV56">
        <v>0.46627629610445476</v>
      </c>
      <c r="CW56">
        <v>0.46637513540295522</v>
      </c>
      <c r="CX56">
        <v>0.46647148023087875</v>
      </c>
      <c r="CY56">
        <v>0.46656539354277426</v>
      </c>
      <c r="CZ56">
        <v>0.46665693670436659</v>
      </c>
      <c r="DA56">
        <v>0.46674616953265441</v>
      </c>
      <c r="DB56">
        <v>0.46683315033499667</v>
      </c>
      <c r="DC56">
        <v>0.4669179359472122</v>
      </c>
      <c r="DD56">
        <v>0.46700058177071785</v>
      </c>
      <c r="DE56">
        <v>0.46708114180872956</v>
      </c>
    </row>
    <row r="57" spans="1:109" x14ac:dyDescent="0.2">
      <c r="A57" t="s">
        <v>487</v>
      </c>
      <c r="B57">
        <v>0.46971038818359373</v>
      </c>
      <c r="C57">
        <v>0.46066358661429635</v>
      </c>
      <c r="D57">
        <v>0.5068385554305268</v>
      </c>
      <c r="E57">
        <v>0.50358255810827146</v>
      </c>
      <c r="F57">
        <v>0.50700593955422402</v>
      </c>
      <c r="G57">
        <v>0.50199936862816563</v>
      </c>
      <c r="H57">
        <v>0.45608538716736047</v>
      </c>
      <c r="I57">
        <v>0.40828433098052924</v>
      </c>
      <c r="J57">
        <v>0.36690010922420685</v>
      </c>
      <c r="K57">
        <v>0.33107132327264693</v>
      </c>
      <c r="L57">
        <v>0.30005220902371016</v>
      </c>
      <c r="M57">
        <v>0.27319711407046621</v>
      </c>
      <c r="N57">
        <v>0.24994705866398514</v>
      </c>
      <c r="O57">
        <v>0.2298181007382884</v>
      </c>
      <c r="P57">
        <v>0.63639103002523334</v>
      </c>
      <c r="Q57">
        <v>0.62428069933616182</v>
      </c>
      <c r="R57">
        <v>0.61255070805545209</v>
      </c>
      <c r="S57">
        <v>0.61216940091406369</v>
      </c>
      <c r="T57">
        <v>0.61176811896314065</v>
      </c>
      <c r="U57">
        <v>0.61139721543073944</v>
      </c>
      <c r="V57">
        <v>0.61110155490176787</v>
      </c>
      <c r="W57">
        <v>0.61092131716696529</v>
      </c>
      <c r="X57">
        <v>0.61088804721997203</v>
      </c>
      <c r="Y57">
        <v>0.61102993853104481</v>
      </c>
      <c r="Z57">
        <v>0.61136439075756654</v>
      </c>
      <c r="AA57">
        <v>0.61106205114474033</v>
      </c>
      <c r="AB57">
        <v>0.6097856528676735</v>
      </c>
      <c r="AC57">
        <v>0.60766078467592932</v>
      </c>
      <c r="AD57">
        <v>0.60479822780778247</v>
      </c>
      <c r="AE57">
        <v>0.60129565975667509</v>
      </c>
      <c r="AF57">
        <v>0.59723916758734474</v>
      </c>
      <c r="AG57">
        <v>0.59270459208449711</v>
      </c>
      <c r="AH57">
        <v>0.58775872131558182</v>
      </c>
      <c r="AI57">
        <v>0.58060174991527258</v>
      </c>
      <c r="AJ57">
        <v>0.57394997503263456</v>
      </c>
      <c r="AK57">
        <v>0.56778001320407645</v>
      </c>
      <c r="AL57">
        <v>0.56207045024310676</v>
      </c>
      <c r="AM57">
        <v>0.55680171325946537</v>
      </c>
      <c r="AN57">
        <v>0.55195595348825777</v>
      </c>
      <c r="AO57">
        <v>0.54751693891897646</v>
      </c>
      <c r="AP57">
        <v>0.54346995587182489</v>
      </c>
      <c r="AQ57">
        <v>0.53454538070818114</v>
      </c>
      <c r="AR57">
        <v>0.52610558764906168</v>
      </c>
      <c r="AS57">
        <v>0.51814065546172317</v>
      </c>
      <c r="AT57">
        <v>0.51064103270700789</v>
      </c>
      <c r="AU57">
        <v>0.50359750527588454</v>
      </c>
      <c r="AV57">
        <v>0.49700117299039004</v>
      </c>
      <c r="AW57">
        <v>0.49084343438743794</v>
      </c>
      <c r="AX57">
        <v>0.48511597875718954</v>
      </c>
      <c r="AY57">
        <v>0.47981078451585235</v>
      </c>
      <c r="AZ57">
        <v>0.47492012303841014</v>
      </c>
      <c r="BA57">
        <v>0.47043656714663784</v>
      </c>
      <c r="BB57">
        <v>0.46635300353191012</v>
      </c>
      <c r="BC57">
        <v>0.46266264696494697</v>
      </c>
      <c r="BD57">
        <v>0.45935905707829</v>
      </c>
      <c r="BE57">
        <v>0.45643615730196263</v>
      </c>
      <c r="BF57">
        <v>0.45388825561277124</v>
      </c>
      <c r="BG57">
        <v>0.4517100668328643</v>
      </c>
      <c r="BH57">
        <v>0.44989673628294974</v>
      </c>
      <c r="BI57">
        <v>0.44844386465987196</v>
      </c>
      <c r="BJ57">
        <v>0.44734753406726474</v>
      </c>
      <c r="BK57">
        <v>0.4466043351821406</v>
      </c>
      <c r="BL57">
        <v>0.44621139559010115</v>
      </c>
      <c r="BM57">
        <v>0.44616640936800878</v>
      </c>
      <c r="BN57">
        <v>0.44646766803614979</v>
      </c>
      <c r="BO57">
        <v>0.4471140930428889</v>
      </c>
      <c r="BP57">
        <v>0.44810526998431927</v>
      </c>
      <c r="BQ57">
        <v>0.44944148480023038</v>
      </c>
      <c r="BR57">
        <v>0.45112376222662975</v>
      </c>
      <c r="BS57">
        <v>0.45315390682486351</v>
      </c>
      <c r="BT57">
        <v>0.45553454694890638</v>
      </c>
      <c r="BU57">
        <v>0.45826918205648554</v>
      </c>
      <c r="BV57">
        <v>0.46136223381725805</v>
      </c>
      <c r="BW57">
        <v>0.46481896795822353</v>
      </c>
      <c r="BX57">
        <v>0.46864524948607056</v>
      </c>
      <c r="BY57">
        <v>0.47284756819505214</v>
      </c>
      <c r="BZ57">
        <v>0.47743306632946092</v>
      </c>
      <c r="CA57">
        <v>0.48240956847669864</v>
      </c>
      <c r="CB57">
        <v>0.48778561378104041</v>
      </c>
      <c r="CC57">
        <v>0.49356140019973271</v>
      </c>
      <c r="CD57">
        <v>0.49972997608244679</v>
      </c>
      <c r="CE57">
        <v>0.50628435136583705</v>
      </c>
      <c r="CF57">
        <v>0.51321749952232065</v>
      </c>
      <c r="CG57">
        <v>0.52052235962378424</v>
      </c>
      <c r="CH57">
        <v>0.52819183852497742</v>
      </c>
      <c r="CI57">
        <v>0.53621881316858166</v>
      </c>
      <c r="CJ57">
        <v>0.54459613301155396</v>
      </c>
      <c r="CK57">
        <v>0.55331662257029512</v>
      </c>
      <c r="CL57">
        <v>0.5623730840804636</v>
      </c>
      <c r="CM57">
        <v>0.57175830026580343</v>
      </c>
      <c r="CN57">
        <v>0.58146503720916265</v>
      </c>
      <c r="CO57">
        <v>0.59148604731791465</v>
      </c>
      <c r="CP57">
        <v>0.601430857326122</v>
      </c>
      <c r="CQ57">
        <v>0.61113357218568132</v>
      </c>
      <c r="CR57">
        <v>0.62060008542909362</v>
      </c>
      <c r="CS57">
        <v>0.62983614711747871</v>
      </c>
      <c r="CT57">
        <v>0.63884736733322367</v>
      </c>
      <c r="CU57">
        <v>0.64763921958760684</v>
      </c>
      <c r="CV57">
        <v>0.656217044145467</v>
      </c>
      <c r="CW57">
        <v>0.66458605126893699</v>
      </c>
      <c r="CX57">
        <v>0.67275132438221263</v>
      </c>
      <c r="CY57">
        <v>0.68071782315927898</v>
      </c>
      <c r="CZ57">
        <v>0.68849038653646877</v>
      </c>
      <c r="DA57">
        <v>0.6960737356516844</v>
      </c>
      <c r="DB57">
        <v>0.70347247671206714</v>
      </c>
      <c r="DC57">
        <v>0.71069110379185663</v>
      </c>
      <c r="DD57">
        <v>0.71773400156213962</v>
      </c>
      <c r="DE57">
        <v>0.72460544795414572</v>
      </c>
    </row>
    <row r="58" spans="1:109" x14ac:dyDescent="0.2">
      <c r="A58" t="s">
        <v>488</v>
      </c>
      <c r="B58">
        <v>0.69426445007324222</v>
      </c>
      <c r="C58">
        <v>0.71739534701741181</v>
      </c>
      <c r="D58">
        <v>0.63518884259113684</v>
      </c>
      <c r="E58">
        <v>0.57619199226650353</v>
      </c>
      <c r="F58">
        <v>0.55115811846437068</v>
      </c>
      <c r="G58">
        <v>0.57491909148417608</v>
      </c>
      <c r="H58">
        <v>0.51305839237949391</v>
      </c>
      <c r="I58">
        <v>0.46083776217597106</v>
      </c>
      <c r="J58">
        <v>0.41745835633730727</v>
      </c>
      <c r="K58">
        <v>0.3849233301091024</v>
      </c>
      <c r="L58">
        <v>0.36470537675517334</v>
      </c>
      <c r="M58">
        <v>0.35798871987075775</v>
      </c>
      <c r="N58">
        <v>0.36648041923817121</v>
      </c>
      <c r="O58">
        <v>0.39264369634345025</v>
      </c>
      <c r="P58">
        <v>0.62550762425137851</v>
      </c>
      <c r="Q58">
        <v>0.6415906473076467</v>
      </c>
      <c r="R58">
        <v>0.65698296569973746</v>
      </c>
      <c r="S58">
        <v>0.62796203308378151</v>
      </c>
      <c r="T58">
        <v>0.60075831946401359</v>
      </c>
      <c r="U58">
        <v>0.57525803508309514</v>
      </c>
      <c r="V58">
        <v>0.55135451541675118</v>
      </c>
      <c r="W58">
        <v>0.52894777500930501</v>
      </c>
      <c r="X58">
        <v>0.50794408924692824</v>
      </c>
      <c r="Y58">
        <v>0.488255602319215</v>
      </c>
      <c r="Z58">
        <v>0.46979995972923222</v>
      </c>
      <c r="AA58">
        <v>0.47489988894325202</v>
      </c>
      <c r="AB58">
        <v>0.47987978127821468</v>
      </c>
      <c r="AC58">
        <v>0.4847424620384978</v>
      </c>
      <c r="AD58">
        <v>0.48949069002937562</v>
      </c>
      <c r="AE58">
        <v>0.49412715912220645</v>
      </c>
      <c r="AF58">
        <v>0.49865449978278015</v>
      </c>
      <c r="AG58">
        <v>0.50307528056369322</v>
      </c>
      <c r="AH58">
        <v>0.50739200956159769</v>
      </c>
      <c r="AI58">
        <v>0.50663753129644262</v>
      </c>
      <c r="AJ58">
        <v>0.50590147212658843</v>
      </c>
      <c r="AK58">
        <v>0.5051833823862365</v>
      </c>
      <c r="AL58">
        <v>0.50448282338728967</v>
      </c>
      <c r="AM58">
        <v>0.50379936715135332</v>
      </c>
      <c r="AN58">
        <v>0.50313259614827932</v>
      </c>
      <c r="AO58">
        <v>0.50248210304109275</v>
      </c>
      <c r="AP58">
        <v>0.5018474904371456</v>
      </c>
      <c r="AQ58">
        <v>0.5079832841170383</v>
      </c>
      <c r="AR58">
        <v>0.51395042477783093</v>
      </c>
      <c r="AS58">
        <v>0.51975354814268115</v>
      </c>
      <c r="AT58">
        <v>0.52539716251378876</v>
      </c>
      <c r="AU58">
        <v>0.53088565227478401</v>
      </c>
      <c r="AV58">
        <v>0.53622328129684582</v>
      </c>
      <c r="AW58">
        <v>0.54141419625119769</v>
      </c>
      <c r="AX58">
        <v>0.54646242983055293</v>
      </c>
      <c r="AY58">
        <v>0.55137190388201363</v>
      </c>
      <c r="AZ58">
        <v>0.55614643245385598</v>
      </c>
      <c r="BA58">
        <v>0.5607897247585697</v>
      </c>
      <c r="BB58">
        <v>0.56530538805445285</v>
      </c>
      <c r="BC58">
        <v>0.56969693044800096</v>
      </c>
      <c r="BD58">
        <v>0.57396776361926793</v>
      </c>
      <c r="BE58">
        <v>0.57812120547231527</v>
      </c>
      <c r="BF58">
        <v>0.58216048271280918</v>
      </c>
      <c r="BG58">
        <v>0.58608873335476808</v>
      </c>
      <c r="BH58">
        <v>0.58990900915840749</v>
      </c>
      <c r="BI58">
        <v>0.59362427800097683</v>
      </c>
      <c r="BJ58">
        <v>0.59723742618242925</v>
      </c>
      <c r="BK58">
        <v>0.60075126066771645</v>
      </c>
      <c r="BL58">
        <v>0.60416851126744964</v>
      </c>
      <c r="BM58">
        <v>0.60749183275862195</v>
      </c>
      <c r="BN58">
        <v>0.61072380694703809</v>
      </c>
      <c r="BO58">
        <v>0.61386694467305558</v>
      </c>
      <c r="BP58">
        <v>0.61692368776219397</v>
      </c>
      <c r="BQ58">
        <v>0.6198964109221281</v>
      </c>
      <c r="BR58">
        <v>0.6227874235875398</v>
      </c>
      <c r="BS58">
        <v>0.62559897171426015</v>
      </c>
      <c r="BT58">
        <v>0.6283332395240967</v>
      </c>
      <c r="BU58">
        <v>0.63099235120170072</v>
      </c>
      <c r="BV58">
        <v>0.6335783725447941</v>
      </c>
      <c r="BW58">
        <v>0.63609331256903556</v>
      </c>
      <c r="BX58">
        <v>0.63853912506877541</v>
      </c>
      <c r="BY58">
        <v>0.6409177101349095</v>
      </c>
      <c r="BZ58">
        <v>0.64323091563101276</v>
      </c>
      <c r="CA58">
        <v>0.6454805386288982</v>
      </c>
      <c r="CB58">
        <v>0.64766832680471753</v>
      </c>
      <c r="CC58">
        <v>0.64979597979668735</v>
      </c>
      <c r="CD58">
        <v>0.65186515052549554</v>
      </c>
      <c r="CE58">
        <v>0.6538774464784145</v>
      </c>
      <c r="CF58">
        <v>0.65583443095811766</v>
      </c>
      <c r="CG58">
        <v>0.65773762429717098</v>
      </c>
      <c r="CH58">
        <v>0.65958850503914102</v>
      </c>
      <c r="CI58">
        <v>0.66138851108723895</v>
      </c>
      <c r="CJ58">
        <v>0.66313904082139152</v>
      </c>
      <c r="CK58">
        <v>0.66484145418460805</v>
      </c>
      <c r="CL58">
        <v>0.66649707373948586</v>
      </c>
      <c r="CM58">
        <v>0.66810718569567662</v>
      </c>
      <c r="CN58">
        <v>0.6696730409091104</v>
      </c>
      <c r="CO58">
        <v>0.67119585585375474</v>
      </c>
      <c r="CP58">
        <v>0.67267681356666287</v>
      </c>
      <c r="CQ58">
        <v>0.67411706456704579</v>
      </c>
      <c r="CR58">
        <v>0.67551772775008212</v>
      </c>
      <c r="CS58">
        <v>0.67687989125615966</v>
      </c>
      <c r="CT58">
        <v>0.67820461331622506</v>
      </c>
      <c r="CU58">
        <v>0.67949292307389653</v>
      </c>
      <c r="CV58">
        <v>0.68074582138498052</v>
      </c>
      <c r="CW58">
        <v>0.68196428159501143</v>
      </c>
      <c r="CX58">
        <v>0.68314925029541929</v>
      </c>
      <c r="CY58">
        <v>0.68430164805891347</v>
      </c>
      <c r="CZ58">
        <v>0.68542237015465268</v>
      </c>
      <c r="DA58">
        <v>0.68651228724375724</v>
      </c>
      <c r="DB58">
        <v>0.68757224605570377</v>
      </c>
      <c r="DC58">
        <v>0.68860307004612886</v>
      </c>
      <c r="DD58">
        <v>0.68960556003655071</v>
      </c>
      <c r="DE58">
        <v>0.69058049483650774</v>
      </c>
    </row>
    <row r="59" spans="1:109" x14ac:dyDescent="0.2">
      <c r="A59" t="s">
        <v>489</v>
      </c>
      <c r="B59">
        <v>0.51738662719726558</v>
      </c>
      <c r="C59">
        <v>0.51266714984007311</v>
      </c>
      <c r="D59">
        <v>0.5733159441283322</v>
      </c>
      <c r="E59">
        <v>0.50977780733653044</v>
      </c>
      <c r="F59">
        <v>0.46819310066906128</v>
      </c>
      <c r="G59">
        <v>0.47479686091968304</v>
      </c>
      <c r="H59">
        <v>0.54530035717486314</v>
      </c>
      <c r="I59">
        <v>0.60633940165885658</v>
      </c>
      <c r="J59">
        <v>0.65918453844509184</v>
      </c>
      <c r="K59">
        <v>0.70493572124232939</v>
      </c>
      <c r="L59">
        <v>0.74454524549833379</v>
      </c>
      <c r="M59">
        <v>0.77883757010861088</v>
      </c>
      <c r="N59">
        <v>0.80852647825040358</v>
      </c>
      <c r="O59">
        <v>0.83422993453891792</v>
      </c>
      <c r="P59">
        <f t="shared" ref="P59:AG59" si="4">MIN(P42:P58)</f>
        <v>0.29716283696870005</v>
      </c>
      <c r="Q59">
        <f t="shared" si="4"/>
        <v>0.29187206716090075</v>
      </c>
      <c r="R59">
        <f t="shared" si="4"/>
        <v>0.28668866971547141</v>
      </c>
      <c r="S59">
        <f t="shared" si="4"/>
        <v>0.30555773032620637</v>
      </c>
      <c r="T59">
        <f t="shared" si="4"/>
        <v>0.32313705048649333</v>
      </c>
      <c r="U59">
        <f t="shared" si="4"/>
        <v>0.32330566025630103</v>
      </c>
      <c r="V59">
        <f t="shared" si="4"/>
        <v>0.32066793104805774</v>
      </c>
      <c r="W59">
        <f t="shared" si="4"/>
        <v>0.31813397671434723</v>
      </c>
      <c r="X59">
        <f t="shared" si="4"/>
        <v>0.31569911917279331</v>
      </c>
      <c r="Y59">
        <f t="shared" si="4"/>
        <v>0.31335904948716448</v>
      </c>
      <c r="Z59">
        <f t="shared" si="4"/>
        <v>0.31110999608894102</v>
      </c>
      <c r="AA59">
        <f t="shared" si="4"/>
        <v>0.31505374498318295</v>
      </c>
      <c r="AB59">
        <f t="shared" si="4"/>
        <v>0.31894077109788843</v>
      </c>
      <c r="AC59">
        <f t="shared" si="4"/>
        <v>0.32276609392693567</v>
      </c>
      <c r="AD59">
        <f t="shared" si="4"/>
        <v>0.32652566864789445</v>
      </c>
      <c r="AE59">
        <f t="shared" si="4"/>
        <v>0.33021625146356703</v>
      </c>
      <c r="AF59">
        <f t="shared" si="4"/>
        <v>0.33383527931615686</v>
      </c>
      <c r="AG59">
        <f t="shared" si="4"/>
        <v>0.31069742730845784</v>
      </c>
      <c r="AH59">
        <f t="shared" ref="AH59:BM59" si="5">MIN(AH42:AH58)</f>
        <v>0.28945019032848007</v>
      </c>
      <c r="AI59">
        <f t="shared" si="5"/>
        <v>0.30209184632541963</v>
      </c>
      <c r="AJ59">
        <f t="shared" si="5"/>
        <v>0.31450858991766956</v>
      </c>
      <c r="AK59">
        <f t="shared" si="5"/>
        <v>0.32670442260549182</v>
      </c>
      <c r="AL59">
        <f t="shared" si="5"/>
        <v>0.33868327469696863</v>
      </c>
      <c r="AM59">
        <f t="shared" si="5"/>
        <v>0.33885142985517047</v>
      </c>
      <c r="AN59">
        <f t="shared" si="5"/>
        <v>0.33876907228497583</v>
      </c>
      <c r="AO59">
        <f t="shared" si="5"/>
        <v>0.33879853682308408</v>
      </c>
      <c r="AP59">
        <f t="shared" si="5"/>
        <v>0.3389424920991691</v>
      </c>
      <c r="AQ59">
        <f t="shared" si="5"/>
        <v>0.35582687832522186</v>
      </c>
      <c r="AR59">
        <f t="shared" si="5"/>
        <v>0.37228001236092317</v>
      </c>
      <c r="AS59">
        <f t="shared" si="5"/>
        <v>0.38200668229086449</v>
      </c>
      <c r="AT59">
        <f t="shared" si="5"/>
        <v>0.38192407711859927</v>
      </c>
      <c r="AU59">
        <f t="shared" si="5"/>
        <v>0.38215893772275367</v>
      </c>
      <c r="AV59">
        <f t="shared" si="5"/>
        <v>0.38268307603127061</v>
      </c>
      <c r="AW59">
        <f t="shared" si="5"/>
        <v>0.38347207625530405</v>
      </c>
      <c r="AX59">
        <f t="shared" si="5"/>
        <v>0.38450497064182648</v>
      </c>
      <c r="AY59">
        <f t="shared" si="5"/>
        <v>0.38576393701185863</v>
      </c>
      <c r="AZ59">
        <f t="shared" si="5"/>
        <v>0.38723401957024312</v>
      </c>
      <c r="BA59">
        <f t="shared" si="5"/>
        <v>0.38890287354735198</v>
      </c>
      <c r="BB59">
        <f t="shared" si="5"/>
        <v>0.39076045612560167</v>
      </c>
      <c r="BC59">
        <f t="shared" si="5"/>
        <v>0.39279881893952229</v>
      </c>
      <c r="BD59">
        <f t="shared" si="5"/>
        <v>0.39501192327477391</v>
      </c>
      <c r="BE59">
        <f t="shared" si="5"/>
        <v>0.39739547650873963</v>
      </c>
      <c r="BF59">
        <f t="shared" si="5"/>
        <v>0.39994678834239172</v>
      </c>
      <c r="BG59">
        <f t="shared" si="5"/>
        <v>0.40266464541907965</v>
      </c>
      <c r="BH59">
        <f t="shared" si="5"/>
        <v>0.40554920299927255</v>
      </c>
      <c r="BI59">
        <f t="shared" si="5"/>
        <v>0.4086018924524103</v>
      </c>
      <c r="BJ59">
        <f t="shared" si="5"/>
        <v>0.41182534343135807</v>
      </c>
      <c r="BK59">
        <f t="shared" si="5"/>
        <v>0.41522331970671367</v>
      </c>
      <c r="BL59">
        <f t="shared" si="5"/>
        <v>0.41880066775393332</v>
      </c>
      <c r="BM59">
        <f t="shared" si="5"/>
        <v>0.42256327730352855</v>
      </c>
      <c r="BN59">
        <f t="shared" ref="BN59:CS59" si="6">MIN(BN42:BN58)</f>
        <v>0.42651805318189429</v>
      </c>
      <c r="BO59">
        <f t="shared" si="6"/>
        <v>0.43067289788676116</v>
      </c>
      <c r="BP59">
        <f t="shared" si="6"/>
        <v>0.43503670445646131</v>
      </c>
      <c r="BQ59">
        <f t="shared" si="6"/>
        <v>0.43961935930619672</v>
      </c>
      <c r="BR59">
        <f t="shared" si="6"/>
        <v>0.4444317548176977</v>
      </c>
      <c r="BS59">
        <f t="shared" si="6"/>
        <v>0.4494858115817133</v>
      </c>
      <c r="BT59">
        <f t="shared" si="6"/>
        <v>0.45479451030659468</v>
      </c>
      <c r="BU59">
        <f t="shared" si="6"/>
        <v>0.45826918205648554</v>
      </c>
      <c r="BV59">
        <f t="shared" si="6"/>
        <v>0.46136223381725805</v>
      </c>
      <c r="BW59">
        <f t="shared" si="6"/>
        <v>0.46277250009895832</v>
      </c>
      <c r="BX59">
        <f t="shared" si="6"/>
        <v>0.4629597669376786</v>
      </c>
      <c r="BY59">
        <f t="shared" si="6"/>
        <v>0.46314230760344621</v>
      </c>
      <c r="BZ59">
        <f t="shared" si="6"/>
        <v>0.46332024137371003</v>
      </c>
      <c r="CA59">
        <f t="shared" si="6"/>
        <v>0.46349368451563766</v>
      </c>
      <c r="CB59">
        <f t="shared" si="6"/>
        <v>0.46366275036208793</v>
      </c>
      <c r="CC59">
        <f t="shared" si="6"/>
        <v>0.46382754938566567</v>
      </c>
      <c r="CD59">
        <f t="shared" si="6"/>
        <v>0.46398818927090812</v>
      </c>
      <c r="CE59">
        <f t="shared" si="6"/>
        <v>0.4641447749846489</v>
      </c>
      <c r="CF59">
        <f t="shared" si="6"/>
        <v>0.46429740884460652</v>
      </c>
      <c r="CG59">
        <f t="shared" si="6"/>
        <v>0.46444619058624187</v>
      </c>
      <c r="CH59">
        <f t="shared" si="6"/>
        <v>0.46459121742792819</v>
      </c>
      <c r="CI59">
        <f t="shared" si="6"/>
        <v>0.46473258413447649</v>
      </c>
      <c r="CJ59">
        <f t="shared" si="6"/>
        <v>0.46487038307905765</v>
      </c>
      <c r="CK59">
        <f t="shared" si="6"/>
        <v>0.46500470430356178</v>
      </c>
      <c r="CL59">
        <f t="shared" si="6"/>
        <v>0.4651356355774342</v>
      </c>
      <c r="CM59">
        <f t="shared" si="6"/>
        <v>0.46526326245502664</v>
      </c>
      <c r="CN59">
        <f t="shared" si="6"/>
        <v>0.46538766833150091</v>
      </c>
      <c r="CO59">
        <f t="shared" si="6"/>
        <v>0.46550893449732189</v>
      </c>
      <c r="CP59">
        <f t="shared" si="6"/>
        <v>0.46562714019137491</v>
      </c>
      <c r="CQ59">
        <f t="shared" si="6"/>
        <v>0.46574236265274299</v>
      </c>
      <c r="CR59">
        <f t="shared" si="6"/>
        <v>0.4658546771711769</v>
      </c>
      <c r="CS59">
        <f t="shared" si="6"/>
        <v>0.46596415713629191</v>
      </c>
      <c r="CT59">
        <f t="shared" ref="CT59:DE59" si="7">MIN(CT42:CT58)</f>
        <v>0.46607087408552267</v>
      </c>
      <c r="CU59">
        <f t="shared" si="7"/>
        <v>0.46617489775086773</v>
      </c>
      <c r="CV59">
        <f t="shared" si="7"/>
        <v>0.46627629610445476</v>
      </c>
      <c r="CW59">
        <f t="shared" si="7"/>
        <v>0.46637513540295522</v>
      </c>
      <c r="CX59">
        <f t="shared" si="7"/>
        <v>0.46647148023087875</v>
      </c>
      <c r="CY59">
        <f t="shared" si="7"/>
        <v>0.46656539354277426</v>
      </c>
      <c r="CZ59">
        <f t="shared" si="7"/>
        <v>0.46665693670436659</v>
      </c>
      <c r="DA59">
        <f t="shared" si="7"/>
        <v>0.46674616953265441</v>
      </c>
      <c r="DB59">
        <f t="shared" si="7"/>
        <v>0.46683315033499667</v>
      </c>
      <c r="DC59">
        <f t="shared" si="7"/>
        <v>0.4669179359472122</v>
      </c>
      <c r="DD59">
        <f t="shared" si="7"/>
        <v>0.46700058177071785</v>
      </c>
      <c r="DE59">
        <f t="shared" si="7"/>
        <v>0.46708114180872956</v>
      </c>
    </row>
    <row r="122" spans="2:5" x14ac:dyDescent="0.2">
      <c r="B122">
        <v>1.0443228483200073</v>
      </c>
      <c r="C122">
        <v>9.727290153503418</v>
      </c>
      <c r="D122">
        <v>5.8593792915344238</v>
      </c>
      <c r="E122">
        <v>5.7486491203308105</v>
      </c>
    </row>
    <row r="123" spans="2:5" x14ac:dyDescent="0.2">
      <c r="B123">
        <v>0.77684700489044189</v>
      </c>
      <c r="C123">
        <v>6.7482609748840332</v>
      </c>
      <c r="D123">
        <v>5.1719241142272949</v>
      </c>
      <c r="E123">
        <v>8.6016244888305664</v>
      </c>
    </row>
    <row r="124" spans="2:5" x14ac:dyDescent="0.2">
      <c r="B124">
        <v>9.5927085876464844</v>
      </c>
      <c r="C124">
        <v>8.7577972412109375</v>
      </c>
      <c r="D124">
        <v>8.6845369338989258</v>
      </c>
      <c r="E124">
        <v>4.3882637023925781</v>
      </c>
    </row>
    <row r="125" spans="2:5" x14ac:dyDescent="0.2">
      <c r="B125">
        <v>4.9437670707702637</v>
      </c>
      <c r="C125">
        <v>1.2308281660079956</v>
      </c>
      <c r="D125">
        <v>2.5954132080078125</v>
      </c>
      <c r="E125">
        <v>2.4567885398864746</v>
      </c>
    </row>
    <row r="126" spans="2:5" x14ac:dyDescent="0.2">
      <c r="B126">
        <v>2.1779985427856445</v>
      </c>
      <c r="C126">
        <v>7.9729728698730469</v>
      </c>
      <c r="D126">
        <v>3.469571590423584</v>
      </c>
      <c r="E126">
        <v>3.972435474395752</v>
      </c>
    </row>
    <row r="127" spans="2:5" x14ac:dyDescent="0.2">
      <c r="B127">
        <v>3.9584426879882813</v>
      </c>
      <c r="C127">
        <v>4.0160460472106934</v>
      </c>
      <c r="D127">
        <v>7.4234204292297363</v>
      </c>
      <c r="E127">
        <v>2.7035923004150391</v>
      </c>
    </row>
    <row r="128" spans="2:5" x14ac:dyDescent="0.2">
      <c r="B128">
        <v>5.0337119102478027</v>
      </c>
      <c r="C128">
        <v>1.6776281595230103</v>
      </c>
      <c r="D128">
        <v>2.7858943939208984</v>
      </c>
      <c r="E128">
        <v>2.096989631652832</v>
      </c>
    </row>
    <row r="129" spans="2:9" x14ac:dyDescent="0.2">
      <c r="B129">
        <v>5.1725583076477051</v>
      </c>
      <c r="C129">
        <v>5.0972003936767578</v>
      </c>
      <c r="D129">
        <v>4.0486459732055664</v>
      </c>
      <c r="E129">
        <v>8.9544620513916016</v>
      </c>
    </row>
    <row r="130" spans="2:9" x14ac:dyDescent="0.2">
      <c r="B130">
        <v>5.5750102996826172</v>
      </c>
      <c r="C130">
        <v>1.0613375902175903</v>
      </c>
      <c r="D130">
        <v>7.4178071022033691</v>
      </c>
      <c r="E130">
        <v>6.5237669944763184</v>
      </c>
    </row>
    <row r="131" spans="2:9" x14ac:dyDescent="0.2">
      <c r="B131">
        <v>6.5725641250610352</v>
      </c>
      <c r="C131">
        <v>6.4304680824279785</v>
      </c>
      <c r="D131">
        <v>0.77980577945709229</v>
      </c>
      <c r="E131">
        <v>2.3159666061401367</v>
      </c>
    </row>
    <row r="132" spans="2:9" x14ac:dyDescent="0.2">
      <c r="B132">
        <v>6.9299454689025879</v>
      </c>
      <c r="C132">
        <v>4.9796919822692871</v>
      </c>
      <c r="D132">
        <v>3.3937520980834961</v>
      </c>
      <c r="E132">
        <v>8.4618740081787109</v>
      </c>
    </row>
    <row r="133" spans="2:9" x14ac:dyDescent="0.2">
      <c r="B133">
        <v>7.5609259605407715</v>
      </c>
      <c r="C133">
        <v>8.9661664962768555</v>
      </c>
      <c r="D133">
        <v>3.1228809356689453</v>
      </c>
      <c r="E133">
        <v>4.9200625419616699</v>
      </c>
    </row>
    <row r="134" spans="2:9" x14ac:dyDescent="0.2">
      <c r="B134">
        <v>4.9707098007202148</v>
      </c>
      <c r="C134">
        <v>3.2355480194091797</v>
      </c>
      <c r="D134">
        <v>1.5175622701644897</v>
      </c>
      <c r="E134">
        <v>8.348933219909668</v>
      </c>
    </row>
    <row r="135" spans="2:9" x14ac:dyDescent="0.2">
      <c r="B135">
        <v>2.2373752593994141</v>
      </c>
      <c r="C135">
        <v>2.1800036430358887</v>
      </c>
      <c r="D135">
        <v>9.5623693466186523</v>
      </c>
      <c r="E135">
        <v>1.9553488492965698</v>
      </c>
    </row>
    <row r="136" spans="2:9" x14ac:dyDescent="0.2">
      <c r="B136">
        <v>7.844886302947998</v>
      </c>
      <c r="C136">
        <v>2.3602776527404785</v>
      </c>
      <c r="D136">
        <v>9.3997116088867188</v>
      </c>
      <c r="E136">
        <v>4.1323308944702148</v>
      </c>
    </row>
    <row r="137" spans="2:9" x14ac:dyDescent="0.2">
      <c r="B137">
        <v>5.1801590919494629</v>
      </c>
      <c r="C137">
        <v>6.1043281555175781</v>
      </c>
      <c r="D137">
        <v>9.8425321578979492</v>
      </c>
      <c r="E137">
        <v>6.1983151435852051</v>
      </c>
    </row>
    <row r="138" spans="2:9" x14ac:dyDescent="0.2">
      <c r="B138">
        <v>8.0066986083984375</v>
      </c>
      <c r="C138">
        <v>3.8950185775756836</v>
      </c>
      <c r="D138">
        <v>5.9885640144348145</v>
      </c>
      <c r="E138">
        <v>2.0504717826843262</v>
      </c>
    </row>
    <row r="139" spans="2:9" x14ac:dyDescent="0.2">
      <c r="B139">
        <v>0.185402512550354</v>
      </c>
      <c r="C139">
        <v>0.80426716804504395</v>
      </c>
      <c r="D139">
        <v>0.93155944347381592</v>
      </c>
      <c r="E139">
        <v>0.24517393112182617</v>
      </c>
      <c r="I139">
        <v>1</v>
      </c>
    </row>
    <row r="140" spans="2:9" x14ac:dyDescent="0.2">
      <c r="B140">
        <v>0.43275952339172363</v>
      </c>
      <c r="C140">
        <v>0.90512931346893311</v>
      </c>
      <c r="D140">
        <v>0.33030080795288086</v>
      </c>
      <c r="E140">
        <v>7.4950337409973145E-2</v>
      </c>
      <c r="I140">
        <v>1</v>
      </c>
    </row>
    <row r="141" spans="2:9" x14ac:dyDescent="0.2">
      <c r="B141">
        <v>0.54202926158905029</v>
      </c>
      <c r="C141">
        <v>0.41664838790893555</v>
      </c>
      <c r="D141">
        <v>0.25906097888946533</v>
      </c>
      <c r="E141">
        <v>0.7599790096282959</v>
      </c>
      <c r="I141">
        <v>1</v>
      </c>
    </row>
    <row r="142" spans="2:9" x14ac:dyDescent="0.2">
      <c r="B142">
        <v>0.97296667098999023</v>
      </c>
      <c r="C142">
        <v>0.95415794849395752</v>
      </c>
      <c r="D142">
        <v>0.17869353294372559</v>
      </c>
      <c r="E142">
        <v>0.37860620021820068</v>
      </c>
      <c r="I142">
        <v>1</v>
      </c>
    </row>
    <row r="143" spans="2:9" x14ac:dyDescent="0.2">
      <c r="B143">
        <v>0.37899124622344971</v>
      </c>
      <c r="C143">
        <v>0.69628500938415527</v>
      </c>
      <c r="D143">
        <v>2.5056600570678711E-3</v>
      </c>
      <c r="E143">
        <v>0.52657318115234375</v>
      </c>
      <c r="I143">
        <v>1</v>
      </c>
    </row>
    <row r="144" spans="2:9" x14ac:dyDescent="0.2">
      <c r="B144">
        <v>0.28150343894958496</v>
      </c>
      <c r="C144">
        <v>1.6297698020935059E-2</v>
      </c>
      <c r="D144">
        <v>0.84088706970214844</v>
      </c>
      <c r="E144">
        <v>0.58117640018463135</v>
      </c>
      <c r="I144">
        <v>1</v>
      </c>
    </row>
    <row r="145" spans="2:9" x14ac:dyDescent="0.2">
      <c r="B145">
        <v>0.13873231410980225</v>
      </c>
      <c r="C145">
        <v>0.16423416137695313</v>
      </c>
      <c r="D145">
        <v>0.70297014713287354</v>
      </c>
      <c r="E145">
        <v>7.8708887100219727E-2</v>
      </c>
      <c r="I145">
        <v>1</v>
      </c>
    </row>
    <row r="146" spans="2:9" x14ac:dyDescent="0.2">
      <c r="B146">
        <v>0.96536445617675781</v>
      </c>
      <c r="C146">
        <v>0.40606272220611572</v>
      </c>
      <c r="D146">
        <v>0.81157135963439941</v>
      </c>
      <c r="E146">
        <v>0.11143290996551514</v>
      </c>
      <c r="I146">
        <v>1</v>
      </c>
    </row>
    <row r="147" spans="2:9" x14ac:dyDescent="0.2">
      <c r="B147">
        <v>0.90920412540435791</v>
      </c>
      <c r="C147">
        <v>0.2761232852935791</v>
      </c>
      <c r="D147">
        <v>0.43766391277313232</v>
      </c>
      <c r="E147">
        <v>0.90033388137817383</v>
      </c>
      <c r="I147">
        <v>1</v>
      </c>
    </row>
    <row r="148" spans="2:9" x14ac:dyDescent="0.2">
      <c r="B148">
        <v>0.44111466407775879</v>
      </c>
      <c r="C148">
        <v>0.84909999370574951</v>
      </c>
      <c r="D148">
        <v>0.41063165664672852</v>
      </c>
      <c r="E148">
        <v>0.94990551471710205</v>
      </c>
      <c r="I148">
        <v>1</v>
      </c>
    </row>
    <row r="149" spans="2:9" x14ac:dyDescent="0.2">
      <c r="B149">
        <v>6.4491152763366699E-2</v>
      </c>
      <c r="C149">
        <v>0.1877751350402832</v>
      </c>
      <c r="D149">
        <v>0.71055424213409424</v>
      </c>
      <c r="E149">
        <v>0.44121623039245605</v>
      </c>
      <c r="I149">
        <v>1</v>
      </c>
    </row>
    <row r="150" spans="2:9" x14ac:dyDescent="0.2">
      <c r="B150">
        <v>0.70051431655883789</v>
      </c>
      <c r="C150">
        <v>0.37281429767608643</v>
      </c>
      <c r="D150">
        <v>0.79877352714538574</v>
      </c>
      <c r="E150">
        <v>0.76950681209564209</v>
      </c>
      <c r="I150">
        <v>1</v>
      </c>
    </row>
    <row r="151" spans="2:9" x14ac:dyDescent="0.2">
      <c r="B151">
        <v>0.15543568134307861</v>
      </c>
      <c r="C151">
        <v>0.77083277702331543</v>
      </c>
      <c r="D151">
        <v>0.59299123287200928</v>
      </c>
      <c r="E151">
        <v>0.38256931304931641</v>
      </c>
      <c r="I151">
        <v>1</v>
      </c>
    </row>
    <row r="152" spans="2:9" x14ac:dyDescent="0.2">
      <c r="B152">
        <v>0.32614398002624512</v>
      </c>
      <c r="C152">
        <v>0.44699323177337646</v>
      </c>
      <c r="D152">
        <v>0.24314785003662109</v>
      </c>
      <c r="E152">
        <v>0.32615721225738525</v>
      </c>
      <c r="I152">
        <v>1</v>
      </c>
    </row>
    <row r="153" spans="2:9" x14ac:dyDescent="0.2">
      <c r="B153">
        <v>5.0262808799743652E-2</v>
      </c>
      <c r="C153">
        <v>0.87838459014892578</v>
      </c>
      <c r="D153">
        <v>0.11433279514312744</v>
      </c>
      <c r="E153">
        <v>0.15267682075500488</v>
      </c>
      <c r="I153">
        <v>1</v>
      </c>
    </row>
    <row r="154" spans="2:9" x14ac:dyDescent="0.2">
      <c r="B154">
        <v>0.75702953338623047</v>
      </c>
      <c r="C154">
        <v>0.37443220615386963</v>
      </c>
      <c r="D154">
        <v>0.63297581672668457</v>
      </c>
      <c r="E154">
        <v>9.9409937858581543E-2</v>
      </c>
      <c r="I154">
        <v>1</v>
      </c>
    </row>
    <row r="155" spans="2:9" x14ac:dyDescent="0.2">
      <c r="B155">
        <v>0.32520544528961182</v>
      </c>
      <c r="C155">
        <v>0.86058926582336426</v>
      </c>
      <c r="D155">
        <v>0.90256965160369873</v>
      </c>
      <c r="E155">
        <v>0.69251775741577148</v>
      </c>
      <c r="I155">
        <v>1</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Chart22"/>
  <dimension ref="A1:N1"/>
  <sheetViews>
    <sheetView zoomScale="116" zoomScaleNormal="116" workbookViewId="0">
      <selection activeCell="F31" sqref="F31"/>
    </sheetView>
  </sheetViews>
  <sheetFormatPr defaultColWidth="11.5703125" defaultRowHeight="12.75" x14ac:dyDescent="0.2"/>
  <cols>
    <col min="1" max="14"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Chart23"/>
  <dimension ref="A1:N1"/>
  <sheetViews>
    <sheetView zoomScale="116" zoomScaleNormal="116" workbookViewId="0">
      <selection activeCell="J22" sqref="J22"/>
    </sheetView>
  </sheetViews>
  <sheetFormatPr defaultColWidth="11.5703125" defaultRowHeight="12.75" x14ac:dyDescent="0.2"/>
  <cols>
    <col min="1" max="14" width="11.5703125" style="13" customWidth="1"/>
  </cols>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landscape" horizontalDpi="300" verticalDpi="300"/>
  <headerFooter alignWithMargins="0"/>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
  <dimension ref="A1:IV312"/>
  <sheetViews>
    <sheetView tabSelected="1" workbookViewId="0">
      <pane xSplit="1" ySplit="2" topLeftCell="B155" activePane="bottomRight" state="frozen"/>
      <selection pane="topRight" activeCell="B1" sqref="B1"/>
      <selection pane="bottomLeft" activeCell="A121" sqref="A121"/>
      <selection pane="bottomRight" activeCell="O163" sqref="O163"/>
    </sheetView>
  </sheetViews>
  <sheetFormatPr defaultColWidth="12.5703125" defaultRowHeight="12.75" x14ac:dyDescent="0.2"/>
  <cols>
    <col min="1" max="1" width="29.7109375" customWidth="1"/>
    <col min="2" max="9" width="10.5703125" customWidth="1"/>
    <col min="10" max="99" width="11.5703125" customWidth="1"/>
  </cols>
  <sheetData>
    <row r="1" spans="1:256" s="20" customFormat="1" x14ac:dyDescent="0.2">
      <c r="A1" s="20" t="s">
        <v>470</v>
      </c>
      <c r="B1" s="20">
        <v>2017</v>
      </c>
      <c r="J1" s="20">
        <v>2018</v>
      </c>
      <c r="R1" s="20">
        <v>2019</v>
      </c>
      <c r="Z1" s="20">
        <v>2020</v>
      </c>
      <c r="AH1" s="20">
        <v>2021</v>
      </c>
      <c r="AP1" s="20">
        <v>2022</v>
      </c>
      <c r="AX1" s="20">
        <v>2023</v>
      </c>
      <c r="BF1" s="20">
        <v>2024</v>
      </c>
      <c r="BN1" s="20">
        <v>2025</v>
      </c>
      <c r="BV1" s="20">
        <v>2026</v>
      </c>
      <c r="CD1" s="20">
        <v>2027</v>
      </c>
      <c r="CL1" s="20">
        <v>2028</v>
      </c>
      <c r="CT1" s="20">
        <v>2029</v>
      </c>
      <c r="DB1" s="20">
        <v>2030</v>
      </c>
      <c r="DJ1" s="20">
        <v>2031</v>
      </c>
      <c r="DR1" s="20">
        <v>2032</v>
      </c>
      <c r="DZ1" s="20">
        <v>2033</v>
      </c>
      <c r="EH1" s="20">
        <v>2034</v>
      </c>
      <c r="EP1" s="20">
        <v>2035</v>
      </c>
      <c r="EX1" s="20">
        <v>2036</v>
      </c>
      <c r="FF1" s="20">
        <v>2037</v>
      </c>
      <c r="FN1" s="20">
        <v>2038</v>
      </c>
      <c r="FV1" s="20">
        <v>2039</v>
      </c>
      <c r="GD1" s="20">
        <v>2040</v>
      </c>
      <c r="GL1" s="20">
        <v>2041</v>
      </c>
      <c r="GT1" s="20">
        <v>2042</v>
      </c>
      <c r="HB1" s="20">
        <v>2043</v>
      </c>
      <c r="HJ1" s="20">
        <v>2044</v>
      </c>
      <c r="HR1" s="20">
        <v>2045</v>
      </c>
      <c r="HZ1" s="20">
        <v>2046</v>
      </c>
      <c r="IH1" s="20">
        <v>2047</v>
      </c>
      <c r="IP1" s="20">
        <v>2048</v>
      </c>
    </row>
    <row r="2" spans="1:256" x14ac:dyDescent="0.2">
      <c r="A2" t="s">
        <v>470</v>
      </c>
      <c r="B2">
        <f>B1</f>
        <v>2017</v>
      </c>
      <c r="C2">
        <f t="shared" ref="C2:BN2" si="0">B2+0.125</f>
        <v>2017.125</v>
      </c>
      <c r="D2">
        <f t="shared" si="0"/>
        <v>2017.25</v>
      </c>
      <c r="E2">
        <f t="shared" si="0"/>
        <v>2017.375</v>
      </c>
      <c r="F2">
        <f t="shared" si="0"/>
        <v>2017.5</v>
      </c>
      <c r="G2">
        <f t="shared" si="0"/>
        <v>2017.625</v>
      </c>
      <c r="H2">
        <f t="shared" si="0"/>
        <v>2017.75</v>
      </c>
      <c r="I2">
        <f t="shared" si="0"/>
        <v>2017.875</v>
      </c>
      <c r="J2">
        <f t="shared" si="0"/>
        <v>2018</v>
      </c>
      <c r="K2">
        <f t="shared" si="0"/>
        <v>2018.125</v>
      </c>
      <c r="L2">
        <f t="shared" si="0"/>
        <v>2018.25</v>
      </c>
      <c r="M2">
        <f t="shared" si="0"/>
        <v>2018.375</v>
      </c>
      <c r="N2">
        <f t="shared" si="0"/>
        <v>2018.5</v>
      </c>
      <c r="O2">
        <f t="shared" si="0"/>
        <v>2018.625</v>
      </c>
      <c r="P2">
        <f t="shared" si="0"/>
        <v>2018.75</v>
      </c>
      <c r="Q2">
        <f t="shared" si="0"/>
        <v>2018.875</v>
      </c>
      <c r="R2">
        <f t="shared" si="0"/>
        <v>2019</v>
      </c>
      <c r="S2">
        <f t="shared" si="0"/>
        <v>2019.125</v>
      </c>
      <c r="T2">
        <f t="shared" si="0"/>
        <v>2019.25</v>
      </c>
      <c r="U2">
        <f t="shared" si="0"/>
        <v>2019.375</v>
      </c>
      <c r="V2">
        <f t="shared" si="0"/>
        <v>2019.5</v>
      </c>
      <c r="W2">
        <f t="shared" si="0"/>
        <v>2019.625</v>
      </c>
      <c r="X2">
        <f t="shared" si="0"/>
        <v>2019.75</v>
      </c>
      <c r="Y2">
        <f t="shared" si="0"/>
        <v>2019.875</v>
      </c>
      <c r="Z2">
        <f t="shared" si="0"/>
        <v>2020</v>
      </c>
      <c r="AA2">
        <f t="shared" si="0"/>
        <v>2020.125</v>
      </c>
      <c r="AB2">
        <f t="shared" si="0"/>
        <v>2020.25</v>
      </c>
      <c r="AC2">
        <f t="shared" si="0"/>
        <v>2020.375</v>
      </c>
      <c r="AD2">
        <f t="shared" si="0"/>
        <v>2020.5</v>
      </c>
      <c r="AE2">
        <f t="shared" si="0"/>
        <v>2020.625</v>
      </c>
      <c r="AF2">
        <f t="shared" si="0"/>
        <v>2020.75</v>
      </c>
      <c r="AG2">
        <f t="shared" si="0"/>
        <v>2020.875</v>
      </c>
      <c r="AH2">
        <f t="shared" si="0"/>
        <v>2021</v>
      </c>
      <c r="AI2">
        <f t="shared" si="0"/>
        <v>2021.125</v>
      </c>
      <c r="AJ2">
        <f t="shared" si="0"/>
        <v>2021.25</v>
      </c>
      <c r="AK2">
        <f t="shared" si="0"/>
        <v>2021.375</v>
      </c>
      <c r="AL2">
        <f t="shared" si="0"/>
        <v>2021.5</v>
      </c>
      <c r="AM2">
        <f t="shared" si="0"/>
        <v>2021.625</v>
      </c>
      <c r="AN2">
        <f t="shared" si="0"/>
        <v>2021.75</v>
      </c>
      <c r="AO2">
        <f t="shared" si="0"/>
        <v>2021.875</v>
      </c>
      <c r="AP2">
        <f t="shared" si="0"/>
        <v>2022</v>
      </c>
      <c r="AQ2">
        <f t="shared" si="0"/>
        <v>2022.125</v>
      </c>
      <c r="AR2">
        <f t="shared" si="0"/>
        <v>2022.25</v>
      </c>
      <c r="AS2">
        <f t="shared" si="0"/>
        <v>2022.375</v>
      </c>
      <c r="AT2">
        <f t="shared" si="0"/>
        <v>2022.5</v>
      </c>
      <c r="AU2">
        <f t="shared" si="0"/>
        <v>2022.625</v>
      </c>
      <c r="AV2">
        <f t="shared" si="0"/>
        <v>2022.75</v>
      </c>
      <c r="AW2">
        <f t="shared" si="0"/>
        <v>2022.875</v>
      </c>
      <c r="AX2">
        <f t="shared" si="0"/>
        <v>2023</v>
      </c>
      <c r="AY2">
        <f t="shared" si="0"/>
        <v>2023.125</v>
      </c>
      <c r="AZ2">
        <f t="shared" si="0"/>
        <v>2023.25</v>
      </c>
      <c r="BA2">
        <f t="shared" si="0"/>
        <v>2023.375</v>
      </c>
      <c r="BB2">
        <f t="shared" si="0"/>
        <v>2023.5</v>
      </c>
      <c r="BC2">
        <f t="shared" si="0"/>
        <v>2023.625</v>
      </c>
      <c r="BD2">
        <f t="shared" si="0"/>
        <v>2023.75</v>
      </c>
      <c r="BE2">
        <f t="shared" si="0"/>
        <v>2023.875</v>
      </c>
      <c r="BF2">
        <f t="shared" si="0"/>
        <v>2024</v>
      </c>
      <c r="BG2">
        <f t="shared" si="0"/>
        <v>2024.125</v>
      </c>
      <c r="BH2">
        <f t="shared" si="0"/>
        <v>2024.25</v>
      </c>
      <c r="BI2">
        <f t="shared" si="0"/>
        <v>2024.375</v>
      </c>
      <c r="BJ2">
        <f t="shared" si="0"/>
        <v>2024.5</v>
      </c>
      <c r="BK2">
        <f t="shared" si="0"/>
        <v>2024.625</v>
      </c>
      <c r="BL2">
        <f t="shared" si="0"/>
        <v>2024.75</v>
      </c>
      <c r="BM2">
        <f t="shared" si="0"/>
        <v>2024.875</v>
      </c>
      <c r="BN2">
        <f t="shared" si="0"/>
        <v>2025</v>
      </c>
      <c r="BO2">
        <f t="shared" ref="BO2:DZ2" si="1">BN2+0.125</f>
        <v>2025.125</v>
      </c>
      <c r="BP2">
        <f t="shared" si="1"/>
        <v>2025.25</v>
      </c>
      <c r="BQ2">
        <f t="shared" si="1"/>
        <v>2025.375</v>
      </c>
      <c r="BR2">
        <f t="shared" si="1"/>
        <v>2025.5</v>
      </c>
      <c r="BS2">
        <f t="shared" si="1"/>
        <v>2025.625</v>
      </c>
      <c r="BT2">
        <f t="shared" si="1"/>
        <v>2025.75</v>
      </c>
      <c r="BU2">
        <f t="shared" si="1"/>
        <v>2025.875</v>
      </c>
      <c r="BV2">
        <f t="shared" si="1"/>
        <v>2026</v>
      </c>
      <c r="BW2">
        <f t="shared" si="1"/>
        <v>2026.125</v>
      </c>
      <c r="BX2">
        <f t="shared" si="1"/>
        <v>2026.25</v>
      </c>
      <c r="BY2">
        <f t="shared" si="1"/>
        <v>2026.375</v>
      </c>
      <c r="BZ2">
        <f t="shared" si="1"/>
        <v>2026.5</v>
      </c>
      <c r="CA2">
        <f t="shared" si="1"/>
        <v>2026.625</v>
      </c>
      <c r="CB2">
        <f t="shared" si="1"/>
        <v>2026.75</v>
      </c>
      <c r="CC2">
        <f t="shared" si="1"/>
        <v>2026.875</v>
      </c>
      <c r="CD2">
        <f t="shared" si="1"/>
        <v>2027</v>
      </c>
      <c r="CE2">
        <f t="shared" si="1"/>
        <v>2027.125</v>
      </c>
      <c r="CF2">
        <f t="shared" si="1"/>
        <v>2027.25</v>
      </c>
      <c r="CG2">
        <f t="shared" si="1"/>
        <v>2027.375</v>
      </c>
      <c r="CH2">
        <f t="shared" si="1"/>
        <v>2027.5</v>
      </c>
      <c r="CI2">
        <f t="shared" si="1"/>
        <v>2027.625</v>
      </c>
      <c r="CJ2">
        <f t="shared" si="1"/>
        <v>2027.75</v>
      </c>
      <c r="CK2">
        <f t="shared" si="1"/>
        <v>2027.875</v>
      </c>
      <c r="CL2">
        <f t="shared" si="1"/>
        <v>2028</v>
      </c>
      <c r="CM2">
        <f t="shared" si="1"/>
        <v>2028.125</v>
      </c>
      <c r="CN2">
        <f t="shared" si="1"/>
        <v>2028.25</v>
      </c>
      <c r="CO2">
        <f t="shared" si="1"/>
        <v>2028.375</v>
      </c>
      <c r="CP2">
        <f t="shared" si="1"/>
        <v>2028.5</v>
      </c>
      <c r="CQ2">
        <f t="shared" si="1"/>
        <v>2028.625</v>
      </c>
      <c r="CR2">
        <f t="shared" si="1"/>
        <v>2028.75</v>
      </c>
      <c r="CS2">
        <f t="shared" si="1"/>
        <v>2028.875</v>
      </c>
      <c r="CT2">
        <f t="shared" si="1"/>
        <v>2029</v>
      </c>
      <c r="CU2">
        <f t="shared" si="1"/>
        <v>2029.125</v>
      </c>
      <c r="CV2">
        <f t="shared" si="1"/>
        <v>2029.25</v>
      </c>
      <c r="CW2">
        <f t="shared" si="1"/>
        <v>2029.375</v>
      </c>
      <c r="CX2">
        <f t="shared" si="1"/>
        <v>2029.5</v>
      </c>
      <c r="CY2">
        <f t="shared" si="1"/>
        <v>2029.625</v>
      </c>
      <c r="CZ2">
        <f t="shared" si="1"/>
        <v>2029.75</v>
      </c>
      <c r="DA2">
        <f t="shared" si="1"/>
        <v>2029.875</v>
      </c>
      <c r="DB2">
        <f t="shared" si="1"/>
        <v>2030</v>
      </c>
      <c r="DC2">
        <f t="shared" si="1"/>
        <v>2030.125</v>
      </c>
      <c r="DD2">
        <f t="shared" si="1"/>
        <v>2030.25</v>
      </c>
      <c r="DE2">
        <f t="shared" si="1"/>
        <v>2030.375</v>
      </c>
      <c r="DF2">
        <f t="shared" si="1"/>
        <v>2030.5</v>
      </c>
      <c r="DG2">
        <f t="shared" si="1"/>
        <v>2030.625</v>
      </c>
      <c r="DH2">
        <f t="shared" si="1"/>
        <v>2030.75</v>
      </c>
      <c r="DI2">
        <f t="shared" si="1"/>
        <v>2030.875</v>
      </c>
      <c r="DJ2">
        <f t="shared" si="1"/>
        <v>2031</v>
      </c>
      <c r="DK2">
        <f t="shared" si="1"/>
        <v>2031.125</v>
      </c>
      <c r="DL2">
        <f t="shared" si="1"/>
        <v>2031.25</v>
      </c>
      <c r="DM2">
        <f t="shared" si="1"/>
        <v>2031.375</v>
      </c>
      <c r="DN2">
        <f t="shared" si="1"/>
        <v>2031.5</v>
      </c>
      <c r="DO2">
        <f t="shared" si="1"/>
        <v>2031.625</v>
      </c>
      <c r="DP2">
        <f t="shared" si="1"/>
        <v>2031.75</v>
      </c>
      <c r="DQ2">
        <f t="shared" si="1"/>
        <v>2031.875</v>
      </c>
      <c r="DR2">
        <f t="shared" si="1"/>
        <v>2032</v>
      </c>
      <c r="DS2">
        <f t="shared" si="1"/>
        <v>2032.125</v>
      </c>
      <c r="DT2">
        <f t="shared" si="1"/>
        <v>2032.25</v>
      </c>
      <c r="DU2">
        <f t="shared" si="1"/>
        <v>2032.375</v>
      </c>
      <c r="DV2">
        <f t="shared" si="1"/>
        <v>2032.5</v>
      </c>
      <c r="DW2">
        <f t="shared" si="1"/>
        <v>2032.625</v>
      </c>
      <c r="DX2">
        <f t="shared" si="1"/>
        <v>2032.75</v>
      </c>
      <c r="DY2">
        <f t="shared" si="1"/>
        <v>2032.875</v>
      </c>
      <c r="DZ2">
        <f t="shared" si="1"/>
        <v>2033</v>
      </c>
      <c r="EA2">
        <f t="shared" ref="EA2:GL2" si="2">DZ2+0.125</f>
        <v>2033.125</v>
      </c>
      <c r="EB2">
        <f t="shared" si="2"/>
        <v>2033.25</v>
      </c>
      <c r="EC2">
        <f t="shared" si="2"/>
        <v>2033.375</v>
      </c>
      <c r="ED2">
        <f t="shared" si="2"/>
        <v>2033.5</v>
      </c>
      <c r="EE2">
        <f t="shared" si="2"/>
        <v>2033.625</v>
      </c>
      <c r="EF2">
        <f t="shared" si="2"/>
        <v>2033.75</v>
      </c>
      <c r="EG2">
        <f t="shared" si="2"/>
        <v>2033.875</v>
      </c>
      <c r="EH2">
        <f t="shared" si="2"/>
        <v>2034</v>
      </c>
      <c r="EI2">
        <f t="shared" si="2"/>
        <v>2034.125</v>
      </c>
      <c r="EJ2">
        <f t="shared" si="2"/>
        <v>2034.25</v>
      </c>
      <c r="EK2">
        <f t="shared" si="2"/>
        <v>2034.375</v>
      </c>
      <c r="EL2">
        <f t="shared" si="2"/>
        <v>2034.5</v>
      </c>
      <c r="EM2">
        <f t="shared" si="2"/>
        <v>2034.625</v>
      </c>
      <c r="EN2">
        <f t="shared" si="2"/>
        <v>2034.75</v>
      </c>
      <c r="EO2">
        <f t="shared" si="2"/>
        <v>2034.875</v>
      </c>
      <c r="EP2">
        <f t="shared" si="2"/>
        <v>2035</v>
      </c>
      <c r="EQ2">
        <f t="shared" si="2"/>
        <v>2035.125</v>
      </c>
      <c r="ER2">
        <f t="shared" si="2"/>
        <v>2035.25</v>
      </c>
      <c r="ES2">
        <f t="shared" si="2"/>
        <v>2035.375</v>
      </c>
      <c r="ET2">
        <f t="shared" si="2"/>
        <v>2035.5</v>
      </c>
      <c r="EU2">
        <f t="shared" si="2"/>
        <v>2035.625</v>
      </c>
      <c r="EV2">
        <f t="shared" si="2"/>
        <v>2035.75</v>
      </c>
      <c r="EW2">
        <f t="shared" si="2"/>
        <v>2035.875</v>
      </c>
      <c r="EX2">
        <f t="shared" si="2"/>
        <v>2036</v>
      </c>
      <c r="EY2">
        <f t="shared" si="2"/>
        <v>2036.125</v>
      </c>
      <c r="EZ2">
        <f t="shared" si="2"/>
        <v>2036.25</v>
      </c>
      <c r="FA2">
        <f t="shared" si="2"/>
        <v>2036.375</v>
      </c>
      <c r="FB2">
        <f t="shared" si="2"/>
        <v>2036.5</v>
      </c>
      <c r="FC2">
        <f t="shared" si="2"/>
        <v>2036.625</v>
      </c>
      <c r="FD2">
        <f t="shared" si="2"/>
        <v>2036.75</v>
      </c>
      <c r="FE2">
        <f t="shared" si="2"/>
        <v>2036.875</v>
      </c>
      <c r="FF2">
        <f t="shared" si="2"/>
        <v>2037</v>
      </c>
      <c r="FG2">
        <f t="shared" si="2"/>
        <v>2037.125</v>
      </c>
      <c r="FH2">
        <f t="shared" si="2"/>
        <v>2037.25</v>
      </c>
      <c r="FI2">
        <f t="shared" si="2"/>
        <v>2037.375</v>
      </c>
      <c r="FJ2">
        <f t="shared" si="2"/>
        <v>2037.5</v>
      </c>
      <c r="FK2">
        <f t="shared" si="2"/>
        <v>2037.625</v>
      </c>
      <c r="FL2">
        <f t="shared" si="2"/>
        <v>2037.75</v>
      </c>
      <c r="FM2">
        <f t="shared" si="2"/>
        <v>2037.875</v>
      </c>
      <c r="FN2">
        <f t="shared" si="2"/>
        <v>2038</v>
      </c>
      <c r="FO2">
        <f t="shared" si="2"/>
        <v>2038.125</v>
      </c>
      <c r="FP2">
        <f t="shared" si="2"/>
        <v>2038.25</v>
      </c>
      <c r="FQ2">
        <f t="shared" si="2"/>
        <v>2038.375</v>
      </c>
      <c r="FR2">
        <f t="shared" si="2"/>
        <v>2038.5</v>
      </c>
      <c r="FS2">
        <f t="shared" si="2"/>
        <v>2038.625</v>
      </c>
      <c r="FT2">
        <f t="shared" si="2"/>
        <v>2038.75</v>
      </c>
      <c r="FU2">
        <f t="shared" si="2"/>
        <v>2038.875</v>
      </c>
      <c r="FV2">
        <f t="shared" si="2"/>
        <v>2039</v>
      </c>
      <c r="FW2">
        <f t="shared" si="2"/>
        <v>2039.125</v>
      </c>
      <c r="FX2">
        <f t="shared" si="2"/>
        <v>2039.25</v>
      </c>
      <c r="FY2">
        <f t="shared" si="2"/>
        <v>2039.375</v>
      </c>
      <c r="FZ2">
        <f t="shared" si="2"/>
        <v>2039.5</v>
      </c>
      <c r="GA2">
        <f t="shared" si="2"/>
        <v>2039.625</v>
      </c>
      <c r="GB2">
        <f t="shared" si="2"/>
        <v>2039.75</v>
      </c>
      <c r="GC2">
        <f t="shared" si="2"/>
        <v>2039.875</v>
      </c>
      <c r="GD2">
        <f t="shared" si="2"/>
        <v>2040</v>
      </c>
      <c r="GE2">
        <f t="shared" si="2"/>
        <v>2040.125</v>
      </c>
      <c r="GF2">
        <f t="shared" si="2"/>
        <v>2040.25</v>
      </c>
      <c r="GG2">
        <f t="shared" si="2"/>
        <v>2040.375</v>
      </c>
      <c r="GH2">
        <f t="shared" si="2"/>
        <v>2040.5</v>
      </c>
      <c r="GI2">
        <f t="shared" si="2"/>
        <v>2040.625</v>
      </c>
      <c r="GJ2">
        <f t="shared" si="2"/>
        <v>2040.75</v>
      </c>
      <c r="GK2">
        <f t="shared" si="2"/>
        <v>2040.875</v>
      </c>
      <c r="GL2">
        <f t="shared" si="2"/>
        <v>2041</v>
      </c>
      <c r="GM2">
        <f t="shared" ref="GM2:IV2" si="3">GL2+0.125</f>
        <v>2041.125</v>
      </c>
      <c r="GN2">
        <f t="shared" si="3"/>
        <v>2041.25</v>
      </c>
      <c r="GO2">
        <f t="shared" si="3"/>
        <v>2041.375</v>
      </c>
      <c r="GP2">
        <f t="shared" si="3"/>
        <v>2041.5</v>
      </c>
      <c r="GQ2">
        <f t="shared" si="3"/>
        <v>2041.625</v>
      </c>
      <c r="GR2">
        <f t="shared" si="3"/>
        <v>2041.75</v>
      </c>
      <c r="GS2">
        <f t="shared" si="3"/>
        <v>2041.875</v>
      </c>
      <c r="GT2">
        <f t="shared" si="3"/>
        <v>2042</v>
      </c>
      <c r="GU2">
        <f t="shared" si="3"/>
        <v>2042.125</v>
      </c>
      <c r="GV2">
        <f t="shared" si="3"/>
        <v>2042.25</v>
      </c>
      <c r="GW2">
        <f t="shared" si="3"/>
        <v>2042.375</v>
      </c>
      <c r="GX2">
        <f t="shared" si="3"/>
        <v>2042.5</v>
      </c>
      <c r="GY2">
        <f t="shared" si="3"/>
        <v>2042.625</v>
      </c>
      <c r="GZ2">
        <f t="shared" si="3"/>
        <v>2042.75</v>
      </c>
      <c r="HA2">
        <f t="shared" si="3"/>
        <v>2042.875</v>
      </c>
      <c r="HB2">
        <f t="shared" si="3"/>
        <v>2043</v>
      </c>
      <c r="HC2">
        <f t="shared" si="3"/>
        <v>2043.125</v>
      </c>
      <c r="HD2">
        <f t="shared" si="3"/>
        <v>2043.25</v>
      </c>
      <c r="HE2">
        <f t="shared" si="3"/>
        <v>2043.375</v>
      </c>
      <c r="HF2">
        <f t="shared" si="3"/>
        <v>2043.5</v>
      </c>
      <c r="HG2">
        <f t="shared" si="3"/>
        <v>2043.625</v>
      </c>
      <c r="HH2">
        <f t="shared" si="3"/>
        <v>2043.75</v>
      </c>
      <c r="HI2">
        <f t="shared" si="3"/>
        <v>2043.875</v>
      </c>
      <c r="HJ2">
        <f t="shared" si="3"/>
        <v>2044</v>
      </c>
      <c r="HK2">
        <f t="shared" si="3"/>
        <v>2044.125</v>
      </c>
      <c r="HL2">
        <f t="shared" si="3"/>
        <v>2044.25</v>
      </c>
      <c r="HM2">
        <f t="shared" si="3"/>
        <v>2044.375</v>
      </c>
      <c r="HN2">
        <f t="shared" si="3"/>
        <v>2044.5</v>
      </c>
      <c r="HO2">
        <f t="shared" si="3"/>
        <v>2044.625</v>
      </c>
      <c r="HP2">
        <f t="shared" si="3"/>
        <v>2044.75</v>
      </c>
      <c r="HQ2">
        <f t="shared" si="3"/>
        <v>2044.875</v>
      </c>
      <c r="HR2">
        <f t="shared" si="3"/>
        <v>2045</v>
      </c>
      <c r="HS2">
        <f t="shared" si="3"/>
        <v>2045.125</v>
      </c>
      <c r="HT2">
        <f t="shared" si="3"/>
        <v>2045.25</v>
      </c>
      <c r="HU2">
        <f t="shared" si="3"/>
        <v>2045.375</v>
      </c>
      <c r="HV2">
        <f t="shared" si="3"/>
        <v>2045.5</v>
      </c>
      <c r="HW2">
        <f t="shared" si="3"/>
        <v>2045.625</v>
      </c>
      <c r="HX2">
        <f t="shared" si="3"/>
        <v>2045.75</v>
      </c>
      <c r="HY2">
        <f t="shared" si="3"/>
        <v>2045.875</v>
      </c>
      <c r="HZ2">
        <f t="shared" si="3"/>
        <v>2046</v>
      </c>
      <c r="IA2">
        <f t="shared" si="3"/>
        <v>2046.125</v>
      </c>
      <c r="IB2">
        <f t="shared" si="3"/>
        <v>2046.25</v>
      </c>
      <c r="IC2">
        <f t="shared" si="3"/>
        <v>2046.375</v>
      </c>
      <c r="ID2">
        <f t="shared" si="3"/>
        <v>2046.5</v>
      </c>
      <c r="IE2">
        <f t="shared" si="3"/>
        <v>2046.625</v>
      </c>
      <c r="IF2">
        <f t="shared" si="3"/>
        <v>2046.75</v>
      </c>
      <c r="IG2">
        <f t="shared" si="3"/>
        <v>2046.875</v>
      </c>
      <c r="IH2">
        <f t="shared" si="3"/>
        <v>2047</v>
      </c>
      <c r="II2">
        <f t="shared" si="3"/>
        <v>2047.125</v>
      </c>
      <c r="IJ2">
        <f t="shared" si="3"/>
        <v>2047.25</v>
      </c>
      <c r="IK2">
        <f t="shared" si="3"/>
        <v>2047.375</v>
      </c>
      <c r="IL2">
        <f t="shared" si="3"/>
        <v>2047.5</v>
      </c>
      <c r="IM2">
        <f t="shared" si="3"/>
        <v>2047.625</v>
      </c>
      <c r="IN2">
        <f t="shared" si="3"/>
        <v>2047.75</v>
      </c>
      <c r="IO2">
        <f t="shared" si="3"/>
        <v>2047.875</v>
      </c>
      <c r="IP2">
        <f t="shared" si="3"/>
        <v>2048</v>
      </c>
      <c r="IQ2">
        <f t="shared" si="3"/>
        <v>2048.125</v>
      </c>
      <c r="IR2">
        <f t="shared" si="3"/>
        <v>2048.25</v>
      </c>
      <c r="IS2">
        <f t="shared" si="3"/>
        <v>2048.375</v>
      </c>
      <c r="IT2">
        <f t="shared" si="3"/>
        <v>2048.5</v>
      </c>
      <c r="IU2">
        <f t="shared" si="3"/>
        <v>2048.625</v>
      </c>
      <c r="IV2">
        <f t="shared" si="3"/>
        <v>2048.75</v>
      </c>
    </row>
    <row r="3" spans="1:256" x14ac:dyDescent="0.2">
      <c r="A3" t="s">
        <v>473</v>
      </c>
      <c r="B3">
        <f>$B$105</f>
        <v>0.49325614929199219</v>
      </c>
      <c r="C3">
        <f t="shared" ref="C3:C19" si="4">B3+0.125*B20</f>
        <v>0.4871156260811223</v>
      </c>
      <c r="D3">
        <f t="shared" ref="D3:D19" si="5">C3+0.125*C20</f>
        <v>0.4822750987349449</v>
      </c>
      <c r="E3">
        <f t="shared" ref="E3:E19" si="6">D3+0.125*D20</f>
        <v>0.4775579049249381</v>
      </c>
      <c r="F3">
        <f t="shared" ref="F3:F19" si="7">E3+0.125*E20</f>
        <v>0.47296235291390687</v>
      </c>
      <c r="G3">
        <f t="shared" ref="G3:G19" si="8">F3+0.125*F20</f>
        <v>0.46848669991345415</v>
      </c>
      <c r="H3">
        <f t="shared" ref="H3:H19" si="9">G3+0.125*G20</f>
        <v>0.4641291585470711</v>
      </c>
      <c r="I3">
        <f t="shared" ref="I3:I19" si="10">H3+0.125*H20</f>
        <v>0.45988790291235743</v>
      </c>
      <c r="J3">
        <f t="shared" ref="J3:J19" si="11">I3+0.125*I20</f>
        <v>0.45576107426254941</v>
      </c>
      <c r="K3">
        <f t="shared" ref="K3:K19" si="12">J3+0.125*J20</f>
        <v>0.45174678632684212</v>
      </c>
      <c r="L3">
        <f t="shared" ref="L3:L19" si="13">K3+0.125*K20</f>
        <v>0.44772253963825959</v>
      </c>
      <c r="M3">
        <f t="shared" ref="M3:M19" si="14">L3+0.125*L20</f>
        <v>0.44369009450903824</v>
      </c>
      <c r="N3">
        <f t="shared" ref="N3:N19" si="15">M3+0.125*M20</f>
        <v>0.43965117883667398</v>
      </c>
      <c r="O3">
        <f t="shared" ref="O3:O19" si="16">N3+0.125*N20</f>
        <v>0.43560748576623015</v>
      </c>
      <c r="P3">
        <f t="shared" ref="P3:P19" si="17">O3+0.125*O20</f>
        <v>0.43156067164601664</v>
      </c>
      <c r="Q3">
        <f t="shared" ref="Q3:Q19" si="18">P3+0.125*P20</f>
        <v>0.42751235425507594</v>
      </c>
      <c r="R3">
        <f t="shared" ref="R3:R19" si="19">Q3+0.125*Q20</f>
        <v>0.4234641112823716</v>
      </c>
      <c r="S3">
        <f t="shared" ref="S3:S19" si="20">R3+0.125*R20</f>
        <v>0.41941747903892279</v>
      </c>
      <c r="T3">
        <f t="shared" ref="T3:T19" si="21">S3+0.125*S20</f>
        <v>0.41538547849820995</v>
      </c>
      <c r="U3">
        <f t="shared" ref="U3:U19" si="22">T3+0.125*T20</f>
        <v>0.4113685803924525</v>
      </c>
      <c r="V3">
        <f t="shared" ref="V3:V19" si="23">U3+0.125*U20</f>
        <v>0.407367264803012</v>
      </c>
      <c r="W3">
        <f t="shared" ref="W3:W19" si="24">V3+0.125*V20</f>
        <v>0.40338201830844389</v>
      </c>
      <c r="X3">
        <f t="shared" ref="X3:X19" si="25">W3+0.125*W20</f>
        <v>0.39941333138629265</v>
      </c>
      <c r="Y3">
        <f t="shared" ref="Y3:Y19" si="26">X3+0.125*X20</f>
        <v>0.39546169605110187</v>
      </c>
      <c r="Z3">
        <f t="shared" ref="Z3:Z19" si="27">Y3+0.125*Y20</f>
        <v>0.3915276037122542</v>
      </c>
      <c r="AA3">
        <f t="shared" ref="AA3:AA19" si="28">Z3+0.125*Z20</f>
        <v>0.38761154323631319</v>
      </c>
      <c r="AB3">
        <f t="shared" ref="AB3:AB19" si="29">AA3+0.125*AA20</f>
        <v>0.38372834095589209</v>
      </c>
      <c r="AC3">
        <f t="shared" ref="AC3:AC19" si="30">AB3+0.125*AB20</f>
        <v>0.37987768100997604</v>
      </c>
      <c r="AD3">
        <f t="shared" ref="AD3:AD19" si="31">AC3+0.125*AC20</f>
        <v>0.37605926057363503</v>
      </c>
      <c r="AE3">
        <f t="shared" ref="AE3:AE19" si="32">AD3+0.125*AD20</f>
        <v>0.37227278877538611</v>
      </c>
      <c r="AF3">
        <f t="shared" ref="AF3:AF19" si="33">AE3+0.125*AE20</f>
        <v>0.36851798572118594</v>
      </c>
      <c r="AG3">
        <f t="shared" ref="AG3:AG19" si="34">AF3+0.125*AF20</f>
        <v>0.36479458161397815</v>
      </c>
      <c r="AH3">
        <f t="shared" ref="AH3:AH19" si="35">AG3+0.125*AG20</f>
        <v>0.36110231595877784</v>
      </c>
      <c r="AI3">
        <f t="shared" ref="AI3:AI19" si="36">AH3+0.125*AH20</f>
        <v>0.36454867955337222</v>
      </c>
      <c r="AJ3">
        <f t="shared" ref="AJ3:AJ19" si="37">AI3+0.125*AI20</f>
        <v>0.36819106187778433</v>
      </c>
      <c r="AK3">
        <f t="shared" ref="AK3:AK19" si="38">AJ3+0.125*AJ20</f>
        <v>0.37203885468956688</v>
      </c>
      <c r="AL3">
        <f t="shared" ref="AL3:AL19" si="39">AK3+0.125*AK20</f>
        <v>0.37610222175710983</v>
      </c>
      <c r="AM3">
        <f t="shared" ref="AM3:AM19" si="40">AL3+0.125*AL20</f>
        <v>0.38039216223580824</v>
      </c>
      <c r="AN3">
        <f t="shared" ref="AN3:AN19" si="41">AM3+0.125*AM20</f>
        <v>0.38492058200386126</v>
      </c>
      <c r="AO3">
        <f t="shared" ref="AO3:AO19" si="42">AN3+0.125*AN20</f>
        <v>0.38970037393562323</v>
      </c>
      <c r="AP3">
        <f t="shared" ref="AP3:AP19" si="43">AO3+0.125*AO20</f>
        <v>0.39474550824788307</v>
      </c>
      <c r="AQ3">
        <f t="shared" ref="AQ3:AQ19" si="44">AP3+0.125*AP20</f>
        <v>0.40231118939478455</v>
      </c>
      <c r="AR3">
        <f t="shared" ref="AR3:AR19" si="45">AQ3+0.125*AQ20</f>
        <v>0.40978229952734974</v>
      </c>
      <c r="AS3">
        <f t="shared" ref="AS3:AS19" si="46">AR3+0.125*AR20</f>
        <v>0.41716002078325787</v>
      </c>
      <c r="AT3">
        <f t="shared" ref="AT3:AT19" si="47">AS3+0.125*AS20</f>
        <v>0.42444552052346712</v>
      </c>
      <c r="AU3">
        <f t="shared" ref="AU3:AU19" si="48">AT3+0.125*AT20</f>
        <v>0.4316399515169238</v>
      </c>
      <c r="AV3">
        <f t="shared" ref="AV3:AV19" si="49">AU3+0.125*AU20</f>
        <v>0.43874445212296226</v>
      </c>
      <c r="AW3">
        <f t="shared" ref="AW3:AW19" si="50">AV3+0.125*AV20</f>
        <v>0.44576014647142526</v>
      </c>
      <c r="AX3">
        <f t="shared" ref="AX3:AX19" si="51">AW3+0.125*AW20</f>
        <v>0.45268814464053242</v>
      </c>
      <c r="AY3">
        <f t="shared" ref="AY3:AY19" si="52">AX3+0.125*AX20</f>
        <v>0.45659877514282726</v>
      </c>
      <c r="AZ3">
        <f t="shared" ref="AZ3:AZ19" si="53">AY3+0.125*AY20</f>
        <v>0.46069622789000458</v>
      </c>
      <c r="BA3">
        <f t="shared" ref="BA3:BA19" si="54">AZ3+0.125*AZ20</f>
        <v>0.46498937985355976</v>
      </c>
      <c r="BB3">
        <f t="shared" ref="BB3:BB19" si="55">BA3+0.125*BA20</f>
        <v>0.46948800024086362</v>
      </c>
      <c r="BC3">
        <f t="shared" ref="BC3:BC19" si="56">BB3+0.125*BB20</f>
        <v>0.47420279697651951</v>
      </c>
      <c r="BD3">
        <f t="shared" ref="BD3:BD19" si="57">BC3+0.125*BC20</f>
        <v>0.47914547192101492</v>
      </c>
      <c r="BE3">
        <f t="shared" ref="BE3:BE19" si="58">BD3+0.125*BD20</f>
        <v>0.48432878545609026</v>
      </c>
      <c r="BF3">
        <f t="shared" ref="BF3:BF19" si="59">BE3+0.125*BE20</f>
        <v>0.4897666312285609</v>
      </c>
      <c r="BG3">
        <f t="shared" ref="BG3:BG19" si="60">BF3+0.125*BF20</f>
        <v>0.49547412202309898</v>
      </c>
      <c r="BH3">
        <f t="shared" ref="BH3:BH19" si="61">BG3+0.125*BG20</f>
        <v>0.5014539571406762</v>
      </c>
      <c r="BI3">
        <f t="shared" ref="BI3:BI19" si="62">BH3+0.125*BH20</f>
        <v>0.50768578267641773</v>
      </c>
      <c r="BJ3">
        <f t="shared" ref="BJ3:BJ19" si="63">BI3+0.125*BI20</f>
        <v>0.5138397103929625</v>
      </c>
      <c r="BK3">
        <f t="shared" ref="BK3:BK19" si="64">BJ3+0.125*BJ20</f>
        <v>0.51991671401305051</v>
      </c>
      <c r="BL3">
        <f t="shared" ref="BL3:BL19" si="65">BK3+0.125*BK20</f>
        <v>0.52591775508788741</v>
      </c>
      <c r="BM3">
        <f t="shared" ref="BM3:BM19" si="66">BL3+0.125*BL20</f>
        <v>0.53184378314928882</v>
      </c>
      <c r="BN3">
        <f t="shared" ref="BN3:BN19" si="67">BM3+0.125*BM20</f>
        <v>0.5376957358599227</v>
      </c>
      <c r="BO3">
        <f t="shared" ref="BO3:BO19" si="68">BN3+0.125*BN20</f>
        <v>0.54347453916167365</v>
      </c>
      <c r="BP3">
        <f t="shared" ref="BP3:BP19" si="69">BO3+0.125*BO20</f>
        <v>0.54918110742215276</v>
      </c>
      <c r="BQ3">
        <f t="shared" ref="BQ3:BQ19" si="70">BP3+0.125*BP20</f>
        <v>0.55481634357937581</v>
      </c>
      <c r="BR3">
        <f t="shared" ref="BR3:BR19" si="71">BQ3+0.125*BQ20</f>
        <v>0.56038113928463362</v>
      </c>
      <c r="BS3">
        <f t="shared" ref="BS3:BS19" si="72">BR3+0.125*BR20</f>
        <v>0.56587637504357569</v>
      </c>
      <c r="BT3">
        <f t="shared" ref="BT3:BT19" si="73">BS3+0.125*BS20</f>
        <v>0.57130292035553099</v>
      </c>
      <c r="BU3">
        <f t="shared" ref="BU3:BU19" si="74">BT3+0.125*BT20</f>
        <v>0.57666163385108682</v>
      </c>
      <c r="BV3">
        <f t="shared" ref="BV3:BV19" si="75">BU3+0.125*BU20</f>
        <v>0.58195336342794823</v>
      </c>
      <c r="BW3">
        <f t="shared" ref="BW3:BW19" si="76">BV3+0.125*BV20</f>
        <v>0.58717894638509893</v>
      </c>
      <c r="BX3">
        <f t="shared" ref="BX3:BX19" si="77">BW3+0.125*BW20</f>
        <v>0.59233920955528518</v>
      </c>
      <c r="BY3">
        <f t="shared" ref="BY3:BY19" si="78">BX3+0.125*BX20</f>
        <v>0.59743496943584407</v>
      </c>
      <c r="BZ3">
        <f t="shared" ref="BZ3:BZ19" si="79">BY3+0.125*BY20</f>
        <v>0.602467032317896</v>
      </c>
      <c r="CA3">
        <f t="shared" ref="CA3:CA19" si="80">BZ3+0.125*BZ20</f>
        <v>0.60743619441392227</v>
      </c>
      <c r="CB3">
        <f t="shared" ref="CB3:CB19" si="81">CA3+0.125*CA20</f>
        <v>0.61234324198374823</v>
      </c>
      <c r="CC3">
        <f t="shared" ref="CC3:CC19" si="82">CB3+0.125*CB20</f>
        <v>0.61718895145895136</v>
      </c>
      <c r="CD3">
        <f t="shared" ref="CD3:CD19" si="83">CC3+0.125*CC20</f>
        <v>0.62197408956571443</v>
      </c>
      <c r="CE3">
        <f t="shared" ref="CE3:CE19" si="84">CD3+0.125*CD20</f>
        <v>0.62669941344614299</v>
      </c>
      <c r="CF3">
        <f t="shared" ref="CF3:CF19" si="85">CE3+0.125*CE20</f>
        <v>0.63136567077806616</v>
      </c>
      <c r="CG3">
        <f t="shared" ref="CG3:CG19" si="86">CF3+0.125*CF20</f>
        <v>0.63597359989334035</v>
      </c>
      <c r="CH3">
        <f t="shared" ref="CH3:CH19" si="87">CG3+0.125*CG20</f>
        <v>0.64052392989467355</v>
      </c>
      <c r="CI3">
        <f t="shared" ref="CI3:CI19" si="88">CH3+0.125*CH20</f>
        <v>0.64501738077099013</v>
      </c>
      <c r="CJ3">
        <f t="shared" ref="CJ3:CJ19" si="89">CI3+0.125*CI20</f>
        <v>0.64945466351135273</v>
      </c>
      <c r="CK3">
        <f t="shared" ref="CK3:CK19" si="90">CJ3+0.125*CJ20</f>
        <v>0.65383648021746077</v>
      </c>
      <c r="CL3">
        <f t="shared" ref="CL3:CL19" si="91">CK3+0.125*CK20</f>
        <v>0.65816352421474256</v>
      </c>
      <c r="CM3">
        <f t="shared" ref="CM3:CM19" si="92">CL3+0.125*CL20</f>
        <v>0.66243648016205825</v>
      </c>
      <c r="CN3">
        <f t="shared" ref="CN3:CN19" si="93">CM3+0.125*CM20</f>
        <v>0.66665602416003256</v>
      </c>
      <c r="CO3">
        <f t="shared" ref="CO3:CO19" si="94">CN3+0.125*CN20</f>
        <v>0.67082282385803216</v>
      </c>
      <c r="CP3">
        <f t="shared" ref="CP3:CP19" si="95">CO3+0.125*CO20</f>
        <v>0.67493753855980676</v>
      </c>
      <c r="CQ3">
        <f t="shared" ref="CQ3:CQ19" si="96">CP3+0.125*CP20</f>
        <v>0.6790008193278092</v>
      </c>
      <c r="CR3">
        <f t="shared" ref="CR3:CR19" si="97">CQ3+0.125*CQ20</f>
        <v>0.68301330908621161</v>
      </c>
      <c r="CS3">
        <f t="shared" ref="CS3:CS19" si="98">CR3+0.125*CR20</f>
        <v>0.68697564272263401</v>
      </c>
      <c r="CT3">
        <f t="shared" ref="CT3:CT19" si="99">CS3+0.125*CS20</f>
        <v>0.6908884471886011</v>
      </c>
      <c r="CU3">
        <f t="shared" ref="CU3:CU19" si="100">CT3+0.125*CT20</f>
        <v>0.69475234159874355</v>
      </c>
      <c r="CV3">
        <f t="shared" ref="CV3:CV19" si="101">CU3+0.125*CU20</f>
        <v>0.69856793732875921</v>
      </c>
      <c r="CW3">
        <f t="shared" ref="CW3:CW19" si="102">CV3+0.125*CV20</f>
        <v>0.70233583811214972</v>
      </c>
      <c r="CX3">
        <f t="shared" ref="CX3:CX19" si="103">CW3+0.125*CW20</f>
        <v>0.70605664013574787</v>
      </c>
      <c r="CY3">
        <f t="shared" ref="CY3:CY19" si="104">CX3+0.125*CX20</f>
        <v>0.70973093213405103</v>
      </c>
      <c r="CZ3">
        <f t="shared" ref="CZ3:CZ19" si="105">CY3+0.125*CY20</f>
        <v>0.71335929548237542</v>
      </c>
      <c r="DA3">
        <f t="shared" ref="DA3:DA19" si="106">CZ3+0.125*CZ20</f>
        <v>0.71694230428884576</v>
      </c>
      <c r="DB3">
        <f t="shared" ref="DB3:DB19" si="107">DA3+0.125*DA20</f>
        <v>0.72048052548523522</v>
      </c>
      <c r="DC3">
        <f t="shared" ref="DC3:DC19" si="108">DB3+0.125*DB20</f>
        <v>0.72397451891666975</v>
      </c>
      <c r="DD3">
        <f t="shared" ref="DD3:DD19" si="109">DC3+0.125*DC20</f>
        <v>0.72742483743021136</v>
      </c>
      <c r="DE3">
        <f t="shared" ref="DE3:DE19" si="110">DD3+0.125*DD20</f>
        <v>0.73083202696233374</v>
      </c>
      <c r="DF3">
        <f t="shared" ref="DF3:DF19" si="111">DE3+0.125*DE20</f>
        <v>0.7341966266253046</v>
      </c>
      <c r="DG3">
        <f t="shared" ref="DG3:DG19" si="112">DF3+0.125*DF20</f>
        <v>0.73751916879248824</v>
      </c>
      <c r="DH3">
        <f t="shared" ref="DH3:DH19" si="113">DG3+0.125*DG20</f>
        <v>0.74080017918258212</v>
      </c>
      <c r="DI3">
        <f t="shared" ref="DI3:DI19" si="114">DH3+0.125*DH20</f>
        <v>0.74404017694279989</v>
      </c>
      <c r="DJ3">
        <f t="shared" ref="DJ3:DJ19" si="115">DI3+0.125*DI20</f>
        <v>0.74723967473101494</v>
      </c>
      <c r="DK3">
        <f t="shared" ref="DK3:DK19" si="116">DJ3+0.125*DJ20</f>
        <v>0.75039917879687723</v>
      </c>
      <c r="DL3">
        <f t="shared" ref="DL3:DL19" si="117">DK3+0.125*DK20</f>
        <v>0.75351918906191628</v>
      </c>
      <c r="DM3">
        <f t="shared" ref="DM3:DM19" si="118">DL3+0.125*DL20</f>
        <v>0.7566001991986423</v>
      </c>
      <c r="DN3">
        <f t="shared" ref="DN3:DN19" si="119">DM3+0.125*DM20</f>
        <v>0.75964269670865925</v>
      </c>
      <c r="DO3">
        <f t="shared" ref="DO3:DO19" si="120">DN3+0.125*DN20</f>
        <v>0.76264716299980095</v>
      </c>
      <c r="DP3">
        <f t="shared" ref="DP3:DP19" si="121">DO3+0.125*DO20</f>
        <v>0.76561407346230348</v>
      </c>
      <c r="DQ3">
        <f t="shared" ref="DQ3:DQ19" si="122">DP3+0.125*DP20</f>
        <v>0.76854389754402463</v>
      </c>
      <c r="DR3">
        <f t="shared" ref="DR3:DR19" si="123">DQ3+0.125*DQ20</f>
        <v>0.77143709882472433</v>
      </c>
      <c r="DS3">
        <f t="shared" ref="DS3:DS19" si="124">DR3+0.125*DR20</f>
        <v>0.77429413508941525</v>
      </c>
      <c r="DT3">
        <f t="shared" ref="DT3:DT19" si="125">DS3+0.125*DS20</f>
        <v>0.77711545840079754</v>
      </c>
      <c r="DU3">
        <f t="shared" ref="DU3:DU19" si="126">DT3+0.125*DT20</f>
        <v>0.77990151517078754</v>
      </c>
      <c r="DV3">
        <f t="shared" ref="DV3:DV19" si="127">DU3+0.125*DU20</f>
        <v>0.78265274623115266</v>
      </c>
      <c r="DW3">
        <f t="shared" ref="DW3:DW19" si="128">DV3+0.125*DV20</f>
        <v>0.78536958690326331</v>
      </c>
      <c r="DX3">
        <f t="shared" ref="DX3:DX19" si="129">DW3+0.125*DW20</f>
        <v>0.78805246706697252</v>
      </c>
      <c r="DY3">
        <f t="shared" ref="DY3:DY19" si="130">DX3+0.125*DX20</f>
        <v>0.79070181122863537</v>
      </c>
      <c r="DZ3">
        <f t="shared" ref="DZ3:DZ19" si="131">DY3+0.125*DY20</f>
        <v>0.79331803858827743</v>
      </c>
      <c r="EA3">
        <f t="shared" ref="EA3:EA19" si="132">DZ3+0.125*DZ20</f>
        <v>0.79590156310592397</v>
      </c>
      <c r="EB3">
        <f t="shared" ref="EB3:EB19" si="133">EA3+0.125*EA20</f>
        <v>0.79845279356709997</v>
      </c>
      <c r="EC3">
        <f t="shared" ref="EC3:EC19" si="134">EB3+0.125*EB20</f>
        <v>0.80097213364751119</v>
      </c>
      <c r="ED3">
        <f t="shared" ref="ED3:ED19" si="135">EC3+0.125*EC20</f>
        <v>0.80345998197691726</v>
      </c>
      <c r="EE3">
        <f t="shared" ref="EE3:EE19" si="136">ED3+0.125*ED20</f>
        <v>0.80591673220220583</v>
      </c>
      <c r="EF3">
        <f t="shared" ref="EF3:EF19" si="137">EE3+0.125*EE20</f>
        <v>0.80834277304967828</v>
      </c>
      <c r="EG3">
        <f t="shared" ref="EG3:EG19" si="138">EF3+0.125*EF20</f>
        <v>0.81073848838655727</v>
      </c>
      <c r="EH3">
        <f t="shared" ref="EH3:EH19" si="139">EG3+0.125*EG20</f>
        <v>0.81310425728172531</v>
      </c>
      <c r="EI3">
        <f t="shared" ref="EI3:EI19" si="140">EH3+0.125*EH20</f>
        <v>0.81544045406570376</v>
      </c>
      <c r="EJ3">
        <f t="shared" ref="EJ3:EJ19" si="141">EI3+0.125*EI20</f>
        <v>0.81774744838988245</v>
      </c>
      <c r="EK3">
        <f t="shared" ref="EK3:EK19" si="142">EJ3+0.125*EJ20</f>
        <v>0.8200256052850089</v>
      </c>
      <c r="EL3">
        <f t="shared" ref="EL3:EL19" si="143">EK3+0.125*EK20</f>
        <v>0.82227528521894633</v>
      </c>
      <c r="EM3">
        <f t="shared" ref="EM3:EM19" si="144">EL3+0.125*EL20</f>
        <v>0.8244968441537095</v>
      </c>
      <c r="EN3">
        <f t="shared" ref="EN3:EN19" si="145">EM3+0.125*EM20</f>
        <v>0.82669063360178807</v>
      </c>
      <c r="EO3">
        <f t="shared" ref="EO3:EO19" si="146">EN3+0.125*EN20</f>
        <v>0.82885700068176571</v>
      </c>
      <c r="EP3">
        <f t="shared" ref="EP3:EP19" si="147">EO3+0.125*EO20</f>
        <v>0.83099628817324367</v>
      </c>
      <c r="EQ3">
        <f t="shared" ref="EQ3:EQ19" si="148">EP3+0.125*EP20</f>
        <v>0.83310883457107809</v>
      </c>
      <c r="ER3">
        <f t="shared" ref="ER3:ER19" si="149">EQ3+0.125*EQ20</f>
        <v>0.83519497413893962</v>
      </c>
      <c r="ES3">
        <f t="shared" ref="ES3:ES19" si="150">ER3+0.125*ER20</f>
        <v>0.83725503696220283</v>
      </c>
      <c r="ET3">
        <f t="shared" ref="ET3:ET19" si="151">ES3+0.125*ES20</f>
        <v>0.83928934900017527</v>
      </c>
      <c r="EU3">
        <f t="shared" ref="EU3:EU19" si="152">ET3+0.125*ET20</f>
        <v>0.84129823213767307</v>
      </c>
      <c r="EV3">
        <f t="shared" ref="EV3:EV19" si="153">EU3+0.125*EU20</f>
        <v>0.84328200423595212</v>
      </c>
      <c r="EW3">
        <f t="shared" ref="EW3:EW19" si="154">EV3+0.125*EV20</f>
        <v>0.84524097918300267</v>
      </c>
      <c r="EX3">
        <f t="shared" ref="EX3:EX19" si="155">EW3+0.125*EW20</f>
        <v>0.84717546694321511</v>
      </c>
      <c r="EY3">
        <f t="shared" ref="EY3:EY19" si="156">EX3+0.125*EX20</f>
        <v>0.8490857736064249</v>
      </c>
      <c r="EZ3">
        <f t="shared" ref="EZ3:EZ19" si="157">EY3+0.125*EY20</f>
        <v>0.85097220143634456</v>
      </c>
      <c r="FA3">
        <f t="shared" ref="FA3:FA19" si="158">EZ3+0.125*EZ20</f>
        <v>0.85283504891839024</v>
      </c>
      <c r="FB3">
        <f t="shared" ref="FB3:FB19" si="159">FA3+0.125*FA20</f>
        <v>0.85467461080691032</v>
      </c>
      <c r="FC3">
        <f t="shared" ref="FC3:FC19" si="160">FB3+0.125*FB20</f>
        <v>0.85649117817182396</v>
      </c>
      <c r="FD3">
        <f t="shared" ref="FD3:FD19" si="161">FC3+0.125*FC20</f>
        <v>0.85828503844467618</v>
      </c>
      <c r="FE3">
        <f t="shared" ref="FE3:FE19" si="162">FD3+0.125*FD20</f>
        <v>0.86005647546411779</v>
      </c>
      <c r="FF3">
        <f t="shared" ref="FF3:FF19" si="163">FE3+0.125*FE20</f>
        <v>0.86180576952081633</v>
      </c>
      <c r="FG3">
        <f t="shared" ref="FG3:FG19" si="164">FF3+0.125*FF20</f>
        <v>0.86353319740180612</v>
      </c>
      <c r="FH3">
        <f t="shared" ref="FH3:FH19" si="165">FG3+0.125*FG20</f>
        <v>0.86523903243428357</v>
      </c>
      <c r="FI3">
        <f t="shared" ref="FI3:FI19" si="166">FH3+0.125*FH20</f>
        <v>0.86692354452885501</v>
      </c>
      <c r="FJ3">
        <f t="shared" ref="FJ3:FJ19" si="167">FI3+0.125*FI20</f>
        <v>0.86858700022224433</v>
      </c>
      <c r="FK3">
        <f t="shared" ref="FK3:FK19" si="168">FJ3+0.125*FJ20</f>
        <v>0.87022966271946622</v>
      </c>
      <c r="FL3">
        <f t="shared" ref="FL3:FL19" si="169">FK3+0.125*FK20</f>
        <v>0.87185179193547291</v>
      </c>
      <c r="FM3">
        <f t="shared" ref="FM3:FM19" si="170">FL3+0.125*FL20</f>
        <v>0.87345364453627949</v>
      </c>
      <c r="FN3">
        <f t="shared" ref="FN3:FN19" si="171">FM3+0.125*FM20</f>
        <v>0.87503547397957604</v>
      </c>
      <c r="FO3">
        <f t="shared" ref="FO3:FO19" si="172">FN3+0.125*FN20</f>
        <v>0.87659753055483136</v>
      </c>
      <c r="FP3">
        <f t="shared" ref="FP3:FP19" si="173">FO3+0.125*FO20</f>
        <v>0.87814006142289602</v>
      </c>
      <c r="FQ3">
        <f t="shared" ref="FQ3:FQ19" si="174">FP3+0.125*FP20</f>
        <v>0.87966331065510983</v>
      </c>
      <c r="FR3">
        <f t="shared" ref="FR3:FR19" si="175">FQ3+0.125*FQ20</f>
        <v>0.88116751927192094</v>
      </c>
      <c r="FS3">
        <f t="shared" ref="FS3:FS19" si="176">FR3+0.125*FR20</f>
        <v>0.88265292528102191</v>
      </c>
      <c r="FT3">
        <f t="shared" ref="FT3:FT19" si="177">FS3+0.125*FS20</f>
        <v>0.88411976371500911</v>
      </c>
      <c r="FU3">
        <f t="shared" ref="FU3:FU19" si="178">FT3+0.125*FT20</f>
        <v>0.88556826666857147</v>
      </c>
      <c r="FV3">
        <f t="shared" ref="FV3:FV19" si="179">FU3+0.125*FU20</f>
        <v>0.88699866333521438</v>
      </c>
      <c r="FW3">
        <f t="shared" ref="FW3:FW19" si="180">FV3+0.125*FV20</f>
        <v>0.88841118004352415</v>
      </c>
      <c r="FX3">
        <f t="shared" ref="FX3:FX19" si="181">FW3+0.125*FW20</f>
        <v>0.88980604029298005</v>
      </c>
      <c r="FY3">
        <f t="shared" ref="FY3:FY19" si="182">FX3+0.125*FX20</f>
        <v>0.89118346478931776</v>
      </c>
      <c r="FZ3">
        <f t="shared" ref="FZ3:FZ19" si="183">FY3+0.125*FY20</f>
        <v>0.89254367147945124</v>
      </c>
      <c r="GA3">
        <f t="shared" ref="GA3:GA19" si="184">FZ3+0.125*FZ20</f>
        <v>0.89388687558595814</v>
      </c>
      <c r="GB3">
        <f t="shared" ref="GB3:GB19" si="185">GA3+0.125*GA20</f>
        <v>0.89521328964113367</v>
      </c>
      <c r="GC3">
        <f t="shared" ref="GC3:GC19" si="186">GB3+0.125*GB20</f>
        <v>0.89652312352061947</v>
      </c>
      <c r="GD3">
        <f t="shared" ref="GD3:GD19" si="187">GC3+0.125*GC20</f>
        <v>0.89781658447661172</v>
      </c>
      <c r="GE3">
        <f t="shared" ref="GE3:GE19" si="188">GD3+0.125*GD20</f>
        <v>0.89909387717065403</v>
      </c>
      <c r="GF3">
        <f t="shared" ref="GF3:GF19" si="189">GE3+0.125*GE20</f>
        <v>0.90035520370602085</v>
      </c>
      <c r="GG3">
        <f t="shared" ref="GG3:GG19" si="190">GF3+0.125*GF20</f>
        <v>0.90160076365969555</v>
      </c>
      <c r="GH3">
        <f t="shared" ref="GH3:GH19" si="191">GG3+0.125*GG20</f>
        <v>0.90283075411394931</v>
      </c>
      <c r="GI3">
        <f t="shared" ref="GI3:GI19" si="192">GH3+0.125*GH20</f>
        <v>0.90404536968752491</v>
      </c>
      <c r="GJ3">
        <f t="shared" ref="GJ3:GJ19" si="193">GI3+0.125*GI20</f>
        <v>0.90524480256643081</v>
      </c>
      <c r="GK3">
        <f t="shared" ref="GK3:GK19" si="194">GJ3+0.125*GJ20</f>
        <v>0.90642924253435042</v>
      </c>
      <c r="GL3">
        <f t="shared" ref="GL3:GL19" si="195">GK3+0.125*GK20</f>
        <v>0.90759887700267106</v>
      </c>
      <c r="GM3">
        <f t="shared" ref="GM3:GM19" si="196">GL3+0.125*GL20</f>
        <v>0.90875389104013771</v>
      </c>
      <c r="GN3">
        <f t="shared" ref="GN3:GN19" si="197">GM3+0.125*GM20</f>
        <v>0.90989446740213598</v>
      </c>
      <c r="GO3">
        <f t="shared" ref="GO3:GO19" si="198">GN3+0.125*GN20</f>
        <v>0.91102078655960927</v>
      </c>
      <c r="GP3">
        <f t="shared" ref="GP3:GP19" si="199">GO3+0.125*GO20</f>
        <v>0.9121330267276142</v>
      </c>
      <c r="GQ3">
        <f t="shared" ref="GQ3:GQ19" si="200">GP3+0.125*GP20</f>
        <v>0.913231363893519</v>
      </c>
      <c r="GR3">
        <f t="shared" ref="GR3:GR19" si="201">GQ3+0.125*GQ20</f>
        <v>0.91431597184485003</v>
      </c>
      <c r="GS3">
        <f t="shared" ref="GS3:GS19" si="202">GR3+0.125*GR20</f>
        <v>0.91538702219678936</v>
      </c>
      <c r="GT3">
        <f t="shared" ref="GT3:GT19" si="203">GS3+0.125*GS20</f>
        <v>0.91644468441932947</v>
      </c>
      <c r="GU3">
        <f t="shared" ref="GU3:GU19" si="204">GT3+0.125*GT20</f>
        <v>0.91748912586408782</v>
      </c>
      <c r="GV3">
        <f t="shared" ref="GV3:GV19" si="205">GU3+0.125*GU20</f>
        <v>0.91852051179078675</v>
      </c>
      <c r="GW3">
        <f t="shared" ref="GW3:GW19" si="206">GV3+0.125*GV20</f>
        <v>0.91953900539340194</v>
      </c>
      <c r="GX3">
        <f t="shared" ref="GX3:GX19" si="207">GW3+0.125*GW20</f>
        <v>0.92054476782598438</v>
      </c>
      <c r="GY3">
        <f t="shared" ref="GY3:GY19" si="208">GX3+0.125*GX20</f>
        <v>0.92153795822815954</v>
      </c>
      <c r="GZ3">
        <f t="shared" ref="GZ3:GZ19" si="209">GY3+0.125*GY20</f>
        <v>0.92251873375030757</v>
      </c>
      <c r="HA3">
        <f t="shared" ref="HA3:HA19" si="210">GZ3+0.125*GZ20</f>
        <v>0.92348724957842876</v>
      </c>
      <c r="HB3">
        <f t="shared" ref="HB3:HB19" si="211">HA3+0.125*HA20</f>
        <v>0.9244436589586984</v>
      </c>
      <c r="HC3">
        <f t="shared" ref="HC3:HC19" si="212">HB3+0.125*HB20</f>
        <v>0.92538811322171466</v>
      </c>
      <c r="HD3">
        <f t="shared" ref="HD3:HD19" si="213">HC3+0.125*HC20</f>
        <v>0.92632076180644318</v>
      </c>
      <c r="HE3">
        <f t="shared" ref="HE3:HE19" si="214">HD3+0.125*HD20</f>
        <v>0.92724175228386263</v>
      </c>
      <c r="HF3">
        <f t="shared" ref="HF3:HF19" si="215">HE3+0.125*HE20</f>
        <v>0.92815123038031433</v>
      </c>
      <c r="HG3">
        <f t="shared" ref="HG3:HG19" si="216">HF3+0.125*HF20</f>
        <v>0.92904934000056039</v>
      </c>
      <c r="HH3">
        <f t="shared" ref="HH3:HH19" si="217">HG3+0.125*HG20</f>
        <v>0.92993622325055336</v>
      </c>
      <c r="HI3">
        <f t="shared" ref="HI3:HI19" si="218">HH3+0.125*HH20</f>
        <v>0.9308120204599214</v>
      </c>
      <c r="HJ3">
        <f t="shared" ref="HJ3:HJ19" si="219">HI3+0.125*HI20</f>
        <v>0.93167687020417234</v>
      </c>
      <c r="HK3">
        <f t="shared" ref="HK3:HK19" si="220">HJ3+0.125*HJ20</f>
        <v>0.93253090932662019</v>
      </c>
      <c r="HL3">
        <f t="shared" ref="HL3:HL19" si="221">HK3+0.125*HK20</f>
        <v>0.93337427296003739</v>
      </c>
      <c r="HM3">
        <f t="shared" ref="HM3:HM19" si="222">HL3+0.125*HL20</f>
        <v>0.93420709454803696</v>
      </c>
      <c r="HN3">
        <f t="shared" ref="HN3:HN19" si="223">HM3+0.125*HM20</f>
        <v>0.93502950586618649</v>
      </c>
      <c r="HO3">
        <f t="shared" ref="HO3:HO19" si="224">HN3+0.125*HN20</f>
        <v>0.93584163704285916</v>
      </c>
      <c r="HP3">
        <f t="shared" ref="HP3:HP19" si="225">HO3+0.125*HO20</f>
        <v>0.93664361657982342</v>
      </c>
      <c r="HQ3">
        <f t="shared" ref="HQ3:HQ19" si="226">HP3+0.125*HP20</f>
        <v>0.9374355713725756</v>
      </c>
      <c r="HR3">
        <f t="shared" ref="HR3:HR19" si="227">HQ3+0.125*HQ20</f>
        <v>0.93821762673041842</v>
      </c>
      <c r="HS3">
        <f t="shared" ref="HS3:HS19" si="228">HR3+0.125*HR20</f>
        <v>0.93898990639628821</v>
      </c>
      <c r="HT3">
        <f t="shared" ref="HT3:HT19" si="229">HS3+0.125*HS20</f>
        <v>0.93975253256633462</v>
      </c>
      <c r="HU3">
        <f t="shared" ref="HU3:HU19" si="230">HT3+0.125*HT20</f>
        <v>0.94050562590925546</v>
      </c>
      <c r="HV3">
        <f t="shared" ref="HV3:HV19" si="231">HU3+0.125*HU20</f>
        <v>0.94124930558538977</v>
      </c>
      <c r="HW3">
        <f t="shared" ref="HW3:HW19" si="232">HV3+0.125*HV20</f>
        <v>0.94198368926557241</v>
      </c>
      <c r="HX3">
        <f t="shared" ref="HX3:HX19" si="233">HW3+0.125*HW20</f>
        <v>0.9427088931497527</v>
      </c>
      <c r="HY3">
        <f t="shared" ref="HY3:HY19" si="234">HX3+0.125*HX20</f>
        <v>0.94342503198538075</v>
      </c>
      <c r="HZ3">
        <f t="shared" ref="HZ3:HZ19" si="235">HY3+0.125*HY20</f>
        <v>0.94413221908556344</v>
      </c>
      <c r="IA3">
        <f t="shared" ref="IA3:IA19" si="236">HZ3+0.125*HZ20</f>
        <v>0.94483056634699392</v>
      </c>
      <c r="IB3">
        <f t="shared" ref="IB3:IB19" si="237">IA3+0.125*IA20</f>
        <v>0.94552018426765649</v>
      </c>
      <c r="IC3">
        <f t="shared" ref="IC3:IC19" si="238">IB3+0.125*IB20</f>
        <v>0.9462011819643108</v>
      </c>
      <c r="ID3">
        <f t="shared" ref="ID3:ID19" si="239">IC3+0.125*IC20</f>
        <v>0.94687366718975696</v>
      </c>
      <c r="IE3">
        <f t="shared" ref="IE3:IE19" si="240">ID3+0.125*ID20</f>
        <v>0.94753774634988497</v>
      </c>
      <c r="IF3">
        <f t="shared" ref="IF3:IF19" si="241">IE3+0.125*IE20</f>
        <v>0.94819352452051142</v>
      </c>
      <c r="IG3">
        <f t="shared" ref="IG3:IG19" si="242">IF3+0.125*IF20</f>
        <v>0.94884110546400502</v>
      </c>
      <c r="IH3">
        <f t="shared" ref="IH3:IH19" si="243">IG3+0.125*IG20</f>
        <v>0.94948059164570497</v>
      </c>
      <c r="II3">
        <f t="shared" ref="II3:II19" si="244">IH3+0.125*IH20</f>
        <v>0.95011208425013371</v>
      </c>
      <c r="IJ3">
        <f t="shared" ref="IJ3:IJ19" si="245">II3+0.125*II20</f>
        <v>0.95073568319700708</v>
      </c>
      <c r="IK3">
        <f t="shared" ref="IK3:IK19" si="246">IJ3+0.125*IJ20</f>
        <v>0.95135148715704454</v>
      </c>
      <c r="IL3">
        <f t="shared" ref="IL3:IL19" si="247">IK3+0.125*IK20</f>
        <v>0.95195959356758153</v>
      </c>
      <c r="IM3">
        <f t="shared" ref="IM3:IM19" si="248">IL3+0.125*IL20</f>
        <v>0.95256009864798674</v>
      </c>
      <c r="IN3">
        <f t="shared" ref="IN3:IN19" si="249">IM3+0.125*IM20</f>
        <v>0.95315309741488696</v>
      </c>
      <c r="IO3">
        <f t="shared" ref="IO3:IO19" si="250">IN3+0.125*IN20</f>
        <v>0.95373868369720083</v>
      </c>
      <c r="IP3">
        <f t="shared" ref="IP3:IP19" si="251">IO3+0.125*IO20</f>
        <v>0.95431695015098583</v>
      </c>
      <c r="IQ3">
        <f t="shared" ref="IQ3:IQ19" si="252">IP3+0.125*IP20</f>
        <v>0.95488798827409849</v>
      </c>
      <c r="IR3">
        <f t="shared" ref="IR3:IR19" si="253">IQ3+0.125*IQ20</f>
        <v>0.9554518884206723</v>
      </c>
      <c r="IS3">
        <f t="shared" ref="IS3:IS19" si="254">IR3+0.125*IR20</f>
        <v>0.9560087398154139</v>
      </c>
      <c r="IT3">
        <f t="shared" ref="IT3:IT19" si="255">IS3+0.125*IS20</f>
        <v>0.95655863056772128</v>
      </c>
      <c r="IU3">
        <f t="shared" ref="IU3:IU19" si="256">IT3+0.125*IT20</f>
        <v>0.95710164768562478</v>
      </c>
      <c r="IV3">
        <f t="shared" ref="IV3:IV19" si="257">IU3+0.125*IU20</f>
        <v>0.9576378770895545</v>
      </c>
    </row>
    <row r="4" spans="1:256" x14ac:dyDescent="0.2">
      <c r="A4" t="s">
        <v>474</v>
      </c>
      <c r="B4">
        <f>$B$106</f>
        <v>0.46487155914306638</v>
      </c>
      <c r="C4">
        <f t="shared" si="4"/>
        <v>0.46515092319302187</v>
      </c>
      <c r="D4">
        <f t="shared" si="5"/>
        <v>0.46609770304785447</v>
      </c>
      <c r="E4">
        <f t="shared" si="6"/>
        <v>0.46707862992628685</v>
      </c>
      <c r="F4">
        <f t="shared" si="7"/>
        <v>0.4680949060309908</v>
      </c>
      <c r="G4">
        <f t="shared" si="8"/>
        <v>0.46914758985515048</v>
      </c>
      <c r="H4">
        <f t="shared" si="9"/>
        <v>0.47023761360183192</v>
      </c>
      <c r="I4">
        <f t="shared" si="10"/>
        <v>0.47136579822518831</v>
      </c>
      <c r="J4">
        <f t="shared" si="11"/>
        <v>0.47253286648736503</v>
      </c>
      <c r="K4">
        <f t="shared" si="12"/>
        <v>0.47298114763466759</v>
      </c>
      <c r="L4">
        <f t="shared" si="13"/>
        <v>0.47333300358835662</v>
      </c>
      <c r="M4">
        <f t="shared" si="14"/>
        <v>0.47359146196507118</v>
      </c>
      <c r="N4">
        <f t="shared" si="15"/>
        <v>0.47375946506747535</v>
      </c>
      <c r="O4">
        <f t="shared" si="16"/>
        <v>0.47383987254990945</v>
      </c>
      <c r="P4">
        <f t="shared" si="17"/>
        <v>0.4738354639838494</v>
      </c>
      <c r="Q4">
        <f t="shared" si="18"/>
        <v>0.47374894132775763</v>
      </c>
      <c r="R4">
        <f t="shared" si="19"/>
        <v>0.47358293130566048</v>
      </c>
      <c r="S4">
        <f t="shared" si="20"/>
        <v>0.47577535553702349</v>
      </c>
      <c r="T4">
        <f t="shared" si="21"/>
        <v>0.47783698970403427</v>
      </c>
      <c r="U4">
        <f t="shared" si="22"/>
        <v>0.47977144840124453</v>
      </c>
      <c r="V4">
        <f t="shared" si="23"/>
        <v>0.48158225251062903</v>
      </c>
      <c r="W4">
        <f t="shared" si="24"/>
        <v>0.48327283190415227</v>
      </c>
      <c r="X4">
        <f t="shared" si="25"/>
        <v>0.48484652805257472</v>
      </c>
      <c r="Y4">
        <f t="shared" si="26"/>
        <v>0.48630659654447195</v>
      </c>
      <c r="Z4">
        <f t="shared" si="27"/>
        <v>0.48765620951923921</v>
      </c>
      <c r="AA4">
        <f t="shared" si="28"/>
        <v>0.49406050690024872</v>
      </c>
      <c r="AB4">
        <f t="shared" si="29"/>
        <v>0.50038475056399556</v>
      </c>
      <c r="AC4">
        <f t="shared" si="30"/>
        <v>0.5066299411819456</v>
      </c>
      <c r="AD4">
        <f t="shared" si="31"/>
        <v>0.51279706691717131</v>
      </c>
      <c r="AE4">
        <f t="shared" si="32"/>
        <v>0.51888710358070667</v>
      </c>
      <c r="AF4">
        <f t="shared" si="33"/>
        <v>0.52490101478594786</v>
      </c>
      <c r="AG4">
        <f t="shared" si="34"/>
        <v>0.53083975210112355</v>
      </c>
      <c r="AH4">
        <f t="shared" si="35"/>
        <v>0.53670425519985954</v>
      </c>
      <c r="AI4">
        <f t="shared" si="36"/>
        <v>0.53366680194751404</v>
      </c>
      <c r="AJ4">
        <f t="shared" si="37"/>
        <v>0.53069585313051126</v>
      </c>
      <c r="AK4">
        <f t="shared" si="38"/>
        <v>0.52779145938796856</v>
      </c>
      <c r="AL4">
        <f t="shared" si="39"/>
        <v>0.5249536513439238</v>
      </c>
      <c r="AM4">
        <f t="shared" si="40"/>
        <v>0.52218244222246613</v>
      </c>
      <c r="AN4">
        <f t="shared" si="41"/>
        <v>0.5194778302239158</v>
      </c>
      <c r="AO4">
        <f t="shared" si="42"/>
        <v>0.51683980068963797</v>
      </c>
      <c r="AP4">
        <f t="shared" si="43"/>
        <v>0.51426832807954159</v>
      </c>
      <c r="AQ4">
        <f t="shared" si="44"/>
        <v>0.51568678158804482</v>
      </c>
      <c r="AR4">
        <f t="shared" si="45"/>
        <v>0.51712198172500523</v>
      </c>
      <c r="AS4">
        <f t="shared" si="46"/>
        <v>0.51857482418341816</v>
      </c>
      <c r="AT4">
        <f t="shared" si="47"/>
        <v>0.52004610112353156</v>
      </c>
      <c r="AU4">
        <f t="shared" si="48"/>
        <v>0.52153651348853103</v>
      </c>
      <c r="AV4">
        <f t="shared" si="49"/>
        <v>0.52304668196092996</v>
      </c>
      <c r="AW4">
        <f t="shared" si="50"/>
        <v>0.52457715675620153</v>
      </c>
      <c r="AX4">
        <f t="shared" si="51"/>
        <v>0.52612842641751345</v>
      </c>
      <c r="AY4">
        <f t="shared" si="52"/>
        <v>0.52940002899945715</v>
      </c>
      <c r="AZ4">
        <f t="shared" si="53"/>
        <v>0.53271475859317685</v>
      </c>
      <c r="BA4">
        <f t="shared" si="54"/>
        <v>0.53607487504004769</v>
      </c>
      <c r="BB4">
        <f t="shared" si="55"/>
        <v>0.53948250683581966</v>
      </c>
      <c r="BC4">
        <f t="shared" si="56"/>
        <v>0.5429396749900498</v>
      </c>
      <c r="BD4">
        <f t="shared" si="57"/>
        <v>0.54644831342375866</v>
      </c>
      <c r="BE4">
        <f t="shared" si="58"/>
        <v>0.55001028651051354</v>
      </c>
      <c r="BF4">
        <f t="shared" si="59"/>
        <v>0.55362740424457024</v>
      </c>
      <c r="BG4">
        <f t="shared" si="60"/>
        <v>0.55730143542563793</v>
      </c>
      <c r="BH4">
        <f t="shared" si="61"/>
        <v>0.56103411917638957</v>
      </c>
      <c r="BI4">
        <f t="shared" si="62"/>
        <v>0.56482717505100788</v>
      </c>
      <c r="BJ4">
        <f t="shared" si="63"/>
        <v>0.5686823119471337</v>
      </c>
      <c r="BK4">
        <f t="shared" si="64"/>
        <v>0.5726012356674588</v>
      </c>
      <c r="BL4">
        <f t="shared" si="65"/>
        <v>0.57658562814188208</v>
      </c>
      <c r="BM4">
        <f t="shared" si="66"/>
        <v>0.58063713026736186</v>
      </c>
      <c r="BN4">
        <f t="shared" si="67"/>
        <v>0.58475734906803079</v>
      </c>
      <c r="BO4">
        <f t="shared" si="68"/>
        <v>0.58894786389205589</v>
      </c>
      <c r="BP4">
        <f t="shared" si="69"/>
        <v>0.59321023183639687</v>
      </c>
      <c r="BQ4">
        <f t="shared" si="70"/>
        <v>0.59754599249704499</v>
      </c>
      <c r="BR4">
        <f t="shared" si="71"/>
        <v>0.60195667212843385</v>
      </c>
      <c r="BS4">
        <f t="shared" si="72"/>
        <v>0.60644378728417292</v>
      </c>
      <c r="BT4">
        <f t="shared" si="73"/>
        <v>0.61100884800162059</v>
      </c>
      <c r="BU4">
        <f t="shared" si="74"/>
        <v>0.61565336058471942</v>
      </c>
      <c r="BV4">
        <f t="shared" si="75"/>
        <v>0.62037883003267802</v>
      </c>
      <c r="BW4">
        <f t="shared" si="76"/>
        <v>0.62512409465726959</v>
      </c>
      <c r="BX4">
        <f t="shared" si="77"/>
        <v>0.62981004347405367</v>
      </c>
      <c r="BY4">
        <f t="shared" si="78"/>
        <v>0.63443741793062802</v>
      </c>
      <c r="BZ4">
        <f t="shared" si="79"/>
        <v>0.63900695020649523</v>
      </c>
      <c r="CA4">
        <f t="shared" si="80"/>
        <v>0.64351936332891402</v>
      </c>
      <c r="CB4">
        <f t="shared" si="81"/>
        <v>0.64797537128730265</v>
      </c>
      <c r="CC4">
        <f t="shared" si="82"/>
        <v>0.65237567914621142</v>
      </c>
      <c r="CD4">
        <f t="shared" si="83"/>
        <v>0.65672098315688376</v>
      </c>
      <c r="CE4">
        <f t="shared" si="84"/>
        <v>0.66101197086742269</v>
      </c>
      <c r="CF4">
        <f t="shared" si="85"/>
        <v>0.66524932123157987</v>
      </c>
      <c r="CG4">
        <f t="shared" si="86"/>
        <v>0.66943370471618513</v>
      </c>
      <c r="CH4">
        <f t="shared" si="87"/>
        <v>0.67356578340723283</v>
      </c>
      <c r="CI4">
        <f t="shared" si="88"/>
        <v>0.6776462111146424</v>
      </c>
      <c r="CJ4">
        <f t="shared" si="89"/>
        <v>0.68167563347570936</v>
      </c>
      <c r="CK4">
        <f t="shared" si="90"/>
        <v>0.68565468805726304</v>
      </c>
      <c r="CL4">
        <f t="shared" si="91"/>
        <v>0.68958400445654722</v>
      </c>
      <c r="CM4">
        <f t="shared" si="92"/>
        <v>0.69346420440084033</v>
      </c>
      <c r="CN4">
        <f t="shared" si="93"/>
        <v>0.69729590184582979</v>
      </c>
      <c r="CO4">
        <f t="shared" si="94"/>
        <v>0.70107970307275691</v>
      </c>
      <c r="CP4">
        <f t="shared" si="95"/>
        <v>0.70481620678434742</v>
      </c>
      <c r="CQ4">
        <f t="shared" si="96"/>
        <v>0.70850600419954313</v>
      </c>
      <c r="CR4">
        <f t="shared" si="97"/>
        <v>0.71214967914704885</v>
      </c>
      <c r="CS4">
        <f t="shared" si="98"/>
        <v>0.71574780815771077</v>
      </c>
      <c r="CT4">
        <f t="shared" si="99"/>
        <v>0.71930096055573944</v>
      </c>
      <c r="CU4">
        <f t="shared" si="100"/>
        <v>0.72280969854879273</v>
      </c>
      <c r="CV4">
        <f t="shared" si="101"/>
        <v>0.72627457731693279</v>
      </c>
      <c r="CW4">
        <f t="shared" si="102"/>
        <v>0.72969614510047109</v>
      </c>
      <c r="CX4">
        <f t="shared" si="103"/>
        <v>0.73307494328671519</v>
      </c>
      <c r="CY4">
        <f t="shared" si="104"/>
        <v>0.73641150649563125</v>
      </c>
      <c r="CZ4">
        <f t="shared" si="105"/>
        <v>0.7397063626644359</v>
      </c>
      <c r="DA4">
        <f t="shared" si="106"/>
        <v>0.74296003313113046</v>
      </c>
      <c r="DB4">
        <f t="shared" si="107"/>
        <v>0.74617303271699131</v>
      </c>
      <c r="DC4">
        <f t="shared" si="108"/>
        <v>0.74934586980802897</v>
      </c>
      <c r="DD4">
        <f t="shared" si="109"/>
        <v>0.75247904643542862</v>
      </c>
      <c r="DE4">
        <f t="shared" si="110"/>
        <v>0.75557305835498578</v>
      </c>
      <c r="DF4">
        <f t="shared" si="111"/>
        <v>0.75862839512554847</v>
      </c>
      <c r="DG4">
        <f t="shared" si="112"/>
        <v>0.76164554018647912</v>
      </c>
      <c r="DH4">
        <f t="shared" si="113"/>
        <v>0.76462497093414816</v>
      </c>
      <c r="DI4">
        <f t="shared" si="114"/>
        <v>0.76756715879747128</v>
      </c>
      <c r="DJ4">
        <f t="shared" si="115"/>
        <v>0.77047256931250285</v>
      </c>
      <c r="DK4">
        <f t="shared" si="116"/>
        <v>0.77334166219609657</v>
      </c>
      <c r="DL4">
        <f t="shared" si="117"/>
        <v>0.77617489141864537</v>
      </c>
      <c r="DM4">
        <f t="shared" si="118"/>
        <v>0.77897270527591234</v>
      </c>
      <c r="DN4">
        <f t="shared" si="119"/>
        <v>0.78173554645996346</v>
      </c>
      <c r="DO4">
        <f t="shared" si="120"/>
        <v>0.78446385212921388</v>
      </c>
      <c r="DP4">
        <f t="shared" si="121"/>
        <v>0.78715805397759875</v>
      </c>
      <c r="DQ4">
        <f t="shared" si="122"/>
        <v>0.78981857830287872</v>
      </c>
      <c r="DR4">
        <f t="shared" si="123"/>
        <v>0.79244584607409274</v>
      </c>
      <c r="DS4">
        <f t="shared" si="124"/>
        <v>0.7950402729981666</v>
      </c>
      <c r="DT4">
        <f t="shared" si="125"/>
        <v>0.79760226958568947</v>
      </c>
      <c r="DU4">
        <f t="shared" si="126"/>
        <v>0.80013224121586835</v>
      </c>
      <c r="DV4">
        <f t="shared" si="127"/>
        <v>0.80263058820067001</v>
      </c>
      <c r="DW4">
        <f t="shared" si="128"/>
        <v>0.80509770584816165</v>
      </c>
      <c r="DX4">
        <f t="shared" si="129"/>
        <v>0.80753398452505964</v>
      </c>
      <c r="DY4">
        <f t="shared" si="130"/>
        <v>0.80993980971849644</v>
      </c>
      <c r="DZ4">
        <f t="shared" si="131"/>
        <v>0.81231556209701528</v>
      </c>
      <c r="EA4">
        <f t="shared" si="132"/>
        <v>0.81466161757080258</v>
      </c>
      <c r="EB4">
        <f t="shared" si="133"/>
        <v>0.81697834735116759</v>
      </c>
      <c r="EC4">
        <f t="shared" si="134"/>
        <v>0.81926611800927795</v>
      </c>
      <c r="ED4">
        <f t="shared" si="135"/>
        <v>0.82152529153416198</v>
      </c>
      <c r="EE4">
        <f t="shared" si="136"/>
        <v>0.82375622538998494</v>
      </c>
      <c r="EF4">
        <f t="shared" si="137"/>
        <v>0.82595927257261015</v>
      </c>
      <c r="EG4">
        <f t="shared" si="138"/>
        <v>0.82813478166545251</v>
      </c>
      <c r="EH4">
        <f t="shared" si="139"/>
        <v>0.83028309689463431</v>
      </c>
      <c r="EI4">
        <f t="shared" si="140"/>
        <v>0.83240455818345138</v>
      </c>
      <c r="EJ4">
        <f t="shared" si="141"/>
        <v>0.83449950120615823</v>
      </c>
      <c r="EK4">
        <f t="shared" si="142"/>
        <v>0.83656825744108121</v>
      </c>
      <c r="EL4">
        <f t="shared" si="143"/>
        <v>0.83861115422306765</v>
      </c>
      <c r="EM4">
        <f t="shared" si="144"/>
        <v>0.84062851479527934</v>
      </c>
      <c r="EN4">
        <f t="shared" si="145"/>
        <v>0.84262065836033839</v>
      </c>
      <c r="EO4">
        <f t="shared" si="146"/>
        <v>0.84458790013083418</v>
      </c>
      <c r="EP4">
        <f t="shared" si="147"/>
        <v>0.84653055137919875</v>
      </c>
      <c r="EQ4">
        <f t="shared" si="148"/>
        <v>0.84844891948695877</v>
      </c>
      <c r="ER4">
        <f t="shared" si="149"/>
        <v>0.85034330799337177</v>
      </c>
      <c r="ES4">
        <f t="shared" si="150"/>
        <v>0.85221401664345464</v>
      </c>
      <c r="ET4">
        <f t="shared" si="151"/>
        <v>0.85406134143541146</v>
      </c>
      <c r="EU4">
        <f t="shared" si="152"/>
        <v>0.85588557466746884</v>
      </c>
      <c r="EV4">
        <f t="shared" si="153"/>
        <v>0.85768700498412553</v>
      </c>
      <c r="EW4">
        <f t="shared" si="154"/>
        <v>0.85946591742182399</v>
      </c>
      <c r="EX4">
        <f t="shared" si="155"/>
        <v>0.86122259345405117</v>
      </c>
      <c r="EY4">
        <f t="shared" si="156"/>
        <v>0.86295731103587547</v>
      </c>
      <c r="EZ4">
        <f t="shared" si="157"/>
        <v>0.86467034464792702</v>
      </c>
      <c r="FA4">
        <f t="shared" si="158"/>
        <v>0.8663619653398279</v>
      </c>
      <c r="FB4">
        <f t="shared" si="159"/>
        <v>0.86803244077308006</v>
      </c>
      <c r="FC4">
        <f t="shared" si="160"/>
        <v>0.86968203526341659</v>
      </c>
      <c r="FD4">
        <f t="shared" si="161"/>
        <v>0.87131100982262388</v>
      </c>
      <c r="FE4">
        <f t="shared" si="162"/>
        <v>0.87291962219984109</v>
      </c>
      <c r="FF4">
        <f t="shared" si="163"/>
        <v>0.87450812692234303</v>
      </c>
      <c r="FG4">
        <f t="shared" si="164"/>
        <v>0.87607677533581374</v>
      </c>
      <c r="FH4">
        <f t="shared" si="165"/>
        <v>0.87762581564411601</v>
      </c>
      <c r="FI4">
        <f t="shared" si="166"/>
        <v>0.87915549294856454</v>
      </c>
      <c r="FJ4">
        <f t="shared" si="167"/>
        <v>0.88066604928670744</v>
      </c>
      <c r="FK4">
        <f t="shared" si="168"/>
        <v>0.88215772367062362</v>
      </c>
      <c r="FL4">
        <f t="shared" si="169"/>
        <v>0.88363075212474085</v>
      </c>
      <c r="FM4">
        <f t="shared" si="170"/>
        <v>0.88508536772318158</v>
      </c>
      <c r="FN4">
        <f t="shared" si="171"/>
        <v>0.88652180062664176</v>
      </c>
      <c r="FO4">
        <f t="shared" si="172"/>
        <v>0.88794027811880871</v>
      </c>
      <c r="FP4">
        <f t="shared" si="173"/>
        <v>0.88934102464232356</v>
      </c>
      <c r="FQ4">
        <f t="shared" si="174"/>
        <v>0.89072426183429454</v>
      </c>
      <c r="FR4">
        <f t="shared" si="175"/>
        <v>0.89209020856136589</v>
      </c>
      <c r="FS4">
        <f t="shared" si="176"/>
        <v>0.89343908095434887</v>
      </c>
      <c r="FT4">
        <f t="shared" si="177"/>
        <v>0.89477109244241948</v>
      </c>
      <c r="FU4">
        <f t="shared" si="178"/>
        <v>0.89608645378688923</v>
      </c>
      <c r="FV4">
        <f t="shared" si="179"/>
        <v>0.89738537311455313</v>
      </c>
      <c r="FW4">
        <f t="shared" si="180"/>
        <v>0.89866805595062127</v>
      </c>
      <c r="FX4">
        <f t="shared" si="181"/>
        <v>0.89993470525123853</v>
      </c>
      <c r="FY4">
        <f t="shared" si="182"/>
        <v>0.90118552143559805</v>
      </c>
      <c r="FZ4">
        <f t="shared" si="183"/>
        <v>0.90242070241765304</v>
      </c>
      <c r="GA4">
        <f t="shared" si="184"/>
        <v>0.90364044363743234</v>
      </c>
      <c r="GB4">
        <f t="shared" si="185"/>
        <v>0.90484493809196442</v>
      </c>
      <c r="GC4">
        <f t="shared" si="186"/>
        <v>0.90603437636581485</v>
      </c>
      <c r="GD4">
        <f t="shared" si="187"/>
        <v>0.90720894666124219</v>
      </c>
      <c r="GE4">
        <f t="shared" si="188"/>
        <v>0.9083688348279767</v>
      </c>
      <c r="GF4">
        <f t="shared" si="189"/>
        <v>0.90951422439262697</v>
      </c>
      <c r="GG4">
        <f t="shared" si="190"/>
        <v>0.91064529658771909</v>
      </c>
      <c r="GH4">
        <f t="shared" si="191"/>
        <v>0.91176223038037263</v>
      </c>
      <c r="GI4">
        <f t="shared" si="192"/>
        <v>0.91286520250061798</v>
      </c>
      <c r="GJ4">
        <f t="shared" si="193"/>
        <v>0.91395438746936031</v>
      </c>
      <c r="GK4">
        <f t="shared" si="194"/>
        <v>0.91502995762599326</v>
      </c>
      <c r="GL4">
        <f t="shared" si="195"/>
        <v>0.91609208315566837</v>
      </c>
      <c r="GM4">
        <f t="shared" si="196"/>
        <v>0.9171409321162225</v>
      </c>
      <c r="GN4">
        <f t="shared" si="197"/>
        <v>0.9181766704647697</v>
      </c>
      <c r="GO4">
        <f t="shared" si="198"/>
        <v>0.91919946208396008</v>
      </c>
      <c r="GP4">
        <f t="shared" si="199"/>
        <v>0.92020946880791055</v>
      </c>
      <c r="GQ4">
        <f t="shared" si="200"/>
        <v>0.9212068504478117</v>
      </c>
      <c r="GR4">
        <f t="shared" si="201"/>
        <v>0.9221917648172141</v>
      </c>
      <c r="GS4">
        <f t="shared" si="202"/>
        <v>0.92316436775699895</v>
      </c>
      <c r="GT4">
        <f t="shared" si="203"/>
        <v>0.92412481316003647</v>
      </c>
      <c r="GU4">
        <f t="shared" si="204"/>
        <v>0.925073252995536</v>
      </c>
      <c r="GV4">
        <f t="shared" si="205"/>
        <v>0.92600983733309183</v>
      </c>
      <c r="GW4">
        <f t="shared" si="206"/>
        <v>0.92693471436642816</v>
      </c>
      <c r="GX4">
        <f t="shared" si="207"/>
        <v>0.92784803043684783</v>
      </c>
      <c r="GY4">
        <f t="shared" si="208"/>
        <v>0.92874993005638717</v>
      </c>
      <c r="GZ4">
        <f t="shared" si="209"/>
        <v>0.92964055593068229</v>
      </c>
      <c r="HA4">
        <f t="shared" si="210"/>
        <v>0.93052004898154872</v>
      </c>
      <c r="HB4">
        <f t="shared" si="211"/>
        <v>0.93138854836927931</v>
      </c>
      <c r="HC4">
        <f t="shared" si="212"/>
        <v>0.93224619151466337</v>
      </c>
      <c r="HD4">
        <f t="shared" si="213"/>
        <v>0.93309311412073004</v>
      </c>
      <c r="HE4">
        <f t="shared" si="214"/>
        <v>0.93392945019422091</v>
      </c>
      <c r="HF4">
        <f t="shared" si="215"/>
        <v>0.93475533206679318</v>
      </c>
      <c r="HG4">
        <f t="shared" si="216"/>
        <v>0.93557089041595831</v>
      </c>
      <c r="HH4">
        <f t="shared" si="217"/>
        <v>0.93637625428575888</v>
      </c>
      <c r="HI4">
        <f t="shared" si="218"/>
        <v>0.93717155110718686</v>
      </c>
      <c r="HJ4">
        <f t="shared" si="219"/>
        <v>0.93795690671834697</v>
      </c>
      <c r="HK4">
        <f t="shared" si="220"/>
        <v>0.93873244538436762</v>
      </c>
      <c r="HL4">
        <f t="shared" si="221"/>
        <v>0.93949828981706307</v>
      </c>
      <c r="HM4">
        <f t="shared" si="222"/>
        <v>0.9402545611943498</v>
      </c>
      <c r="HN4">
        <f t="shared" si="223"/>
        <v>0.94100137917942039</v>
      </c>
      <c r="HO4">
        <f t="shared" si="224"/>
        <v>0.9417388619396776</v>
      </c>
      <c r="HP4">
        <f t="shared" si="225"/>
        <v>0.9424671261654316</v>
      </c>
      <c r="HQ4">
        <f t="shared" si="226"/>
        <v>0.94318628708836372</v>
      </c>
      <c r="HR4">
        <f t="shared" si="227"/>
        <v>0.94389645849975912</v>
      </c>
      <c r="HS4">
        <f t="shared" si="228"/>
        <v>0.9445977527685121</v>
      </c>
      <c r="HT4">
        <f t="shared" si="229"/>
        <v>0.94529028085890565</v>
      </c>
      <c r="HU4">
        <f t="shared" si="230"/>
        <v>0.94597415234816928</v>
      </c>
      <c r="HV4">
        <f t="shared" si="231"/>
        <v>0.94664947544381717</v>
      </c>
      <c r="HW4">
        <f t="shared" si="232"/>
        <v>0.94731635700076944</v>
      </c>
      <c r="HX4">
        <f t="shared" si="233"/>
        <v>0.94797490253825978</v>
      </c>
      <c r="HY4">
        <f t="shared" si="234"/>
        <v>0.94862521625653151</v>
      </c>
      <c r="HZ4">
        <f t="shared" si="235"/>
        <v>0.94926740105332486</v>
      </c>
      <c r="IA4">
        <f t="shared" si="236"/>
        <v>0.94990155854015834</v>
      </c>
      <c r="IB4">
        <f t="shared" si="237"/>
        <v>0.9505277890584064</v>
      </c>
      <c r="IC4">
        <f t="shared" si="238"/>
        <v>0.95114619169517634</v>
      </c>
      <c r="ID4">
        <f t="shared" si="239"/>
        <v>0.95175686429898665</v>
      </c>
      <c r="IE4">
        <f t="shared" si="240"/>
        <v>0.95235990349524935</v>
      </c>
      <c r="IF4">
        <f t="shared" si="241"/>
        <v>0.95295540470155871</v>
      </c>
      <c r="IG4">
        <f t="shared" si="242"/>
        <v>0.95354346214278918</v>
      </c>
      <c r="IH4">
        <f t="shared" si="243"/>
        <v>0.95412416886600426</v>
      </c>
      <c r="II4">
        <f t="shared" si="244"/>
        <v>0.95469761675517917</v>
      </c>
      <c r="IJ4">
        <f t="shared" si="245"/>
        <v>0.9552638965457394</v>
      </c>
      <c r="IK4">
        <f t="shared" si="246"/>
        <v>0.95582309783891761</v>
      </c>
      <c r="IL4">
        <f t="shared" si="247"/>
        <v>0.95637530911593116</v>
      </c>
      <c r="IM4">
        <f t="shared" si="248"/>
        <v>0.95692061775198201</v>
      </c>
      <c r="IN4">
        <f t="shared" si="249"/>
        <v>0.95745911003008222</v>
      </c>
      <c r="IO4">
        <f t="shared" si="250"/>
        <v>0.95799087115470616</v>
      </c>
      <c r="IP4">
        <f t="shared" si="251"/>
        <v>0.95851598526527237</v>
      </c>
      <c r="IQ4">
        <f t="shared" si="252"/>
        <v>0.95903453544945649</v>
      </c>
      <c r="IR4">
        <f t="shared" si="253"/>
        <v>0.95954660375633827</v>
      </c>
      <c r="IS4">
        <f t="shared" si="254"/>
        <v>0.96005227120938408</v>
      </c>
      <c r="IT4">
        <f t="shared" si="255"/>
        <v>0.96055161781926679</v>
      </c>
      <c r="IU4">
        <f t="shared" si="256"/>
        <v>0.96104472259652596</v>
      </c>
      <c r="IV4">
        <f t="shared" si="257"/>
        <v>0.96153166356406938</v>
      </c>
    </row>
    <row r="5" spans="1:256" x14ac:dyDescent="0.2">
      <c r="A5" t="s">
        <v>475</v>
      </c>
      <c r="B5">
        <f>$B$107</f>
        <v>0.27561077117919924</v>
      </c>
      <c r="C5">
        <f t="shared" si="4"/>
        <v>0.27356065557304687</v>
      </c>
      <c r="D5">
        <f t="shared" si="5"/>
        <v>0.28264114737838381</v>
      </c>
      <c r="E5">
        <f t="shared" si="6"/>
        <v>0.29160813303615402</v>
      </c>
      <c r="F5">
        <f t="shared" si="7"/>
        <v>0.30046303137320207</v>
      </c>
      <c r="G5">
        <f t="shared" si="8"/>
        <v>0.30920724348103706</v>
      </c>
      <c r="H5">
        <f t="shared" si="9"/>
        <v>0.3178421529375241</v>
      </c>
      <c r="I5">
        <f t="shared" si="10"/>
        <v>0.32636912602580503</v>
      </c>
      <c r="J5">
        <f t="shared" si="11"/>
        <v>0.33478951195048245</v>
      </c>
      <c r="K5">
        <f t="shared" si="12"/>
        <v>0.33222208927231628</v>
      </c>
      <c r="L5">
        <f t="shared" si="13"/>
        <v>0.32965888451213815</v>
      </c>
      <c r="M5">
        <f t="shared" si="14"/>
        <v>0.32709994785782853</v>
      </c>
      <c r="N5">
        <f t="shared" si="15"/>
        <v>0.32454535310024141</v>
      </c>
      <c r="O5">
        <f t="shared" si="16"/>
        <v>0.32199519559509232</v>
      </c>
      <c r="P5">
        <f t="shared" si="17"/>
        <v>0.31944959033899933</v>
      </c>
      <c r="Q5">
        <f t="shared" si="18"/>
        <v>0.31690867015442398</v>
      </c>
      <c r="R5">
        <f t="shared" si="19"/>
        <v>0.31437258397846074</v>
      </c>
      <c r="S5">
        <f t="shared" si="20"/>
        <v>0.31184149525062116</v>
      </c>
      <c r="T5">
        <f t="shared" si="21"/>
        <v>0.3093185900430318</v>
      </c>
      <c r="U5">
        <f t="shared" si="22"/>
        <v>0.30680382815878748</v>
      </c>
      <c r="V5">
        <f t="shared" si="23"/>
        <v>0.30429719455822618</v>
      </c>
      <c r="W5">
        <f t="shared" si="24"/>
        <v>0.30179869706166562</v>
      </c>
      <c r="X5">
        <f t="shared" si="25"/>
        <v>0.29930836420511164</v>
      </c>
      <c r="Y5">
        <f t="shared" si="26"/>
        <v>0.29682624323956802</v>
      </c>
      <c r="Z5">
        <f t="shared" si="27"/>
        <v>0.29435239826515364</v>
      </c>
      <c r="AA5">
        <f t="shared" si="28"/>
        <v>0.29310082369670543</v>
      </c>
      <c r="AB5">
        <f t="shared" si="29"/>
        <v>0.29185349169416203</v>
      </c>
      <c r="AC5">
        <f t="shared" si="30"/>
        <v>0.29060981046676354</v>
      </c>
      <c r="AD5">
        <f t="shared" si="31"/>
        <v>0.28936923164253703</v>
      </c>
      <c r="AE5">
        <f t="shared" si="32"/>
        <v>0.28813124795384498</v>
      </c>
      <c r="AF5">
        <f t="shared" si="33"/>
        <v>0.28689539103610268</v>
      </c>
      <c r="AG5">
        <f t="shared" si="34"/>
        <v>0.28566122933413612</v>
      </c>
      <c r="AH5">
        <f t="shared" si="35"/>
        <v>0.28442836611093159</v>
      </c>
      <c r="AI5">
        <f t="shared" si="36"/>
        <v>0.28728726059054588</v>
      </c>
      <c r="AJ5">
        <f t="shared" si="37"/>
        <v>0.29012154636639992</v>
      </c>
      <c r="AK5">
        <f t="shared" si="38"/>
        <v>0.29293445644748028</v>
      </c>
      <c r="AL5">
        <f t="shared" si="39"/>
        <v>0.29572913273970658</v>
      </c>
      <c r="AM5">
        <f t="shared" si="40"/>
        <v>0.29850863551330592</v>
      </c>
      <c r="AN5">
        <f t="shared" si="41"/>
        <v>0.30127595216369485</v>
      </c>
      <c r="AO5">
        <f t="shared" si="42"/>
        <v>0.30403400535311909</v>
      </c>
      <c r="AP5">
        <f t="shared" si="43"/>
        <v>0.30678566060952678</v>
      </c>
      <c r="AQ5">
        <f t="shared" si="44"/>
        <v>0.31402452618827115</v>
      </c>
      <c r="AR5">
        <f t="shared" si="45"/>
        <v>0.32115685552611739</v>
      </c>
      <c r="AS5">
        <f t="shared" si="46"/>
        <v>0.32818734638708424</v>
      </c>
      <c r="AT5">
        <f t="shared" si="47"/>
        <v>0.33512050959516498</v>
      </c>
      <c r="AU5">
        <f t="shared" si="48"/>
        <v>0.34196068906607374</v>
      </c>
      <c r="AV5">
        <f t="shared" si="49"/>
        <v>0.34871207959321715</v>
      </c>
      <c r="AW5">
        <f t="shared" si="50"/>
        <v>0.35537874272085873</v>
      </c>
      <c r="AX5">
        <f t="shared" si="51"/>
        <v>0.36196462098286808</v>
      </c>
      <c r="AY5">
        <f t="shared" si="52"/>
        <v>0.36901502086062388</v>
      </c>
      <c r="AZ5">
        <f t="shared" si="53"/>
        <v>0.37606322718463775</v>
      </c>
      <c r="BA5">
        <f t="shared" si="54"/>
        <v>0.38311506707498449</v>
      </c>
      <c r="BB5">
        <f t="shared" si="55"/>
        <v>0.39017629721329561</v>
      </c>
      <c r="BC5">
        <f t="shared" si="56"/>
        <v>0.39725263534540223</v>
      </c>
      <c r="BD5">
        <f t="shared" si="57"/>
        <v>0.40434978819861761</v>
      </c>
      <c r="BE5">
        <f t="shared" si="58"/>
        <v>0.41147347653231792</v>
      </c>
      <c r="BF5">
        <f t="shared" si="59"/>
        <v>0.41862945790102168</v>
      </c>
      <c r="BG5">
        <f t="shared" si="60"/>
        <v>0.42582354760173674</v>
      </c>
      <c r="BH5">
        <f t="shared" si="61"/>
        <v>0.43300075325671505</v>
      </c>
      <c r="BI5">
        <f t="shared" si="62"/>
        <v>0.44008824384100609</v>
      </c>
      <c r="BJ5">
        <f t="shared" si="63"/>
        <v>0.4470871407929935</v>
      </c>
      <c r="BK5">
        <f t="shared" si="64"/>
        <v>0.45399855153308111</v>
      </c>
      <c r="BL5">
        <f t="shared" si="65"/>
        <v>0.46082356963891757</v>
      </c>
      <c r="BM5">
        <f t="shared" si="66"/>
        <v>0.46756327501843109</v>
      </c>
      <c r="BN5">
        <f t="shared" si="67"/>
        <v>0.4742187340807007</v>
      </c>
      <c r="BO5">
        <f t="shared" si="68"/>
        <v>0.48079099990469193</v>
      </c>
      <c r="BP5">
        <f t="shared" si="69"/>
        <v>0.48728111240588329</v>
      </c>
      <c r="BQ5">
        <f t="shared" si="70"/>
        <v>0.49369009850080975</v>
      </c>
      <c r="BR5">
        <f t="shared" si="71"/>
        <v>0.50001897226954961</v>
      </c>
      <c r="BS5">
        <f t="shared" si="72"/>
        <v>0.5062687351161802</v>
      </c>
      <c r="BT5">
        <f t="shared" si="73"/>
        <v>0.51244037592722791</v>
      </c>
      <c r="BU5">
        <f t="shared" si="74"/>
        <v>0.51853487122813757</v>
      </c>
      <c r="BV5">
        <f t="shared" si="75"/>
        <v>0.52455318533778583</v>
      </c>
      <c r="BW5">
        <f t="shared" si="76"/>
        <v>0.53049627052106352</v>
      </c>
      <c r="BX5">
        <f t="shared" si="77"/>
        <v>0.53636506713955023</v>
      </c>
      <c r="BY5">
        <f t="shared" si="78"/>
        <v>0.54216050380030589</v>
      </c>
      <c r="BZ5">
        <f t="shared" si="79"/>
        <v>0.54788349750280207</v>
      </c>
      <c r="CA5">
        <f t="shared" si="80"/>
        <v>0.55353495378401707</v>
      </c>
      <c r="CB5">
        <f t="shared" si="81"/>
        <v>0.55911576686171682</v>
      </c>
      <c r="CC5">
        <f t="shared" si="82"/>
        <v>0.56462681977594531</v>
      </c>
      <c r="CD5">
        <f t="shared" si="83"/>
        <v>0.57006898452874599</v>
      </c>
      <c r="CE5">
        <f t="shared" si="84"/>
        <v>0.57544312222213667</v>
      </c>
      <c r="CF5">
        <f t="shared" si="85"/>
        <v>0.58075008319435995</v>
      </c>
      <c r="CG5">
        <f t="shared" si="86"/>
        <v>0.58599070715443047</v>
      </c>
      <c r="CH5">
        <f t="shared" si="87"/>
        <v>0.59116582331500012</v>
      </c>
      <c r="CI5">
        <f t="shared" si="88"/>
        <v>0.59627625052356259</v>
      </c>
      <c r="CJ5">
        <f t="shared" si="89"/>
        <v>0.6013227973920181</v>
      </c>
      <c r="CK5">
        <f t="shared" si="90"/>
        <v>0.60630626242461783</v>
      </c>
      <c r="CL5">
        <f t="shared" si="91"/>
        <v>0.61122743414431013</v>
      </c>
      <c r="CM5">
        <f t="shared" si="92"/>
        <v>0.61608709121750627</v>
      </c>
      <c r="CN5">
        <f t="shared" si="93"/>
        <v>0.62088600257728743</v>
      </c>
      <c r="CO5">
        <f t="shared" si="94"/>
        <v>0.62562492754507137</v>
      </c>
      <c r="CP5">
        <f t="shared" si="95"/>
        <v>0.63030461595075793</v>
      </c>
      <c r="CQ5">
        <f t="shared" si="96"/>
        <v>0.63492580825137346</v>
      </c>
      <c r="CR5">
        <f t="shared" si="97"/>
        <v>0.63948923564823124</v>
      </c>
      <c r="CS5">
        <f t="shared" si="98"/>
        <v>0.64399562020262835</v>
      </c>
      <c r="CT5">
        <f t="shared" si="99"/>
        <v>0.64844567495009553</v>
      </c>
      <c r="CU5">
        <f t="shared" si="100"/>
        <v>0.65284010401321935</v>
      </c>
      <c r="CV5">
        <f t="shared" si="101"/>
        <v>0.65717960271305409</v>
      </c>
      <c r="CW5">
        <f t="shared" si="102"/>
        <v>0.66146485767914087</v>
      </c>
      <c r="CX5">
        <f t="shared" si="103"/>
        <v>0.66569654695815161</v>
      </c>
      <c r="CY5">
        <f t="shared" si="104"/>
        <v>0.66987534012117467</v>
      </c>
      <c r="CZ5">
        <f t="shared" si="105"/>
        <v>0.67400189836965996</v>
      </c>
      <c r="DA5">
        <f t="shared" si="106"/>
        <v>0.67807687464003918</v>
      </c>
      <c r="DB5">
        <f t="shared" si="107"/>
        <v>0.68210091370703874</v>
      </c>
      <c r="DC5">
        <f t="shared" si="108"/>
        <v>0.68607465228570075</v>
      </c>
      <c r="DD5">
        <f t="shared" si="109"/>
        <v>0.68999871913212951</v>
      </c>
      <c r="DE5">
        <f t="shared" si="110"/>
        <v>0.6938737351429779</v>
      </c>
      <c r="DF5">
        <f t="shared" si="111"/>
        <v>0.69770031345369066</v>
      </c>
      <c r="DG5">
        <f t="shared" si="112"/>
        <v>0.70147905953551948</v>
      </c>
      <c r="DH5">
        <f t="shared" si="113"/>
        <v>0.70521057129132547</v>
      </c>
      <c r="DI5">
        <f t="shared" si="114"/>
        <v>0.70889543915018394</v>
      </c>
      <c r="DJ5">
        <f t="shared" si="115"/>
        <v>0.71253424616080663</v>
      </c>
      <c r="DK5">
        <f t="shared" si="116"/>
        <v>0.71612756808379652</v>
      </c>
      <c r="DL5">
        <f t="shared" si="117"/>
        <v>0.71967597348274903</v>
      </c>
      <c r="DM5">
        <f t="shared" si="118"/>
        <v>0.72318002381421465</v>
      </c>
      <c r="DN5">
        <f t="shared" si="119"/>
        <v>0.72664027351653693</v>
      </c>
      <c r="DO5">
        <f t="shared" si="120"/>
        <v>0.73005727009758026</v>
      </c>
      <c r="DP5">
        <f t="shared" si="121"/>
        <v>0.73343155422136053</v>
      </c>
      <c r="DQ5">
        <f t="shared" si="122"/>
        <v>0.73676365979359348</v>
      </c>
      <c r="DR5">
        <f t="shared" si="123"/>
        <v>0.74005411404617361</v>
      </c>
      <c r="DS5">
        <f t="shared" si="124"/>
        <v>0.74330343762059647</v>
      </c>
      <c r="DT5">
        <f t="shared" si="125"/>
        <v>0.74651214465033899</v>
      </c>
      <c r="DU5">
        <f t="shared" si="126"/>
        <v>0.74968074284220976</v>
      </c>
      <c r="DV5">
        <f t="shared" si="127"/>
        <v>0.75280973355668213</v>
      </c>
      <c r="DW5">
        <f t="shared" si="128"/>
        <v>0.75589961188722365</v>
      </c>
      <c r="DX5">
        <f t="shared" si="129"/>
        <v>0.75895086673863332</v>
      </c>
      <c r="DY5">
        <f t="shared" si="130"/>
        <v>0.76196398090440043</v>
      </c>
      <c r="DZ5">
        <f t="shared" si="131"/>
        <v>0.76493943114309537</v>
      </c>
      <c r="EA5">
        <f t="shared" si="132"/>
        <v>0.76787768825380665</v>
      </c>
      <c r="EB5">
        <f t="shared" si="133"/>
        <v>0.77077921715063402</v>
      </c>
      <c r="EC5">
        <f t="shared" si="134"/>
        <v>0.77364447693625105</v>
      </c>
      <c r="ED5">
        <f t="shared" si="135"/>
        <v>0.77647392097454793</v>
      </c>
      <c r="EE5">
        <f t="shared" si="136"/>
        <v>0.77926799696236604</v>
      </c>
      <c r="EF5">
        <f t="shared" si="137"/>
        <v>0.78202714700033649</v>
      </c>
      <c r="EG5">
        <f t="shared" si="138"/>
        <v>0.78475180766283226</v>
      </c>
      <c r="EH5">
        <f t="shared" si="139"/>
        <v>0.78744241006704685</v>
      </c>
      <c r="EI5">
        <f t="shared" si="140"/>
        <v>0.79009937994120871</v>
      </c>
      <c r="EJ5">
        <f t="shared" si="141"/>
        <v>0.79272313769194358</v>
      </c>
      <c r="EK5">
        <f t="shared" si="142"/>
        <v>0.79531409847079426</v>
      </c>
      <c r="EL5">
        <f t="shared" si="143"/>
        <v>0.79787267223990932</v>
      </c>
      <c r="EM5">
        <f t="shared" si="144"/>
        <v>0.8003992638369104</v>
      </c>
      <c r="EN5">
        <f t="shared" si="145"/>
        <v>0.802894273038949</v>
      </c>
      <c r="EO5">
        <f t="shared" si="146"/>
        <v>0.8053580946259622</v>
      </c>
      <c r="EP5">
        <f t="shared" si="147"/>
        <v>0.80779111844313767</v>
      </c>
      <c r="EQ5">
        <f t="shared" si="148"/>
        <v>0.81019372946259849</v>
      </c>
      <c r="ER5">
        <f t="shared" si="149"/>
        <v>0.81256630784431605</v>
      </c>
      <c r="ES5">
        <f t="shared" si="150"/>
        <v>0.81490922899626206</v>
      </c>
      <c r="ET5">
        <f t="shared" si="151"/>
        <v>0.8172228636338088</v>
      </c>
      <c r="EU5">
        <f t="shared" si="152"/>
        <v>0.81950757783838624</v>
      </c>
      <c r="EV5">
        <f t="shared" si="153"/>
        <v>0.8217637331154064</v>
      </c>
      <c r="EW5">
        <f t="shared" si="154"/>
        <v>0.82399168645146381</v>
      </c>
      <c r="EX5">
        <f t="shared" si="155"/>
        <v>0.82619179037082047</v>
      </c>
      <c r="EY5">
        <f t="shared" si="156"/>
        <v>0.82836439299118525</v>
      </c>
      <c r="EZ5">
        <f t="shared" si="157"/>
        <v>0.83050983807879541</v>
      </c>
      <c r="FA5">
        <f t="shared" si="158"/>
        <v>0.83262846510281052</v>
      </c>
      <c r="FB5">
        <f t="shared" si="159"/>
        <v>0.83472060928902536</v>
      </c>
      <c r="FC5">
        <f t="shared" si="160"/>
        <v>0.83678660167291252</v>
      </c>
      <c r="FD5">
        <f t="shared" si="161"/>
        <v>0.83882676915200116</v>
      </c>
      <c r="FE5">
        <f t="shared" si="162"/>
        <v>0.84084143453760118</v>
      </c>
      <c r="FF5">
        <f t="shared" si="163"/>
        <v>0.84283091660588116</v>
      </c>
      <c r="FG5">
        <f t="shared" si="164"/>
        <v>0.84479553014830766</v>
      </c>
      <c r="FH5">
        <f t="shared" si="165"/>
        <v>0.84673558602145382</v>
      </c>
      <c r="FI5">
        <f t="shared" si="166"/>
        <v>0.8486513911961856</v>
      </c>
      <c r="FJ5">
        <f t="shared" si="167"/>
        <v>0.85054324880623333</v>
      </c>
      <c r="FK5">
        <f t="shared" si="168"/>
        <v>0.85241145819615538</v>
      </c>
      <c r="FL5">
        <f t="shared" si="169"/>
        <v>0.85425631496870347</v>
      </c>
      <c r="FM5">
        <f t="shared" si="170"/>
        <v>0.8560781110315947</v>
      </c>
      <c r="FN5">
        <f t="shared" si="171"/>
        <v>0.85787713464369975</v>
      </c>
      <c r="FO5">
        <f t="shared" si="172"/>
        <v>0.85965367046065355</v>
      </c>
      <c r="FP5">
        <f t="shared" si="173"/>
        <v>0.86140799957989533</v>
      </c>
      <c r="FQ5">
        <f t="shared" si="174"/>
        <v>0.86314039958514666</v>
      </c>
      <c r="FR5">
        <f t="shared" si="175"/>
        <v>0.8648511445903323</v>
      </c>
      <c r="FS5">
        <f t="shared" si="176"/>
        <v>0.86654050528295312</v>
      </c>
      <c r="FT5">
        <f t="shared" si="177"/>
        <v>0.86820874896691624</v>
      </c>
      <c r="FU5">
        <f t="shared" si="178"/>
        <v>0.86985613960482977</v>
      </c>
      <c r="FV5">
        <f t="shared" si="179"/>
        <v>0.87148293785976938</v>
      </c>
      <c r="FW5">
        <f t="shared" si="180"/>
        <v>0.87308940113652223</v>
      </c>
      <c r="FX5">
        <f t="shared" si="181"/>
        <v>0.87467578362231568</v>
      </c>
      <c r="FY5">
        <f t="shared" si="182"/>
        <v>0.87624233632703674</v>
      </c>
      <c r="FZ5">
        <f t="shared" si="183"/>
        <v>0.87778930712294878</v>
      </c>
      <c r="GA5">
        <f t="shared" si="184"/>
        <v>0.87931694078391187</v>
      </c>
      <c r="GB5">
        <f t="shared" si="185"/>
        <v>0.88082547902411301</v>
      </c>
      <c r="GC5">
        <f t="shared" si="186"/>
        <v>0.88231516053631165</v>
      </c>
      <c r="GD5">
        <f t="shared" si="187"/>
        <v>0.8837862210296078</v>
      </c>
      <c r="GE5">
        <f t="shared" si="188"/>
        <v>0.88523889326673766</v>
      </c>
      <c r="GF5">
        <f t="shared" si="189"/>
        <v>0.88667340710090348</v>
      </c>
      <c r="GG5">
        <f t="shared" si="190"/>
        <v>0.88808998951214213</v>
      </c>
      <c r="GH5">
        <f t="shared" si="191"/>
        <v>0.8894888646432404</v>
      </c>
      <c r="GI5">
        <f t="shared" si="192"/>
        <v>0.89087025383519991</v>
      </c>
      <c r="GJ5">
        <f t="shared" si="193"/>
        <v>0.89223437566225994</v>
      </c>
      <c r="GK5">
        <f t="shared" si="194"/>
        <v>0.8935814459664817</v>
      </c>
      <c r="GL5">
        <f t="shared" si="195"/>
        <v>0.89491167789190063</v>
      </c>
      <c r="GM5">
        <f t="shared" si="196"/>
        <v>0.8962252819182519</v>
      </c>
      <c r="GN5">
        <f t="shared" si="197"/>
        <v>0.89752246589427376</v>
      </c>
      <c r="GO5">
        <f t="shared" si="198"/>
        <v>0.89880343507059535</v>
      </c>
      <c r="GP5">
        <f t="shared" si="199"/>
        <v>0.9000683921322129</v>
      </c>
      <c r="GQ5">
        <f t="shared" si="200"/>
        <v>0.9013175372305603</v>
      </c>
      <c r="GR5">
        <f t="shared" si="201"/>
        <v>0.90255106801517826</v>
      </c>
      <c r="GS5">
        <f t="shared" si="202"/>
        <v>0.90376917966498849</v>
      </c>
      <c r="GT5">
        <f t="shared" si="203"/>
        <v>0.90497206491917614</v>
      </c>
      <c r="GU5">
        <f t="shared" si="204"/>
        <v>0.90615991410768648</v>
      </c>
      <c r="GV5">
        <f t="shared" si="205"/>
        <v>0.9073329151813404</v>
      </c>
      <c r="GW5">
        <f t="shared" si="206"/>
        <v>0.90849125374157369</v>
      </c>
      <c r="GX5">
        <f t="shared" si="207"/>
        <v>0.90963511306980405</v>
      </c>
      <c r="GY5">
        <f t="shared" si="208"/>
        <v>0.91076467415643148</v>
      </c>
      <c r="GZ5">
        <f t="shared" si="209"/>
        <v>0.91188011572947603</v>
      </c>
      <c r="HA5">
        <f t="shared" si="210"/>
        <v>0.91298161428285762</v>
      </c>
      <c r="HB5">
        <f t="shared" si="211"/>
        <v>0.91406934410432195</v>
      </c>
      <c r="HC5">
        <f t="shared" si="212"/>
        <v>0.91514347730301793</v>
      </c>
      <c r="HD5">
        <f t="shared" si="213"/>
        <v>0.91620418383673019</v>
      </c>
      <c r="HE5">
        <f t="shared" si="214"/>
        <v>0.9172516315387711</v>
      </c>
      <c r="HF5">
        <f t="shared" si="215"/>
        <v>0.91828598614453649</v>
      </c>
      <c r="HG5">
        <f t="shared" si="216"/>
        <v>0.91930741131772975</v>
      </c>
      <c r="HH5">
        <f t="shared" si="217"/>
        <v>0.92031606867625815</v>
      </c>
      <c r="HI5">
        <f t="shared" si="218"/>
        <v>0.92131211781780498</v>
      </c>
      <c r="HJ5">
        <f t="shared" si="219"/>
        <v>0.92229571634508245</v>
      </c>
      <c r="HK5">
        <f t="shared" si="220"/>
        <v>0.92326701989076887</v>
      </c>
      <c r="HL5">
        <f t="shared" si="221"/>
        <v>0.92422618214213426</v>
      </c>
      <c r="HM5">
        <f t="shared" si="222"/>
        <v>0.92517335486535757</v>
      </c>
      <c r="HN5">
        <f t="shared" si="223"/>
        <v>0.9261086879295406</v>
      </c>
      <c r="HO5">
        <f t="shared" si="224"/>
        <v>0.92703232933042135</v>
      </c>
      <c r="HP5">
        <f t="shared" si="225"/>
        <v>0.92794442521379106</v>
      </c>
      <c r="HQ5">
        <f t="shared" si="226"/>
        <v>0.92884511989861862</v>
      </c>
      <c r="HR5">
        <f t="shared" si="227"/>
        <v>0.92973455589988585</v>
      </c>
      <c r="HS5">
        <f t="shared" si="228"/>
        <v>0.93061287395113723</v>
      </c>
      <c r="HT5">
        <f t="shared" si="229"/>
        <v>0.93148021302674799</v>
      </c>
      <c r="HU5">
        <f t="shared" si="230"/>
        <v>0.93233671036391363</v>
      </c>
      <c r="HV5">
        <f t="shared" si="231"/>
        <v>0.93318250148436477</v>
      </c>
      <c r="HW5">
        <f t="shared" si="232"/>
        <v>0.9340177202158102</v>
      </c>
      <c r="HX5">
        <f t="shared" si="233"/>
        <v>0.93484249871311254</v>
      </c>
      <c r="HY5">
        <f t="shared" si="234"/>
        <v>0.93565696747919858</v>
      </c>
      <c r="HZ5">
        <f t="shared" si="235"/>
        <v>0.93646125538570857</v>
      </c>
      <c r="IA5">
        <f t="shared" si="236"/>
        <v>0.93725548969338723</v>
      </c>
      <c r="IB5">
        <f t="shared" si="237"/>
        <v>0.93803979607221988</v>
      </c>
      <c r="IC5">
        <f t="shared" si="238"/>
        <v>0.93881429862131716</v>
      </c>
      <c r="ID5">
        <f t="shared" si="239"/>
        <v>0.9395791198885507</v>
      </c>
      <c r="IE5">
        <f t="shared" si="240"/>
        <v>0.94033438088994381</v>
      </c>
      <c r="IF5">
        <f t="shared" si="241"/>
        <v>0.94108020112881952</v>
      </c>
      <c r="IG5">
        <f t="shared" si="242"/>
        <v>0.94181669861470929</v>
      </c>
      <c r="IH5">
        <f t="shared" si="243"/>
        <v>0.94254398988202548</v>
      </c>
      <c r="II5">
        <f t="shared" si="244"/>
        <v>0.9432621900085002</v>
      </c>
      <c r="IJ5">
        <f t="shared" si="245"/>
        <v>0.9439714126333939</v>
      </c>
      <c r="IK5">
        <f t="shared" si="246"/>
        <v>0.94467176997547653</v>
      </c>
      <c r="IL5">
        <f t="shared" si="247"/>
        <v>0.94536337285078309</v>
      </c>
      <c r="IM5">
        <f t="shared" si="248"/>
        <v>0.94604633069014832</v>
      </c>
      <c r="IN5">
        <f t="shared" si="249"/>
        <v>0.94672075155652147</v>
      </c>
      <c r="IO5">
        <f t="shared" si="250"/>
        <v>0.94738674216206498</v>
      </c>
      <c r="IP5">
        <f t="shared" si="251"/>
        <v>0.94804440788503919</v>
      </c>
      <c r="IQ5">
        <f t="shared" si="252"/>
        <v>0.94869385278647622</v>
      </c>
      <c r="IR5">
        <f t="shared" si="253"/>
        <v>0.94933517962664526</v>
      </c>
      <c r="IS5">
        <f t="shared" si="254"/>
        <v>0.94996848988131222</v>
      </c>
      <c r="IT5">
        <f t="shared" si="255"/>
        <v>0.95059388375779585</v>
      </c>
      <c r="IU5">
        <f t="shared" si="256"/>
        <v>0.95121146021082337</v>
      </c>
      <c r="IV5">
        <f t="shared" si="257"/>
        <v>0.95182131695818806</v>
      </c>
    </row>
    <row r="6" spans="1:256" x14ac:dyDescent="0.2">
      <c r="A6" t="s">
        <v>476</v>
      </c>
      <c r="B6">
        <f>$B$108</f>
        <v>0.41950977325439454</v>
      </c>
      <c r="C6">
        <f t="shared" si="4"/>
        <v>0.4145477094284547</v>
      </c>
      <c r="D6">
        <f t="shared" si="5"/>
        <v>0.41059425603647376</v>
      </c>
      <c r="E6">
        <f t="shared" si="6"/>
        <v>0.40675951825540707</v>
      </c>
      <c r="F6">
        <f t="shared" si="7"/>
        <v>0.40304336839996746</v>
      </c>
      <c r="G6">
        <f t="shared" si="8"/>
        <v>0.39944565474448668</v>
      </c>
      <c r="H6">
        <f t="shared" si="9"/>
        <v>0.39596620247333159</v>
      </c>
      <c r="I6">
        <f t="shared" si="10"/>
        <v>0.39260481463381081</v>
      </c>
      <c r="J6">
        <f t="shared" si="11"/>
        <v>0.38936127309110996</v>
      </c>
      <c r="K6">
        <f t="shared" si="12"/>
        <v>0.38623533948499311</v>
      </c>
      <c r="L6">
        <f t="shared" si="13"/>
        <v>0.38311873192773088</v>
      </c>
      <c r="M6">
        <f t="shared" si="14"/>
        <v>0.38001154327223663</v>
      </c>
      <c r="N6">
        <f t="shared" si="15"/>
        <v>0.37691387615075389</v>
      </c>
      <c r="O6">
        <f t="shared" si="16"/>
        <v>0.37382584244246281</v>
      </c>
      <c r="P6">
        <f t="shared" si="17"/>
        <v>0.37074756272769005</v>
      </c>
      <c r="Q6">
        <f t="shared" si="18"/>
        <v>0.36767916573249221</v>
      </c>
      <c r="R6">
        <f t="shared" si="19"/>
        <v>0.36462078776705459</v>
      </c>
      <c r="S6">
        <f t="shared" si="20"/>
        <v>0.36308211640211341</v>
      </c>
      <c r="T6">
        <f t="shared" si="21"/>
        <v>0.36152331084374739</v>
      </c>
      <c r="U6">
        <f t="shared" si="22"/>
        <v>0.35994438596373712</v>
      </c>
      <c r="V6">
        <f t="shared" si="23"/>
        <v>0.358345389217822</v>
      </c>
      <c r="W6">
        <f t="shared" si="24"/>
        <v>0.35672639990303251</v>
      </c>
      <c r="X6">
        <f t="shared" si="25"/>
        <v>0.35508752832694013</v>
      </c>
      <c r="Y6">
        <f t="shared" si="26"/>
        <v>0.35342891490031508</v>
      </c>
      <c r="Z6">
        <f t="shared" si="27"/>
        <v>0.35175072916381844</v>
      </c>
      <c r="AA6">
        <f t="shared" si="28"/>
        <v>0.35275249246782658</v>
      </c>
      <c r="AB6">
        <f t="shared" si="29"/>
        <v>0.3537105988613688</v>
      </c>
      <c r="AC6">
        <f t="shared" si="30"/>
        <v>0.35462557858466703</v>
      </c>
      <c r="AD6">
        <f t="shared" si="31"/>
        <v>0.3554979183718488</v>
      </c>
      <c r="AE6">
        <f t="shared" si="32"/>
        <v>0.3563280653036357</v>
      </c>
      <c r="AF6">
        <f t="shared" si="33"/>
        <v>0.35711643043064922</v>
      </c>
      <c r="AG6">
        <f t="shared" si="34"/>
        <v>0.35786339218002861</v>
      </c>
      <c r="AH6">
        <f t="shared" si="35"/>
        <v>0.35856929955719541</v>
      </c>
      <c r="AI6">
        <f t="shared" si="36"/>
        <v>0.36249018476086181</v>
      </c>
      <c r="AJ6">
        <f t="shared" si="37"/>
        <v>0.36642734760903301</v>
      </c>
      <c r="AK6">
        <f t="shared" si="38"/>
        <v>0.37038379033278968</v>
      </c>
      <c r="AL6">
        <f t="shared" si="39"/>
        <v>0.37436265383098916</v>
      </c>
      <c r="AM6">
        <f t="shared" si="40"/>
        <v>0.37836722717925081</v>
      </c>
      <c r="AN6">
        <f t="shared" si="41"/>
        <v>0.3824009581687684</v>
      </c>
      <c r="AO6">
        <f t="shared" si="42"/>
        <v>0.38646746496642476</v>
      </c>
      <c r="AP6">
        <f t="shared" si="43"/>
        <v>0.39057054900260069</v>
      </c>
      <c r="AQ6">
        <f t="shared" si="44"/>
        <v>0.38800310457357312</v>
      </c>
      <c r="AR6">
        <f t="shared" si="45"/>
        <v>0.38552806087711883</v>
      </c>
      <c r="AS6">
        <f t="shared" si="46"/>
        <v>0.38314608610195883</v>
      </c>
      <c r="AT6">
        <f t="shared" si="47"/>
        <v>0.38085798344057098</v>
      </c>
      <c r="AU6">
        <f t="shared" si="48"/>
        <v>0.37866468759291155</v>
      </c>
      <c r="AV6">
        <f t="shared" si="49"/>
        <v>0.37656726201243756</v>
      </c>
      <c r="AW6">
        <f t="shared" si="50"/>
        <v>0.37456689686158512</v>
      </c>
      <c r="AX6">
        <f t="shared" si="51"/>
        <v>0.37266490765333249</v>
      </c>
      <c r="AY6">
        <f t="shared" si="52"/>
        <v>0.37243319415056481</v>
      </c>
      <c r="AZ6">
        <f t="shared" si="53"/>
        <v>0.37232258764826764</v>
      </c>
      <c r="BA6">
        <f t="shared" si="54"/>
        <v>0.37233805125118535</v>
      </c>
      <c r="BB6">
        <f t="shared" si="55"/>
        <v>0.37248494161281775</v>
      </c>
      <c r="BC6">
        <f t="shared" si="56"/>
        <v>0.37276904696097457</v>
      </c>
      <c r="BD6">
        <f t="shared" si="57"/>
        <v>0.37319662864429448</v>
      </c>
      <c r="BE6">
        <f t="shared" si="58"/>
        <v>0.37377446680917076</v>
      </c>
      <c r="BF6">
        <f t="shared" si="59"/>
        <v>0.37450991087293123</v>
      </c>
      <c r="BG6">
        <f t="shared" si="60"/>
        <v>0.37541093553305904</v>
      </c>
      <c r="BH6">
        <f t="shared" si="61"/>
        <v>0.37648620314493531</v>
      </c>
      <c r="BI6">
        <f t="shared" si="62"/>
        <v>0.37774429478260385</v>
      </c>
      <c r="BJ6">
        <f t="shared" si="63"/>
        <v>0.37919345890987122</v>
      </c>
      <c r="BK6">
        <f t="shared" si="64"/>
        <v>0.38084262650918821</v>
      </c>
      <c r="BL6">
        <f t="shared" si="65"/>
        <v>0.38269320673618445</v>
      </c>
      <c r="BM6">
        <f t="shared" si="66"/>
        <v>0.38474634317460676</v>
      </c>
      <c r="BN6">
        <f t="shared" si="67"/>
        <v>0.3870031985108161</v>
      </c>
      <c r="BO6">
        <f t="shared" si="68"/>
        <v>0.38946495719475832</v>
      </c>
      <c r="BP6">
        <f t="shared" si="69"/>
        <v>0.39213282793226595</v>
      </c>
      <c r="BQ6">
        <f t="shared" si="70"/>
        <v>0.39500804601348433</v>
      </c>
      <c r="BR6">
        <f t="shared" si="71"/>
        <v>0.39809187548213759</v>
      </c>
      <c r="BS6">
        <f t="shared" si="72"/>
        <v>0.40138561115038074</v>
      </c>
      <c r="BT6">
        <f t="shared" si="73"/>
        <v>0.4048905804640861</v>
      </c>
      <c r="BU6">
        <f t="shared" si="74"/>
        <v>0.4086081452235657</v>
      </c>
      <c r="BV6">
        <f t="shared" si="75"/>
        <v>0.41253970316491068</v>
      </c>
      <c r="BW6">
        <f t="shared" si="76"/>
        <v>0.41668668940732001</v>
      </c>
      <c r="BX6">
        <f t="shared" si="77"/>
        <v>0.42105057777198007</v>
      </c>
      <c r="BY6">
        <f t="shared" si="78"/>
        <v>0.42563287566973651</v>
      </c>
      <c r="BZ6">
        <f t="shared" si="79"/>
        <v>0.43043511714968591</v>
      </c>
      <c r="CA6">
        <f t="shared" si="80"/>
        <v>0.43545886390186189</v>
      </c>
      <c r="CB6">
        <f t="shared" si="81"/>
        <v>0.44070570617474136</v>
      </c>
      <c r="CC6">
        <f t="shared" si="82"/>
        <v>0.44617726361282428</v>
      </c>
      <c r="CD6">
        <f t="shared" si="83"/>
        <v>0.45187518601946552</v>
      </c>
      <c r="CE6">
        <f t="shared" si="84"/>
        <v>0.45780115405005628</v>
      </c>
      <c r="CF6">
        <f t="shared" si="85"/>
        <v>0.46395687984055833</v>
      </c>
      <c r="CG6">
        <f t="shared" si="86"/>
        <v>0.47034410757629191</v>
      </c>
      <c r="CH6">
        <f t="shared" si="87"/>
        <v>0.47696461400576012</v>
      </c>
      <c r="CI6">
        <f t="shared" si="88"/>
        <v>0.48350255633068812</v>
      </c>
      <c r="CJ6">
        <f t="shared" si="89"/>
        <v>0.4899587743765545</v>
      </c>
      <c r="CK6">
        <f t="shared" si="90"/>
        <v>0.49633428969684756</v>
      </c>
      <c r="CL6">
        <f t="shared" si="91"/>
        <v>0.50263011107563693</v>
      </c>
      <c r="CM6">
        <f t="shared" si="92"/>
        <v>0.50884723468719151</v>
      </c>
      <c r="CN6">
        <f t="shared" si="93"/>
        <v>0.51498664425360163</v>
      </c>
      <c r="CO6">
        <f t="shared" si="94"/>
        <v>0.52104931120043163</v>
      </c>
      <c r="CP6">
        <f t="shared" si="95"/>
        <v>0.52703619481042618</v>
      </c>
      <c r="CQ6">
        <f t="shared" si="96"/>
        <v>0.53294824237529581</v>
      </c>
      <c r="CR6">
        <f t="shared" si="97"/>
        <v>0.53878638934560463</v>
      </c>
      <c r="CS6">
        <f t="shared" si="98"/>
        <v>0.54455155947878453</v>
      </c>
      <c r="CT6">
        <f t="shared" si="99"/>
        <v>0.55024466498529967</v>
      </c>
      <c r="CU6">
        <f t="shared" si="100"/>
        <v>0.55586660667298338</v>
      </c>
      <c r="CV6">
        <f t="shared" si="101"/>
        <v>0.56141827408957112</v>
      </c>
      <c r="CW6">
        <f t="shared" si="102"/>
        <v>0.56690054566345149</v>
      </c>
      <c r="CX6">
        <f t="shared" si="103"/>
        <v>0.57231428884265834</v>
      </c>
      <c r="CY6">
        <f t="shared" si="104"/>
        <v>0.57766036023212508</v>
      </c>
      <c r="CZ6">
        <f t="shared" si="105"/>
        <v>0.58293960572922354</v>
      </c>
      <c r="DA6">
        <f t="shared" si="106"/>
        <v>0.5881528606576083</v>
      </c>
      <c r="DB6">
        <f t="shared" si="107"/>
        <v>0.5933009498993882</v>
      </c>
      <c r="DC6">
        <f t="shared" si="108"/>
        <v>0.59838468802564582</v>
      </c>
      <c r="DD6">
        <f t="shared" si="109"/>
        <v>0.60340487942532528</v>
      </c>
      <c r="DE6">
        <f t="shared" si="110"/>
        <v>0.60836231843250876</v>
      </c>
      <c r="DF6">
        <f t="shared" si="111"/>
        <v>0.61325778945210241</v>
      </c>
      <c r="DG6">
        <f t="shared" si="112"/>
        <v>0.61809206708395115</v>
      </c>
      <c r="DH6">
        <f t="shared" si="113"/>
        <v>0.62286591624540177</v>
      </c>
      <c r="DI6">
        <f t="shared" si="114"/>
        <v>0.62758009229233425</v>
      </c>
      <c r="DJ6">
        <f t="shared" si="115"/>
        <v>0.63223534113868007</v>
      </c>
      <c r="DK6">
        <f t="shared" si="116"/>
        <v>0.63683239937444658</v>
      </c>
      <c r="DL6">
        <f t="shared" si="117"/>
        <v>0.641371994382266</v>
      </c>
      <c r="DM6">
        <f t="shared" si="118"/>
        <v>0.64585484445248764</v>
      </c>
      <c r="DN6">
        <f t="shared" si="119"/>
        <v>0.65028165889683154</v>
      </c>
      <c r="DO6">
        <f t="shared" si="120"/>
        <v>0.6546531381606211</v>
      </c>
      <c r="DP6">
        <f t="shared" si="121"/>
        <v>0.65896997393361334</v>
      </c>
      <c r="DQ6">
        <f t="shared" si="122"/>
        <v>0.66323284925944315</v>
      </c>
      <c r="DR6">
        <f t="shared" si="123"/>
        <v>0.66744243864370012</v>
      </c>
      <c r="DS6">
        <f t="shared" si="124"/>
        <v>0.67159940816065389</v>
      </c>
      <c r="DT6">
        <f t="shared" si="125"/>
        <v>0.67570441555864569</v>
      </c>
      <c r="DU6">
        <f t="shared" si="126"/>
        <v>0.67975811036416267</v>
      </c>
      <c r="DV6">
        <f t="shared" si="127"/>
        <v>0.68376113398461069</v>
      </c>
      <c r="DW6">
        <f t="shared" si="128"/>
        <v>0.68771411980980302</v>
      </c>
      <c r="DX6">
        <f t="shared" si="129"/>
        <v>0.69161769331218048</v>
      </c>
      <c r="DY6">
        <f t="shared" si="130"/>
        <v>0.69547247214577823</v>
      </c>
      <c r="DZ6">
        <f t="shared" si="131"/>
        <v>0.69927906624395597</v>
      </c>
      <c r="EA6">
        <f t="shared" si="132"/>
        <v>0.70303807791590656</v>
      </c>
      <c r="EB6">
        <f t="shared" si="133"/>
        <v>0.70675010194195775</v>
      </c>
      <c r="EC6">
        <f t="shared" si="134"/>
        <v>0.7104157256676833</v>
      </c>
      <c r="ED6">
        <f t="shared" si="135"/>
        <v>0.71403552909683721</v>
      </c>
      <c r="EE6">
        <f t="shared" si="136"/>
        <v>0.71761008498312673</v>
      </c>
      <c r="EF6">
        <f t="shared" si="137"/>
        <v>0.7211399589208376</v>
      </c>
      <c r="EG6">
        <f t="shared" si="138"/>
        <v>0.72462570943432714</v>
      </c>
      <c r="EH6">
        <f t="shared" si="139"/>
        <v>0.72806788806639799</v>
      </c>
      <c r="EI6">
        <f t="shared" si="140"/>
        <v>0.73146703946556801</v>
      </c>
      <c r="EJ6">
        <f t="shared" si="141"/>
        <v>0.7348237014722484</v>
      </c>
      <c r="EK6">
        <f t="shared" si="142"/>
        <v>0.73813840520384533</v>
      </c>
      <c r="EL6">
        <f t="shared" si="143"/>
        <v>0.74141167513879724</v>
      </c>
      <c r="EM6">
        <f t="shared" si="144"/>
        <v>0.7446440291995623</v>
      </c>
      <c r="EN6">
        <f t="shared" si="145"/>
        <v>0.74783597883456776</v>
      </c>
      <c r="EO6">
        <f t="shared" si="146"/>
        <v>0.75098802909913565</v>
      </c>
      <c r="EP6">
        <f t="shared" si="147"/>
        <v>0.75410067873539643</v>
      </c>
      <c r="EQ6">
        <f t="shared" si="148"/>
        <v>0.75717442025120396</v>
      </c>
      <c r="ER6">
        <f t="shared" si="149"/>
        <v>0.76020973999806396</v>
      </c>
      <c r="ES6">
        <f t="shared" si="150"/>
        <v>0.76320711824808818</v>
      </c>
      <c r="ET6">
        <f t="shared" si="151"/>
        <v>0.76616702926998703</v>
      </c>
      <c r="EU6">
        <f t="shared" si="152"/>
        <v>0.76908994140411224</v>
      </c>
      <c r="EV6">
        <f t="shared" si="153"/>
        <v>0.77197631713656079</v>
      </c>
      <c r="EW6">
        <f t="shared" si="154"/>
        <v>0.7748266131723538</v>
      </c>
      <c r="EX6">
        <f t="shared" si="155"/>
        <v>0.77764128050769932</v>
      </c>
      <c r="EY6">
        <f t="shared" si="156"/>
        <v>0.78042076450135311</v>
      </c>
      <c r="EZ6">
        <f t="shared" si="157"/>
        <v>0.78316550494508619</v>
      </c>
      <c r="FA6">
        <f t="shared" si="158"/>
        <v>0.78587593613327256</v>
      </c>
      <c r="FB6">
        <f t="shared" si="159"/>
        <v>0.78855248693160662</v>
      </c>
      <c r="FC6">
        <f t="shared" si="160"/>
        <v>0.79119558084496155</v>
      </c>
      <c r="FD6">
        <f t="shared" si="161"/>
        <v>0.79380563608439958</v>
      </c>
      <c r="FE6">
        <f t="shared" si="162"/>
        <v>0.7963830656333446</v>
      </c>
      <c r="FF6">
        <f t="shared" si="163"/>
        <v>0.79892827731292781</v>
      </c>
      <c r="FG6">
        <f t="shared" si="164"/>
        <v>0.80144167384651621</v>
      </c>
      <c r="FH6">
        <f t="shared" si="165"/>
        <v>0.80392365292343471</v>
      </c>
      <c r="FI6">
        <f t="shared" si="166"/>
        <v>0.80637460726189181</v>
      </c>
      <c r="FJ6">
        <f t="shared" si="167"/>
        <v>0.80879492467111813</v>
      </c>
      <c r="FK6">
        <f t="shared" si="168"/>
        <v>0.8111849881127291</v>
      </c>
      <c r="FL6">
        <f t="shared" si="169"/>
        <v>0.81354517576132002</v>
      </c>
      <c r="FM6">
        <f t="shared" si="170"/>
        <v>0.81587586106430354</v>
      </c>
      <c r="FN6">
        <f t="shared" si="171"/>
        <v>0.81817741280099976</v>
      </c>
      <c r="FO6">
        <f t="shared" si="172"/>
        <v>0.82045019514098727</v>
      </c>
      <c r="FP6">
        <f t="shared" si="173"/>
        <v>0.82269456770172489</v>
      </c>
      <c r="FQ6">
        <f t="shared" si="174"/>
        <v>0.82491088560545334</v>
      </c>
      <c r="FR6">
        <f t="shared" si="175"/>
        <v>0.8270994995353852</v>
      </c>
      <c r="FS6">
        <f t="shared" si="176"/>
        <v>0.82926075579119285</v>
      </c>
      <c r="FT6">
        <f t="shared" si="177"/>
        <v>0.83139499634380298</v>
      </c>
      <c r="FU6">
        <f t="shared" si="178"/>
        <v>0.83350255888950542</v>
      </c>
      <c r="FV6">
        <f t="shared" si="179"/>
        <v>0.83558377690338659</v>
      </c>
      <c r="FW6">
        <f t="shared" si="180"/>
        <v>0.83763897969209422</v>
      </c>
      <c r="FX6">
        <f t="shared" si="181"/>
        <v>0.83966849244594299</v>
      </c>
      <c r="FY6">
        <f t="shared" si="182"/>
        <v>0.8416726362903687</v>
      </c>
      <c r="FZ6">
        <f t="shared" si="183"/>
        <v>0.84365172833673907</v>
      </c>
      <c r="GA6">
        <f t="shared" si="184"/>
        <v>0.84560608173252982</v>
      </c>
      <c r="GB6">
        <f t="shared" si="185"/>
        <v>0.84753600571087317</v>
      </c>
      <c r="GC6">
        <f t="shared" si="186"/>
        <v>0.84944180563948724</v>
      </c>
      <c r="GD6">
        <f t="shared" si="187"/>
        <v>0.8513237830689937</v>
      </c>
      <c r="GE6">
        <f t="shared" si="188"/>
        <v>0.85318223578063124</v>
      </c>
      <c r="GF6">
        <f t="shared" si="189"/>
        <v>0.85501745783337335</v>
      </c>
      <c r="GG6">
        <f t="shared" si="190"/>
        <v>0.85682973961045616</v>
      </c>
      <c r="GH6">
        <f t="shared" si="191"/>
        <v>0.85861936786532544</v>
      </c>
      <c r="GI6">
        <f t="shared" si="192"/>
        <v>0.86038662576700886</v>
      </c>
      <c r="GJ6">
        <f t="shared" si="193"/>
        <v>0.86213179294492126</v>
      </c>
      <c r="GK6">
        <f t="shared" si="194"/>
        <v>0.86385514553310971</v>
      </c>
      <c r="GL6">
        <f t="shared" si="195"/>
        <v>0.86555695621394579</v>
      </c>
      <c r="GM6">
        <f t="shared" si="196"/>
        <v>0.8672374942612715</v>
      </c>
      <c r="GN6">
        <f t="shared" si="197"/>
        <v>0.86889702558300563</v>
      </c>
      <c r="GO6">
        <f t="shared" si="198"/>
        <v>0.87053581276321801</v>
      </c>
      <c r="GP6">
        <f t="shared" si="199"/>
        <v>0.8721541151036778</v>
      </c>
      <c r="GQ6">
        <f t="shared" si="200"/>
        <v>0.8737521886648818</v>
      </c>
      <c r="GR6">
        <f t="shared" si="201"/>
        <v>0.87533028630657073</v>
      </c>
      <c r="GS6">
        <f t="shared" si="202"/>
        <v>0.87688865772773861</v>
      </c>
      <c r="GT6">
        <f t="shared" si="203"/>
        <v>0.87842754950614188</v>
      </c>
      <c r="GU6">
        <f t="shared" si="204"/>
        <v>0.87994720513731506</v>
      </c>
      <c r="GV6">
        <f t="shared" si="205"/>
        <v>0.88144786507309858</v>
      </c>
      <c r="GW6">
        <f t="shared" si="206"/>
        <v>0.88292976675968482</v>
      </c>
      <c r="GX6">
        <f t="shared" si="207"/>
        <v>0.88439314467518881</v>
      </c>
      <c r="GY6">
        <f t="shared" si="208"/>
        <v>0.88583823036674891</v>
      </c>
      <c r="GZ6">
        <f t="shared" si="209"/>
        <v>0.88726525248716459</v>
      </c>
      <c r="HA6">
        <f t="shared" si="210"/>
        <v>0.88867443683107505</v>
      </c>
      <c r="HB6">
        <f t="shared" si="211"/>
        <v>0.89006600637068667</v>
      </c>
      <c r="HC6">
        <f t="shared" si="212"/>
        <v>0.89144018129105307</v>
      </c>
      <c r="HD6">
        <f t="shared" si="213"/>
        <v>0.89279717902491496</v>
      </c>
      <c r="HE6">
        <f t="shared" si="214"/>
        <v>0.89413721428710347</v>
      </c>
      <c r="HF6">
        <f t="shared" si="215"/>
        <v>0.89546049910851466</v>
      </c>
      <c r="HG6">
        <f t="shared" si="216"/>
        <v>0.89676724286965825</v>
      </c>
      <c r="HH6">
        <f t="shared" si="217"/>
        <v>0.89805765233378754</v>
      </c>
      <c r="HI6">
        <f t="shared" si="218"/>
        <v>0.89933193167961523</v>
      </c>
      <c r="HJ6">
        <f t="shared" si="219"/>
        <v>0.90059028253362006</v>
      </c>
      <c r="HK6">
        <f t="shared" si="220"/>
        <v>0.90183290400194982</v>
      </c>
      <c r="HL6">
        <f t="shared" si="221"/>
        <v>0.9030599927019255</v>
      </c>
      <c r="HM6">
        <f t="shared" si="222"/>
        <v>0.90427174279315148</v>
      </c>
      <c r="HN6">
        <f t="shared" si="223"/>
        <v>0.90546834600823711</v>
      </c>
      <c r="HO6">
        <f t="shared" si="224"/>
        <v>0.90664999168313409</v>
      </c>
      <c r="HP6">
        <f t="shared" si="225"/>
        <v>0.90781686678709494</v>
      </c>
      <c r="HQ6">
        <f t="shared" si="226"/>
        <v>0.90896915595225625</v>
      </c>
      <c r="HR6">
        <f t="shared" si="227"/>
        <v>0.91010704150285304</v>
      </c>
      <c r="HS6">
        <f t="shared" si="228"/>
        <v>0.91123070348406743</v>
      </c>
      <c r="HT6">
        <f t="shared" si="229"/>
        <v>0.91234031969051654</v>
      </c>
      <c r="HU6">
        <f t="shared" si="230"/>
        <v>0.91343606569438507</v>
      </c>
      <c r="HV6">
        <f t="shared" si="231"/>
        <v>0.91451811487320522</v>
      </c>
      <c r="HW6">
        <f t="shared" si="232"/>
        <v>0.91558663843729016</v>
      </c>
      <c r="HX6">
        <f t="shared" si="233"/>
        <v>0.91664180545682405</v>
      </c>
      <c r="HY6">
        <f t="shared" si="234"/>
        <v>0.91768378288861374</v>
      </c>
      <c r="HZ6">
        <f t="shared" si="235"/>
        <v>0.9187127356025061</v>
      </c>
      <c r="IA6">
        <f t="shared" si="236"/>
        <v>0.91972882640747478</v>
      </c>
      <c r="IB6">
        <f t="shared" si="237"/>
        <v>0.92073221607738132</v>
      </c>
      <c r="IC6">
        <f t="shared" si="238"/>
        <v>0.92172306337641408</v>
      </c>
      <c r="ID6">
        <f t="shared" si="239"/>
        <v>0.92270152508420888</v>
      </c>
      <c r="IE6">
        <f t="shared" si="240"/>
        <v>0.92366775602065632</v>
      </c>
      <c r="IF6">
        <f t="shared" si="241"/>
        <v>0.9246219090703981</v>
      </c>
      <c r="IG6">
        <f t="shared" si="242"/>
        <v>0.92556413520701808</v>
      </c>
      <c r="IH6">
        <f t="shared" si="243"/>
        <v>0.92649458351693037</v>
      </c>
      <c r="II6">
        <f t="shared" si="244"/>
        <v>0.92741340122296878</v>
      </c>
      <c r="IJ6">
        <f t="shared" si="245"/>
        <v>0.92832073370768164</v>
      </c>
      <c r="IK6">
        <f t="shared" si="246"/>
        <v>0.92921672453633564</v>
      </c>
      <c r="IL6">
        <f t="shared" si="247"/>
        <v>0.93010151547963149</v>
      </c>
      <c r="IM6">
        <f t="shared" si="248"/>
        <v>0.93097524653613606</v>
      </c>
      <c r="IN6">
        <f t="shared" si="249"/>
        <v>0.93183805595443436</v>
      </c>
      <c r="IO6">
        <f t="shared" si="250"/>
        <v>0.93269008025500388</v>
      </c>
      <c r="IP6">
        <f t="shared" si="251"/>
        <v>0.93353145425181638</v>
      </c>
      <c r="IQ6">
        <f t="shared" si="252"/>
        <v>0.93436231107366863</v>
      </c>
      <c r="IR6">
        <f t="shared" si="253"/>
        <v>0.93518278218524775</v>
      </c>
      <c r="IS6">
        <f t="shared" si="254"/>
        <v>0.93599299740793218</v>
      </c>
      <c r="IT6">
        <f t="shared" si="255"/>
        <v>0.93679308494033298</v>
      </c>
      <c r="IU6">
        <f t="shared" si="256"/>
        <v>0.93758317137857883</v>
      </c>
      <c r="IV6">
        <f t="shared" si="257"/>
        <v>0.93836338173634659</v>
      </c>
    </row>
    <row r="7" spans="1:256" x14ac:dyDescent="0.2">
      <c r="A7" t="s">
        <v>477</v>
      </c>
      <c r="B7">
        <f>$B$109</f>
        <v>0.35542755126953124</v>
      </c>
      <c r="C7">
        <f t="shared" si="4"/>
        <v>0.35327138612489184</v>
      </c>
      <c r="D7">
        <f t="shared" si="5"/>
        <v>0.36135549379833071</v>
      </c>
      <c r="E7">
        <f t="shared" si="6"/>
        <v>0.36933855012585159</v>
      </c>
      <c r="F7">
        <f t="shared" si="7"/>
        <v>0.37722181824927847</v>
      </c>
      <c r="G7">
        <f t="shared" si="8"/>
        <v>0.38500654552116248</v>
      </c>
      <c r="H7">
        <f t="shared" si="9"/>
        <v>0.39269396370214793</v>
      </c>
      <c r="I7">
        <f t="shared" si="10"/>
        <v>0.40028528915587108</v>
      </c>
      <c r="J7">
        <f t="shared" si="11"/>
        <v>0.40778172304142268</v>
      </c>
      <c r="K7">
        <f t="shared" si="12"/>
        <v>0.40548067701221396</v>
      </c>
      <c r="L7">
        <f t="shared" si="13"/>
        <v>0.40311444516909373</v>
      </c>
      <c r="M7">
        <f t="shared" si="14"/>
        <v>0.40068602724959862</v>
      </c>
      <c r="N7">
        <f t="shared" si="15"/>
        <v>0.39819839925190093</v>
      </c>
      <c r="O7">
        <f t="shared" si="16"/>
        <v>0.39565450817406961</v>
      </c>
      <c r="P7">
        <f t="shared" si="17"/>
        <v>0.39305726720376472</v>
      </c>
      <c r="Q7">
        <f t="shared" si="18"/>
        <v>0.39040955133766958</v>
      </c>
      <c r="R7">
        <f t="shared" si="19"/>
        <v>0.38771419341039826</v>
      </c>
      <c r="S7">
        <f t="shared" si="20"/>
        <v>0.38708019503333357</v>
      </c>
      <c r="T7">
        <f t="shared" si="21"/>
        <v>0.38634306746596941</v>
      </c>
      <c r="U7">
        <f t="shared" si="22"/>
        <v>0.38550528687145985</v>
      </c>
      <c r="V7">
        <f t="shared" si="23"/>
        <v>0.3845694015541703</v>
      </c>
      <c r="W7">
        <f t="shared" si="24"/>
        <v>0.38353802176994251</v>
      </c>
      <c r="X7">
        <f t="shared" si="25"/>
        <v>0.38241381012485937</v>
      </c>
      <c r="Y7">
        <f t="shared" si="26"/>
        <v>0.3811994725370238</v>
      </c>
      <c r="Z7">
        <f t="shared" si="27"/>
        <v>0.37989774973742807</v>
      </c>
      <c r="AA7">
        <f t="shared" si="28"/>
        <v>0.38045979415153131</v>
      </c>
      <c r="AB7">
        <f t="shared" si="29"/>
        <v>0.38099250292097048</v>
      </c>
      <c r="AC7">
        <f t="shared" si="30"/>
        <v>0.38149401796378429</v>
      </c>
      <c r="AD7">
        <f t="shared" si="31"/>
        <v>0.38196260140382998</v>
      </c>
      <c r="AE7">
        <f t="shared" si="32"/>
        <v>0.38239663168266141</v>
      </c>
      <c r="AF7">
        <f t="shared" si="33"/>
        <v>0.38279459977963154</v>
      </c>
      <c r="AG7">
        <f t="shared" si="34"/>
        <v>0.38315510553599902</v>
      </c>
      <c r="AH7">
        <f t="shared" si="35"/>
        <v>0.38347685407890109</v>
      </c>
      <c r="AI7">
        <f t="shared" si="36"/>
        <v>0.38135850482874012</v>
      </c>
      <c r="AJ7">
        <f t="shared" si="37"/>
        <v>0.37934580249250388</v>
      </c>
      <c r="AK7">
        <f t="shared" si="38"/>
        <v>0.3774403489459961</v>
      </c>
      <c r="AL7">
        <f t="shared" si="39"/>
        <v>0.3756439620436095</v>
      </c>
      <c r="AM7">
        <f t="shared" si="40"/>
        <v>0.37395869153281025</v>
      </c>
      <c r="AN7">
        <f t="shared" si="41"/>
        <v>0.37238683670017536</v>
      </c>
      <c r="AO7">
        <f t="shared" si="42"/>
        <v>0.37093096596283975</v>
      </c>
      <c r="AP7">
        <f t="shared" si="43"/>
        <v>0.36959393865032336</v>
      </c>
      <c r="AQ7">
        <f t="shared" si="44"/>
        <v>0.37140298811255223</v>
      </c>
      <c r="AR7">
        <f t="shared" si="45"/>
        <v>0.37348757933088211</v>
      </c>
      <c r="AS7">
        <f t="shared" si="46"/>
        <v>0.37584853750351699</v>
      </c>
      <c r="AT7">
        <f t="shared" si="47"/>
        <v>0.37848675215396665</v>
      </c>
      <c r="AU7">
        <f t="shared" si="48"/>
        <v>0.38140319825762581</v>
      </c>
      <c r="AV7">
        <f t="shared" si="49"/>
        <v>0.38459895760232776</v>
      </c>
      <c r="AW7">
        <f t="shared" si="50"/>
        <v>0.38807524043564406</v>
      </c>
      <c r="AX7">
        <f t="shared" si="51"/>
        <v>0.39183340745520967</v>
      </c>
      <c r="AY7">
        <f t="shared" si="52"/>
        <v>0.39465636189706976</v>
      </c>
      <c r="AZ7">
        <f t="shared" si="53"/>
        <v>0.39777585857384029</v>
      </c>
      <c r="BA7">
        <f t="shared" si="54"/>
        <v>0.40120370563778768</v>
      </c>
      <c r="BB7">
        <f t="shared" si="55"/>
        <v>0.40495287087903636</v>
      </c>
      <c r="BC7">
        <f t="shared" si="56"/>
        <v>0.40903759318085448</v>
      </c>
      <c r="BD7">
        <f t="shared" si="57"/>
        <v>0.41347350796490645</v>
      </c>
      <c r="BE7">
        <f t="shared" si="58"/>
        <v>0.41827778846639679</v>
      </c>
      <c r="BF7">
        <f t="shared" si="59"/>
        <v>0.42346930499500834</v>
      </c>
      <c r="BG7">
        <f t="shared" si="60"/>
        <v>0.42906880470616932</v>
      </c>
      <c r="BH7">
        <f t="shared" si="61"/>
        <v>0.43509911484010172</v>
      </c>
      <c r="BI7">
        <f t="shared" si="62"/>
        <v>0.44158336986490976</v>
      </c>
      <c r="BJ7">
        <f t="shared" si="63"/>
        <v>0.44854391386385928</v>
      </c>
      <c r="BK7">
        <f t="shared" si="64"/>
        <v>0.45543711494056105</v>
      </c>
      <c r="BL7">
        <f t="shared" si="65"/>
        <v>0.46224415100380406</v>
      </c>
      <c r="BM7">
        <f t="shared" si="66"/>
        <v>0.46896609911625653</v>
      </c>
      <c r="BN7">
        <f t="shared" si="67"/>
        <v>0.4756040228773033</v>
      </c>
      <c r="BO7">
        <f t="shared" si="68"/>
        <v>0.482158972591337</v>
      </c>
      <c r="BP7">
        <f t="shared" si="69"/>
        <v>0.48863198543394526</v>
      </c>
      <c r="BQ7">
        <f t="shared" si="70"/>
        <v>0.49502408561602096</v>
      </c>
      <c r="BR7">
        <f t="shared" si="71"/>
        <v>0.50133628454582069</v>
      </c>
      <c r="BS7">
        <f t="shared" si="72"/>
        <v>0.50756958098899796</v>
      </c>
      <c r="BT7">
        <f t="shared" si="73"/>
        <v>0.51372496122663547</v>
      </c>
      <c r="BU7">
        <f t="shared" si="74"/>
        <v>0.51980339921130247</v>
      </c>
      <c r="BV7">
        <f t="shared" si="75"/>
        <v>0.5258058567211612</v>
      </c>
      <c r="BW7">
        <f t="shared" si="76"/>
        <v>0.53173328351214666</v>
      </c>
      <c r="BX7">
        <f t="shared" si="77"/>
        <v>0.53758661746824488</v>
      </c>
      <c r="BY7">
        <f t="shared" si="78"/>
        <v>0.54336678474989186</v>
      </c>
      <c r="BZ7">
        <f t="shared" si="79"/>
        <v>0.54907469994051816</v>
      </c>
      <c r="CA7">
        <f t="shared" si="80"/>
        <v>0.55471126619126165</v>
      </c>
      <c r="CB7">
        <f t="shared" si="81"/>
        <v>0.5602773753638709</v>
      </c>
      <c r="CC7">
        <f t="shared" si="82"/>
        <v>0.56577390817182249</v>
      </c>
      <c r="CD7">
        <f t="shared" si="83"/>
        <v>0.57120173431967469</v>
      </c>
      <c r="CE7">
        <f t="shared" si="84"/>
        <v>0.57656171264067879</v>
      </c>
      <c r="CF7">
        <f t="shared" si="85"/>
        <v>0.58185469123267031</v>
      </c>
      <c r="CG7">
        <f t="shared" si="86"/>
        <v>0.58708150759226196</v>
      </c>
      <c r="CH7">
        <f t="shared" si="87"/>
        <v>0.5922429887473587</v>
      </c>
      <c r="CI7">
        <f t="shared" si="88"/>
        <v>0.59733995138801677</v>
      </c>
      <c r="CJ7">
        <f t="shared" si="89"/>
        <v>0.60237320199566657</v>
      </c>
      <c r="CK7">
        <f t="shared" si="90"/>
        <v>0.60734353697072074</v>
      </c>
      <c r="CL7">
        <f t="shared" si="91"/>
        <v>0.61225174275858674</v>
      </c>
      <c r="CM7">
        <f t="shared" si="92"/>
        <v>0.61709859597410444</v>
      </c>
      <c r="CN7">
        <f t="shared" si="93"/>
        <v>0.62188486352442818</v>
      </c>
      <c r="CO7">
        <f t="shared" si="94"/>
        <v>0.6266113027303728</v>
      </c>
      <c r="CP7">
        <f t="shared" si="95"/>
        <v>0.63127866144624312</v>
      </c>
      <c r="CQ7">
        <f t="shared" si="96"/>
        <v>0.63588767817816505</v>
      </c>
      <c r="CR7">
        <f t="shared" si="97"/>
        <v>0.64043908220093804</v>
      </c>
      <c r="CS7">
        <f t="shared" si="98"/>
        <v>0.64493359367342629</v>
      </c>
      <c r="CT7">
        <f t="shared" si="99"/>
        <v>0.64937192375250841</v>
      </c>
      <c r="CU7">
        <f t="shared" si="100"/>
        <v>0.65375477470560206</v>
      </c>
      <c r="CV7">
        <f t="shared" si="101"/>
        <v>0.65808284002178208</v>
      </c>
      <c r="CW7">
        <f t="shared" si="102"/>
        <v>0.6623568045215098</v>
      </c>
      <c r="CX7">
        <f t="shared" si="103"/>
        <v>0.66657734446499095</v>
      </c>
      <c r="CY7">
        <f t="shared" si="104"/>
        <v>0.6707451276591786</v>
      </c>
      <c r="CZ7">
        <f t="shared" si="105"/>
        <v>0.67486081356343885</v>
      </c>
      <c r="DA7">
        <f t="shared" si="106"/>
        <v>0.67892505339389586</v>
      </c>
      <c r="DB7">
        <f t="shared" si="107"/>
        <v>0.68293849022647213</v>
      </c>
      <c r="DC7">
        <f t="shared" si="108"/>
        <v>0.68690175909864126</v>
      </c>
      <c r="DD7">
        <f t="shared" si="109"/>
        <v>0.69081548710990826</v>
      </c>
      <c r="DE7">
        <f t="shared" si="110"/>
        <v>0.69468029352103444</v>
      </c>
      <c r="DF7">
        <f t="shared" si="111"/>
        <v>0.69849678985202146</v>
      </c>
      <c r="DG7">
        <f t="shared" si="112"/>
        <v>0.70226557997887118</v>
      </c>
      <c r="DH7">
        <f t="shared" si="113"/>
        <v>0.70598726022913527</v>
      </c>
      <c r="DI7">
        <f t="shared" si="114"/>
        <v>0.70966241947627107</v>
      </c>
      <c r="DJ7">
        <f t="shared" si="115"/>
        <v>0.71329163923281769</v>
      </c>
      <c r="DK7">
        <f t="shared" si="116"/>
        <v>0.71687549374240744</v>
      </c>
      <c r="DL7">
        <f t="shared" si="117"/>
        <v>0.72041455007062738</v>
      </c>
      <c r="DM7">
        <f t="shared" si="118"/>
        <v>0.7239093681947445</v>
      </c>
      <c r="DN7">
        <f t="shared" si="119"/>
        <v>0.72736050109231021</v>
      </c>
      <c r="DO7">
        <f t="shared" si="120"/>
        <v>0.73076849482865636</v>
      </c>
      <c r="DP7">
        <f t="shared" si="121"/>
        <v>0.7341338886432982</v>
      </c>
      <c r="DQ7">
        <f t="shared" si="122"/>
        <v>0.73745721503525696</v>
      </c>
      <c r="DR7">
        <f t="shared" si="123"/>
        <v>0.74073899984731628</v>
      </c>
      <c r="DS7">
        <f t="shared" si="124"/>
        <v>0.7439797623492248</v>
      </c>
      <c r="DT7">
        <f t="shared" si="125"/>
        <v>0.74718001531985945</v>
      </c>
      <c r="DU7">
        <f t="shared" si="126"/>
        <v>0.75034026512836116</v>
      </c>
      <c r="DV7">
        <f t="shared" si="127"/>
        <v>0.75346101181425662</v>
      </c>
      <c r="DW7">
        <f t="shared" si="128"/>
        <v>0.75654274916657838</v>
      </c>
      <c r="DX7">
        <f t="shared" si="129"/>
        <v>0.75958596480199614</v>
      </c>
      <c r="DY7">
        <f t="shared" si="130"/>
        <v>0.76259114024197117</v>
      </c>
      <c r="DZ7">
        <f t="shared" si="131"/>
        <v>0.76555875098894655</v>
      </c>
      <c r="EA7">
        <f t="shared" si="132"/>
        <v>0.76848926660158468</v>
      </c>
      <c r="EB7">
        <f t="shared" si="133"/>
        <v>0.77138315076906483</v>
      </c>
      <c r="EC7">
        <f t="shared" si="134"/>
        <v>0.77424086138445147</v>
      </c>
      <c r="ED7">
        <f t="shared" si="135"/>
        <v>0.77706285061714586</v>
      </c>
      <c r="EE7">
        <f t="shared" si="136"/>
        <v>0.77984956498443159</v>
      </c>
      <c r="EF7">
        <f t="shared" si="137"/>
        <v>0.78260144542212617</v>
      </c>
      <c r="EG7">
        <f t="shared" si="138"/>
        <v>0.78531892735434961</v>
      </c>
      <c r="EH7">
        <f t="shared" si="139"/>
        <v>0.78800244076242021</v>
      </c>
      <c r="EI7">
        <f t="shared" si="140"/>
        <v>0.7906524102528899</v>
      </c>
      <c r="EJ7">
        <f t="shared" si="141"/>
        <v>0.79326925512472879</v>
      </c>
      <c r="EK7">
        <f t="shared" si="142"/>
        <v>0.79585338943566963</v>
      </c>
      <c r="EL7">
        <f t="shared" si="143"/>
        <v>0.7984052220677238</v>
      </c>
      <c r="EM7">
        <f t="shared" si="144"/>
        <v>0.80092515679187726</v>
      </c>
      <c r="EN7">
        <f t="shared" si="145"/>
        <v>0.80341359233197884</v>
      </c>
      <c r="EO7">
        <f t="shared" si="146"/>
        <v>0.8058709224278291</v>
      </c>
      <c r="EP7">
        <f t="shared" si="147"/>
        <v>0.80829753589748121</v>
      </c>
      <c r="EQ7">
        <f t="shared" si="148"/>
        <v>0.81069381669876273</v>
      </c>
      <c r="ER7">
        <f t="shared" si="149"/>
        <v>0.81306014399002824</v>
      </c>
      <c r="ES7">
        <f t="shared" si="150"/>
        <v>0.81539689219015288</v>
      </c>
      <c r="ET7">
        <f t="shared" si="151"/>
        <v>0.81770443103777601</v>
      </c>
      <c r="EU7">
        <f t="shared" si="152"/>
        <v>0.8199831256498038</v>
      </c>
      <c r="EV7">
        <f t="shared" si="153"/>
        <v>0.8222333365791813</v>
      </c>
      <c r="EW7">
        <f t="shared" si="154"/>
        <v>0.82445541987194149</v>
      </c>
      <c r="EX7">
        <f t="shared" si="155"/>
        <v>0.82664972712354223</v>
      </c>
      <c r="EY7">
        <f t="shared" si="156"/>
        <v>0.82881660553449799</v>
      </c>
      <c r="EZ7">
        <f t="shared" si="157"/>
        <v>0.83095639796531673</v>
      </c>
      <c r="FA7">
        <f t="shared" si="158"/>
        <v>0.83306944299075025</v>
      </c>
      <c r="FB7">
        <f t="shared" si="159"/>
        <v>0.83515607495336586</v>
      </c>
      <c r="FC7">
        <f t="shared" si="160"/>
        <v>0.83721662401644881</v>
      </c>
      <c r="FD7">
        <f t="shared" si="161"/>
        <v>0.83925141621624322</v>
      </c>
      <c r="FE7">
        <f t="shared" si="162"/>
        <v>0.84126077351354023</v>
      </c>
      <c r="FF7">
        <f t="shared" si="163"/>
        <v>0.84324501384462103</v>
      </c>
      <c r="FG7">
        <f t="shared" si="164"/>
        <v>0.84520445117156329</v>
      </c>
      <c r="FH7">
        <f t="shared" si="165"/>
        <v>0.84713939553191875</v>
      </c>
      <c r="FI7">
        <f t="shared" si="166"/>
        <v>0.84905015308776977</v>
      </c>
      <c r="FJ7">
        <f t="shared" si="167"/>
        <v>0.85093702617417266</v>
      </c>
      <c r="FK7">
        <f t="shared" si="168"/>
        <v>0.85280031334699546</v>
      </c>
      <c r="FL7">
        <f t="shared" si="169"/>
        <v>0.85464030943015801</v>
      </c>
      <c r="FM7">
        <f t="shared" si="170"/>
        <v>0.85645730556228106</v>
      </c>
      <c r="FN7">
        <f t="shared" si="171"/>
        <v>0.85825158924275258</v>
      </c>
      <c r="FO7">
        <f t="shared" si="172"/>
        <v>0.86002344437721812</v>
      </c>
      <c r="FP7">
        <f t="shared" si="173"/>
        <v>0.86177315132250287</v>
      </c>
      <c r="FQ7">
        <f t="shared" si="174"/>
        <v>0.86350098693097155</v>
      </c>
      <c r="FR7">
        <f t="shared" si="175"/>
        <v>0.86520722459433441</v>
      </c>
      <c r="FS7">
        <f t="shared" si="176"/>
        <v>0.86689213428690526</v>
      </c>
      <c r="FT7">
        <f t="shared" si="177"/>
        <v>0.8685559826083189</v>
      </c>
      <c r="FU7">
        <f t="shared" si="178"/>
        <v>0.87019903282571487</v>
      </c>
      <c r="FV7">
        <f t="shared" si="179"/>
        <v>0.87182154491539343</v>
      </c>
      <c r="FW7">
        <f t="shared" si="180"/>
        <v>0.87342377560395101</v>
      </c>
      <c r="FX7">
        <f t="shared" si="181"/>
        <v>0.8750059784089016</v>
      </c>
      <c r="FY7">
        <f t="shared" si="182"/>
        <v>0.8765684036787903</v>
      </c>
      <c r="FZ7">
        <f t="shared" si="183"/>
        <v>0.87811129863280546</v>
      </c>
      <c r="GA7">
        <f t="shared" si="184"/>
        <v>0.87963490739989536</v>
      </c>
      <c r="GB7">
        <f t="shared" si="185"/>
        <v>0.88113947105739665</v>
      </c>
      <c r="GC7">
        <f t="shared" si="186"/>
        <v>0.88262522766917917</v>
      </c>
      <c r="GD7">
        <f t="shared" si="187"/>
        <v>0.88409241232331448</v>
      </c>
      <c r="GE7">
        <f t="shared" si="188"/>
        <v>0.88554125716927301</v>
      </c>
      <c r="GF7">
        <f t="shared" si="189"/>
        <v>0.8869719914546571</v>
      </c>
      <c r="GG7">
        <f t="shared" si="190"/>
        <v>0.8883848415614739</v>
      </c>
      <c r="GH7">
        <f t="shared" si="191"/>
        <v>0.88978003104195547</v>
      </c>
      <c r="GI7">
        <f t="shared" si="192"/>
        <v>0.89115778065393103</v>
      </c>
      <c r="GJ7">
        <f t="shared" si="193"/>
        <v>0.89251830839575685</v>
      </c>
      <c r="GK7">
        <f t="shared" si="194"/>
        <v>0.89386182954080984</v>
      </c>
      <c r="GL7">
        <f t="shared" si="195"/>
        <v>0.89518855667154973</v>
      </c>
      <c r="GM7">
        <f t="shared" si="196"/>
        <v>0.89649869971315532</v>
      </c>
      <c r="GN7">
        <f t="shared" si="197"/>
        <v>0.89779246596674089</v>
      </c>
      <c r="GO7">
        <f t="shared" si="198"/>
        <v>0.89907006014215662</v>
      </c>
      <c r="GP7">
        <f t="shared" si="199"/>
        <v>0.90033168439037969</v>
      </c>
      <c r="GQ7">
        <f t="shared" si="200"/>
        <v>0.90157753833549992</v>
      </c>
      <c r="GR7">
        <f t="shared" si="201"/>
        <v>0.90280781910630614</v>
      </c>
      <c r="GS7">
        <f t="shared" si="202"/>
        <v>0.9040227213674773</v>
      </c>
      <c r="GT7">
        <f t="shared" si="203"/>
        <v>0.90522243735038388</v>
      </c>
      <c r="GU7">
        <f t="shared" si="204"/>
        <v>0.90640715688350404</v>
      </c>
      <c r="GV7">
        <f t="shared" si="205"/>
        <v>0.90757706742246025</v>
      </c>
      <c r="GW7">
        <f t="shared" si="206"/>
        <v>0.90873235407967945</v>
      </c>
      <c r="GX7">
        <f t="shared" si="207"/>
        <v>0.90987319965368341</v>
      </c>
      <c r="GY7">
        <f t="shared" si="208"/>
        <v>0.91099978465801235</v>
      </c>
      <c r="GZ7">
        <f t="shared" si="209"/>
        <v>0.91211228734978722</v>
      </c>
      <c r="HA7">
        <f t="shared" si="210"/>
        <v>0.91321088375791493</v>
      </c>
      <c r="HB7">
        <f t="shared" si="211"/>
        <v>0.91429574771094102</v>
      </c>
      <c r="HC7">
        <f t="shared" si="212"/>
        <v>0.91536705086455428</v>
      </c>
      <c r="HD7">
        <f t="shared" si="213"/>
        <v>0.91642496272874729</v>
      </c>
      <c r="HE7">
        <f t="shared" si="214"/>
        <v>0.91746965069463793</v>
      </c>
      <c r="HF7">
        <f t="shared" si="215"/>
        <v>0.91850128006095499</v>
      </c>
      <c r="HG7">
        <f t="shared" si="216"/>
        <v>0.91952001406019301</v>
      </c>
      <c r="HH7">
        <f t="shared" si="217"/>
        <v>0.92052601388444055</v>
      </c>
      <c r="HI7">
        <f t="shared" si="218"/>
        <v>0.92151943871088504</v>
      </c>
      <c r="HJ7">
        <f t="shared" si="219"/>
        <v>0.92250044572699896</v>
      </c>
      <c r="HK7">
        <f t="shared" si="220"/>
        <v>0.92346919015541151</v>
      </c>
      <c r="HL7">
        <f t="shared" si="221"/>
        <v>0.92442582527846884</v>
      </c>
      <c r="HM7">
        <f t="shared" si="222"/>
        <v>0.92537050246248798</v>
      </c>
      <c r="HN7">
        <f t="shared" si="223"/>
        <v>0.92630337118170691</v>
      </c>
      <c r="HO7">
        <f t="shared" si="224"/>
        <v>0.92722457904193556</v>
      </c>
      <c r="HP7">
        <f t="shared" si="225"/>
        <v>0.92813427180391139</v>
      </c>
      <c r="HQ7">
        <f t="shared" si="226"/>
        <v>0.92903259340636246</v>
      </c>
      <c r="HR7">
        <f t="shared" si="227"/>
        <v>0.92991968598878294</v>
      </c>
      <c r="HS7">
        <f t="shared" si="228"/>
        <v>0.93079568991392314</v>
      </c>
      <c r="HT7">
        <f t="shared" si="229"/>
        <v>0.93166074378999908</v>
      </c>
      <c r="HU7">
        <f t="shared" si="230"/>
        <v>0.93251498449262404</v>
      </c>
      <c r="HV7">
        <f t="shared" si="231"/>
        <v>0.93335854718646627</v>
      </c>
      <c r="HW7">
        <f t="shared" si="232"/>
        <v>0.93419156534663539</v>
      </c>
      <c r="HX7">
        <f t="shared" si="233"/>
        <v>0.93501417077980242</v>
      </c>
      <c r="HY7">
        <f t="shared" si="234"/>
        <v>0.93582649364505488</v>
      </c>
      <c r="HZ7">
        <f t="shared" si="235"/>
        <v>0.93662866247449172</v>
      </c>
      <c r="IA7">
        <f t="shared" si="236"/>
        <v>0.93742080419356055</v>
      </c>
      <c r="IB7">
        <f t="shared" si="237"/>
        <v>0.93820304414114108</v>
      </c>
      <c r="IC7">
        <f t="shared" si="238"/>
        <v>0.93897550608937685</v>
      </c>
      <c r="ID7">
        <f t="shared" si="239"/>
        <v>0.93973831226325966</v>
      </c>
      <c r="IE7">
        <f t="shared" si="240"/>
        <v>0.94049158335996896</v>
      </c>
      <c r="IF7">
        <f t="shared" si="241"/>
        <v>0.94123543856796932</v>
      </c>
      <c r="IG7">
        <f t="shared" si="242"/>
        <v>0.94196999558586969</v>
      </c>
      <c r="IH7">
        <f t="shared" si="243"/>
        <v>0.94269537064104636</v>
      </c>
      <c r="II7">
        <f t="shared" si="244"/>
        <v>0.94341167850803331</v>
      </c>
      <c r="IJ7">
        <f t="shared" si="245"/>
        <v>0.94411903252668294</v>
      </c>
      <c r="IK7">
        <f t="shared" si="246"/>
        <v>0.94481754462009937</v>
      </c>
      <c r="IL7">
        <f t="shared" si="247"/>
        <v>0.94550732531234816</v>
      </c>
      <c r="IM7">
        <f t="shared" si="248"/>
        <v>0.94618848374594378</v>
      </c>
      <c r="IN7">
        <f t="shared" si="249"/>
        <v>0.94686112769911945</v>
      </c>
      <c r="IO7">
        <f t="shared" si="250"/>
        <v>0.94752536360288042</v>
      </c>
      <c r="IP7">
        <f t="shared" si="251"/>
        <v>0.94818129655784444</v>
      </c>
      <c r="IQ7">
        <f t="shared" si="252"/>
        <v>0.94882903035087141</v>
      </c>
      <c r="IR7">
        <f t="shared" si="253"/>
        <v>0.94946866747148551</v>
      </c>
      <c r="IS7">
        <f t="shared" si="254"/>
        <v>0.95010030912809196</v>
      </c>
      <c r="IT7">
        <f t="shared" si="255"/>
        <v>0.95072405526399084</v>
      </c>
      <c r="IU7">
        <f t="shared" si="256"/>
        <v>0.95134000457319101</v>
      </c>
      <c r="IV7">
        <f t="shared" si="257"/>
        <v>0.95194825451602616</v>
      </c>
    </row>
    <row r="8" spans="1:256" x14ac:dyDescent="0.2">
      <c r="A8" t="s">
        <v>478</v>
      </c>
      <c r="B8">
        <f>$B$110</f>
        <v>0.62973716735839846</v>
      </c>
      <c r="C8">
        <f t="shared" si="4"/>
        <v>0.63436545276641854</v>
      </c>
      <c r="D8">
        <f t="shared" si="5"/>
        <v>0.63893588460683826</v>
      </c>
      <c r="E8">
        <f t="shared" si="6"/>
        <v>0.64344918604925283</v>
      </c>
      <c r="F8">
        <f t="shared" si="7"/>
        <v>0.64790607122363719</v>
      </c>
      <c r="G8">
        <f t="shared" si="8"/>
        <v>0.65230724533334172</v>
      </c>
      <c r="H8">
        <f t="shared" si="9"/>
        <v>0.656653404766675</v>
      </c>
      <c r="I8">
        <f t="shared" si="10"/>
        <v>0.66094523720709153</v>
      </c>
      <c r="J8">
        <f t="shared" si="11"/>
        <v>0.66518342174200285</v>
      </c>
      <c r="K8">
        <f t="shared" si="12"/>
        <v>0.65822361604180535</v>
      </c>
      <c r="L8">
        <f t="shared" si="13"/>
        <v>0.65135080791286026</v>
      </c>
      <c r="M8">
        <f t="shared" si="14"/>
        <v>0.64456390988552703</v>
      </c>
      <c r="N8">
        <f t="shared" si="15"/>
        <v>0.63786184808353541</v>
      </c>
      <c r="O8">
        <f t="shared" si="16"/>
        <v>0.63124356205406873</v>
      </c>
      <c r="P8">
        <f t="shared" si="17"/>
        <v>0.62470800459997045</v>
      </c>
      <c r="Q8">
        <f t="shared" si="18"/>
        <v>0.61825414161404835</v>
      </c>
      <c r="R8">
        <f t="shared" si="19"/>
        <v>0.61188095191545022</v>
      </c>
      <c r="S8">
        <f t="shared" si="20"/>
        <v>0.60614330401849625</v>
      </c>
      <c r="T8">
        <f t="shared" si="21"/>
        <v>0.60047737672025425</v>
      </c>
      <c r="U8">
        <f t="shared" si="22"/>
        <v>0.59488227351324019</v>
      </c>
      <c r="V8">
        <f t="shared" si="23"/>
        <v>0.58935710909631389</v>
      </c>
      <c r="W8">
        <f t="shared" si="24"/>
        <v>0.58390100923459909</v>
      </c>
      <c r="X8">
        <f t="shared" si="25"/>
        <v>0.57851311062115574</v>
      </c>
      <c r="Y8">
        <f t="shared" si="26"/>
        <v>0.5731925607403805</v>
      </c>
      <c r="Z8">
        <f t="shared" si="27"/>
        <v>0.56793851773311488</v>
      </c>
      <c r="AA8">
        <f t="shared" si="28"/>
        <v>0.56466101426542925</v>
      </c>
      <c r="AB8">
        <f t="shared" si="29"/>
        <v>0.56142447959108976</v>
      </c>
      <c r="AC8">
        <f t="shared" si="30"/>
        <v>0.5582284016001795</v>
      </c>
      <c r="AD8">
        <f t="shared" si="31"/>
        <v>0.55507227458415553</v>
      </c>
      <c r="AE8">
        <f t="shared" si="32"/>
        <v>0.55195559915583192</v>
      </c>
      <c r="AF8">
        <f t="shared" si="33"/>
        <v>0.54887788217036237</v>
      </c>
      <c r="AG8">
        <f t="shared" si="34"/>
        <v>0.54583863664721122</v>
      </c>
      <c r="AH8">
        <f t="shared" si="35"/>
        <v>0.54283738169309936</v>
      </c>
      <c r="AI8">
        <f t="shared" si="36"/>
        <v>0.54526645776452598</v>
      </c>
      <c r="AJ8">
        <f t="shared" si="37"/>
        <v>0.54766517038505969</v>
      </c>
      <c r="AK8">
        <f t="shared" si="38"/>
        <v>0.55003389909783673</v>
      </c>
      <c r="AL8">
        <f t="shared" si="39"/>
        <v>0.55237301870170408</v>
      </c>
      <c r="AM8">
        <f t="shared" si="40"/>
        <v>0.55468289931052306</v>
      </c>
      <c r="AN8">
        <f t="shared" si="41"/>
        <v>0.55696390641173188</v>
      </c>
      <c r="AO8">
        <f t="shared" si="42"/>
        <v>0.55921640092417557</v>
      </c>
      <c r="AP8">
        <f t="shared" si="43"/>
        <v>0.56144073925521376</v>
      </c>
      <c r="AQ8">
        <f t="shared" si="44"/>
        <v>0.56530997065459687</v>
      </c>
      <c r="AR8">
        <f t="shared" si="45"/>
        <v>0.56913083666148767</v>
      </c>
      <c r="AS8">
        <f t="shared" si="46"/>
        <v>0.5729039418432923</v>
      </c>
      <c r="AT8">
        <f t="shared" si="47"/>
        <v>0.57662988321032438</v>
      </c>
      <c r="AU8">
        <f t="shared" si="48"/>
        <v>0.58030925031026859</v>
      </c>
      <c r="AV8">
        <f t="shared" si="49"/>
        <v>0.58394262532146346</v>
      </c>
      <c r="AW8">
        <f t="shared" si="50"/>
        <v>0.58753058314501838</v>
      </c>
      <c r="AX8">
        <f t="shared" si="51"/>
        <v>0.59107369149577893</v>
      </c>
      <c r="AY8">
        <f t="shared" si="52"/>
        <v>0.59618526952840412</v>
      </c>
      <c r="AZ8">
        <f t="shared" si="53"/>
        <v>0.6012329528356215</v>
      </c>
      <c r="BA8">
        <f t="shared" si="54"/>
        <v>0.60621754010149864</v>
      </c>
      <c r="BB8">
        <f t="shared" si="55"/>
        <v>0.61113982002655232</v>
      </c>
      <c r="BC8">
        <f t="shared" si="56"/>
        <v>0.61600057145254283</v>
      </c>
      <c r="BD8">
        <f t="shared" si="57"/>
        <v>0.62080056348570845</v>
      </c>
      <c r="BE8">
        <f t="shared" si="58"/>
        <v>0.62554055561845945</v>
      </c>
      <c r="BF8">
        <f t="shared" si="59"/>
        <v>0.63022129784955105</v>
      </c>
      <c r="BG8">
        <f t="shared" si="60"/>
        <v>0.63484353080275402</v>
      </c>
      <c r="BH8">
        <f t="shared" si="61"/>
        <v>0.63940798584404201</v>
      </c>
      <c r="BI8">
        <f t="shared" si="62"/>
        <v>0.64391538519731384</v>
      </c>
      <c r="BJ8">
        <f t="shared" si="63"/>
        <v>0.64836644205866978</v>
      </c>
      <c r="BK8">
        <f t="shared" si="64"/>
        <v>0.65276186070925879</v>
      </c>
      <c r="BL8">
        <f t="shared" si="65"/>
        <v>0.65710233662671547</v>
      </c>
      <c r="BM8">
        <f t="shared" si="66"/>
        <v>0.6613885565952039</v>
      </c>
      <c r="BN8">
        <f t="shared" si="67"/>
        <v>0.66562119881408621</v>
      </c>
      <c r="BO8">
        <f t="shared" si="68"/>
        <v>0.66980093300523247</v>
      </c>
      <c r="BP8">
        <f t="shared" si="69"/>
        <v>0.67392842051898949</v>
      </c>
      <c r="BQ8">
        <f t="shared" si="70"/>
        <v>0.67800431443882447</v>
      </c>
      <c r="BR8">
        <f t="shared" si="71"/>
        <v>0.68202925968466155</v>
      </c>
      <c r="BS8">
        <f t="shared" si="72"/>
        <v>0.68600389311492571</v>
      </c>
      <c r="BT8">
        <f t="shared" si="73"/>
        <v>0.68992884362731155</v>
      </c>
      <c r="BU8">
        <f t="shared" si="74"/>
        <v>0.69380473225829253</v>
      </c>
      <c r="BV8">
        <f t="shared" si="75"/>
        <v>0.6976321722813863</v>
      </c>
      <c r="BW8">
        <f t="shared" si="76"/>
        <v>0.70141176930419136</v>
      </c>
      <c r="BX8">
        <f t="shared" si="77"/>
        <v>0.70514412136421134</v>
      </c>
      <c r="BY8">
        <f t="shared" si="78"/>
        <v>0.70882981902348108</v>
      </c>
      <c r="BZ8">
        <f t="shared" si="79"/>
        <v>0.71246944546200996</v>
      </c>
      <c r="CA8">
        <f t="shared" si="80"/>
        <v>0.71606357657005726</v>
      </c>
      <c r="CB8">
        <f t="shared" si="81"/>
        <v>0.71961278103925397</v>
      </c>
      <c r="CC8">
        <f t="shared" si="82"/>
        <v>0.72311762045258565</v>
      </c>
      <c r="CD8">
        <f t="shared" si="83"/>
        <v>0.72657864937325067</v>
      </c>
      <c r="CE8">
        <f t="shared" si="84"/>
        <v>0.72999641543240745</v>
      </c>
      <c r="CF8">
        <f t="shared" si="85"/>
        <v>0.73337145941582471</v>
      </c>
      <c r="CG8">
        <f t="shared" si="86"/>
        <v>0.73670431534944925</v>
      </c>
      <c r="CH8">
        <f t="shared" si="87"/>
        <v>0.73999551058390356</v>
      </c>
      <c r="CI8">
        <f t="shared" si="88"/>
        <v>0.74324556587792712</v>
      </c>
      <c r="CJ8">
        <f t="shared" si="89"/>
        <v>0.74645499548077543</v>
      </c>
      <c r="CK8">
        <f t="shared" si="90"/>
        <v>0.74962430721358808</v>
      </c>
      <c r="CL8">
        <f t="shared" si="91"/>
        <v>0.75275400254974056</v>
      </c>
      <c r="CM8">
        <f t="shared" si="92"/>
        <v>0.75584457669419114</v>
      </c>
      <c r="CN8">
        <f t="shared" si="93"/>
        <v>0.75889651866183616</v>
      </c>
      <c r="CO8">
        <f t="shared" si="94"/>
        <v>0.76191031135488563</v>
      </c>
      <c r="CP8">
        <f t="shared" si="95"/>
        <v>0.76488643163927195</v>
      </c>
      <c r="CQ8">
        <f t="shared" si="96"/>
        <v>0.76782535042010347</v>
      </c>
      <c r="CR8">
        <f t="shared" si="97"/>
        <v>0.77072753271617456</v>
      </c>
      <c r="CS8">
        <f t="shared" si="98"/>
        <v>0.77359343773354472</v>
      </c>
      <c r="CT8">
        <f t="shared" si="99"/>
        <v>0.77642351893819783</v>
      </c>
      <c r="CU8">
        <f t="shared" si="100"/>
        <v>0.77921822412779274</v>
      </c>
      <c r="CV8">
        <f t="shared" si="101"/>
        <v>0.78197799550251768</v>
      </c>
      <c r="CW8">
        <f t="shared" si="102"/>
        <v>0.78470326973505855</v>
      </c>
      <c r="CX8">
        <f t="shared" si="103"/>
        <v>0.78739447803969276</v>
      </c>
      <c r="CY8">
        <f t="shared" si="104"/>
        <v>0.79005204624051895</v>
      </c>
      <c r="CZ8">
        <f t="shared" si="105"/>
        <v>0.7926763948388349</v>
      </c>
      <c r="DA8">
        <f t="shared" si="106"/>
        <v>0.79526793907967186</v>
      </c>
      <c r="DB8">
        <f t="shared" si="107"/>
        <v>0.79782708901749833</v>
      </c>
      <c r="DC8">
        <f t="shared" si="108"/>
        <v>0.80035424958110202</v>
      </c>
      <c r="DD8">
        <f t="shared" si="109"/>
        <v>0.80284982063766064</v>
      </c>
      <c r="DE8">
        <f t="shared" si="110"/>
        <v>0.80531419705601226</v>
      </c>
      <c r="DF8">
        <f t="shared" si="111"/>
        <v>0.80774776876913446</v>
      </c>
      <c r="DG8">
        <f t="shared" si="112"/>
        <v>0.81015092083584261</v>
      </c>
      <c r="DH8">
        <f t="shared" si="113"/>
        <v>0.81252403350171698</v>
      </c>
      <c r="DI8">
        <f t="shared" si="114"/>
        <v>0.81486748225926786</v>
      </c>
      <c r="DJ8">
        <f t="shared" si="115"/>
        <v>0.81718163790734943</v>
      </c>
      <c r="DK8">
        <f t="shared" si="116"/>
        <v>0.81946686660982992</v>
      </c>
      <c r="DL8">
        <f t="shared" si="117"/>
        <v>0.82172352995352949</v>
      </c>
      <c r="DM8">
        <f t="shared" si="118"/>
        <v>0.82395198500543276</v>
      </c>
      <c r="DN8">
        <f t="shared" si="119"/>
        <v>0.82615258436918726</v>
      </c>
      <c r="DO8">
        <f t="shared" si="120"/>
        <v>0.82832567624089481</v>
      </c>
      <c r="DP8">
        <f t="shared" si="121"/>
        <v>0.83047160446420598</v>
      </c>
      <c r="DQ8">
        <f t="shared" si="122"/>
        <v>0.83259070858472584</v>
      </c>
      <c r="DR8">
        <f t="shared" si="123"/>
        <v>0.83468332390373912</v>
      </c>
      <c r="DS8">
        <f t="shared" si="124"/>
        <v>0.83674978153126478</v>
      </c>
      <c r="DT8">
        <f t="shared" si="125"/>
        <v>0.83879040843844632</v>
      </c>
      <c r="DU8">
        <f t="shared" si="126"/>
        <v>0.84080552750928816</v>
      </c>
      <c r="DV8">
        <f t="shared" si="127"/>
        <v>0.84279545759174446</v>
      </c>
      <c r="DW8">
        <f t="shared" si="128"/>
        <v>0.84476051354817006</v>
      </c>
      <c r="DX8">
        <f t="shared" si="129"/>
        <v>0.84670100630514034</v>
      </c>
      <c r="DY8">
        <f t="shared" si="130"/>
        <v>0.84861724290264851</v>
      </c>
      <c r="DZ8">
        <f t="shared" si="131"/>
        <v>0.85050952654268774</v>
      </c>
      <c r="EA8">
        <f t="shared" si="132"/>
        <v>0.85237815663722649</v>
      </c>
      <c r="EB8">
        <f t="shared" si="133"/>
        <v>0.85422342885558356</v>
      </c>
      <c r="EC8">
        <f t="shared" si="134"/>
        <v>0.85604563517121113</v>
      </c>
      <c r="ED8">
        <f t="shared" si="135"/>
        <v>0.85784506390789339</v>
      </c>
      <c r="EE8">
        <f t="shared" si="136"/>
        <v>0.85962199978536713</v>
      </c>
      <c r="EF8">
        <f t="shared" si="137"/>
        <v>0.86137672396437237</v>
      </c>
      <c r="EG8">
        <f t="shared" si="138"/>
        <v>0.86310951409114012</v>
      </c>
      <c r="EH8">
        <f t="shared" si="139"/>
        <v>0.86482064434132322</v>
      </c>
      <c r="EI8">
        <f t="shared" si="140"/>
        <v>0.86651038546337911</v>
      </c>
      <c r="EJ8">
        <f t="shared" si="141"/>
        <v>0.86817900482140931</v>
      </c>
      <c r="EK8">
        <f t="shared" si="142"/>
        <v>0.86982676643746404</v>
      </c>
      <c r="EL8">
        <f t="shared" si="143"/>
        <v>0.87145393103331814</v>
      </c>
      <c r="EM8">
        <f t="shared" si="144"/>
        <v>0.87306075607172406</v>
      </c>
      <c r="EN8">
        <f t="shared" si="145"/>
        <v>0.87464749579714995</v>
      </c>
      <c r="EO8">
        <f t="shared" si="146"/>
        <v>0.87621440127600791</v>
      </c>
      <c r="EP8">
        <f t="shared" si="147"/>
        <v>0.87776172043638023</v>
      </c>
      <c r="EQ8">
        <f t="shared" si="148"/>
        <v>0.87928969810724789</v>
      </c>
      <c r="ER8">
        <f t="shared" si="149"/>
        <v>0.88079857605722967</v>
      </c>
      <c r="ES8">
        <f t="shared" si="150"/>
        <v>0.88228859303283669</v>
      </c>
      <c r="ET8">
        <f t="shared" si="151"/>
        <v>0.88375998479624862</v>
      </c>
      <c r="EU8">
        <f t="shared" si="152"/>
        <v>0.88521298416261784</v>
      </c>
      <c r="EV8">
        <f t="shared" si="153"/>
        <v>0.88664782103690754</v>
      </c>
      <c r="EW8">
        <f t="shared" si="154"/>
        <v>0.88806472245026857</v>
      </c>
      <c r="EX8">
        <f t="shared" si="155"/>
        <v>0.88946391259596258</v>
      </c>
      <c r="EY8">
        <f t="shared" si="156"/>
        <v>0.89084561286483543</v>
      </c>
      <c r="EZ8">
        <f t="shared" si="157"/>
        <v>0.89221004188034736</v>
      </c>
      <c r="FA8">
        <f t="shared" si="158"/>
        <v>0.89355741553316537</v>
      </c>
      <c r="FB8">
        <f t="shared" si="159"/>
        <v>0.89488794701532315</v>
      </c>
      <c r="FC8">
        <f t="shared" si="160"/>
        <v>0.89620184685395399</v>
      </c>
      <c r="FD8">
        <f t="shared" si="161"/>
        <v>0.897499322944602</v>
      </c>
      <c r="FE8">
        <f t="shared" si="162"/>
        <v>0.89878058058411681</v>
      </c>
      <c r="FF8">
        <f t="shared" si="163"/>
        <v>0.90004582250313769</v>
      </c>
      <c r="FG8">
        <f t="shared" si="164"/>
        <v>0.90129524889817081</v>
      </c>
      <c r="FH8">
        <f t="shared" si="165"/>
        <v>0.90252905746326606</v>
      </c>
      <c r="FI8">
        <f t="shared" si="166"/>
        <v>0.90374744342129765</v>
      </c>
      <c r="FJ8">
        <f t="shared" si="167"/>
        <v>0.9049505995548538</v>
      </c>
      <c r="FK8">
        <f t="shared" si="168"/>
        <v>0.90613871623674047</v>
      </c>
      <c r="FL8">
        <f t="shared" si="169"/>
        <v>0.90731198146010361</v>
      </c>
      <c r="FM8">
        <f t="shared" si="170"/>
        <v>0.90847058086817467</v>
      </c>
      <c r="FN8">
        <f t="shared" si="171"/>
        <v>0.9096146977836449</v>
      </c>
      <c r="FO8">
        <f t="shared" si="172"/>
        <v>0.91074451323767169</v>
      </c>
      <c r="FP8">
        <f t="shared" si="173"/>
        <v>0.91186020599852313</v>
      </c>
      <c r="FQ8">
        <f t="shared" si="174"/>
        <v>0.91296195259986401</v>
      </c>
      <c r="FR8">
        <f t="shared" si="175"/>
        <v>0.91404992736868806</v>
      </c>
      <c r="FS8">
        <f t="shared" si="176"/>
        <v>0.91512430245290188</v>
      </c>
      <c r="FT8">
        <f t="shared" si="177"/>
        <v>0.91618524784856303</v>
      </c>
      <c r="FU8">
        <f t="shared" si="178"/>
        <v>0.91723293142677842</v>
      </c>
      <c r="FV8">
        <f t="shared" si="179"/>
        <v>0.91826751896026604</v>
      </c>
      <c r="FW8">
        <f t="shared" si="180"/>
        <v>0.91928917414958511</v>
      </c>
      <c r="FX8">
        <f t="shared" si="181"/>
        <v>0.92029805864903769</v>
      </c>
      <c r="FY8">
        <f t="shared" si="182"/>
        <v>0.92129433209224709</v>
      </c>
      <c r="FZ8">
        <f t="shared" si="183"/>
        <v>0.92227815211741637</v>
      </c>
      <c r="GA8">
        <f t="shared" si="184"/>
        <v>0.92324967439227101</v>
      </c>
      <c r="GB8">
        <f t="shared" si="185"/>
        <v>0.92420905263869002</v>
      </c>
      <c r="GC8">
        <f t="shared" si="186"/>
        <v>0.92515643865702879</v>
      </c>
      <c r="GD8">
        <f t="shared" si="187"/>
        <v>0.92609198235013834</v>
      </c>
      <c r="GE8">
        <f t="shared" si="188"/>
        <v>0.92701583174708402</v>
      </c>
      <c r="GF8">
        <f t="shared" si="189"/>
        <v>0.92792813302656785</v>
      </c>
      <c r="GG8">
        <f t="shared" si="190"/>
        <v>0.92882903054005816</v>
      </c>
      <c r="GH8">
        <f t="shared" si="191"/>
        <v>0.92971866683462978</v>
      </c>
      <c r="GI8">
        <f t="shared" si="192"/>
        <v>0.93059718267551927</v>
      </c>
      <c r="GJ8">
        <f t="shared" si="193"/>
        <v>0.93146471706839762</v>
      </c>
      <c r="GK8">
        <f t="shared" si="194"/>
        <v>0.93232140728136503</v>
      </c>
      <c r="GL8">
        <f t="shared" si="195"/>
        <v>0.93316738886667039</v>
      </c>
      <c r="GM8">
        <f t="shared" si="196"/>
        <v>0.93400279568215938</v>
      </c>
      <c r="GN8">
        <f t="shared" si="197"/>
        <v>0.93482775991245481</v>
      </c>
      <c r="GO8">
        <f t="shared" si="198"/>
        <v>0.93564241208987153</v>
      </c>
      <c r="GP8">
        <f t="shared" si="199"/>
        <v>0.93644688111507057</v>
      </c>
      <c r="GQ8">
        <f t="shared" si="200"/>
        <v>0.93724129427745462</v>
      </c>
      <c r="GR8">
        <f t="shared" si="201"/>
        <v>0.93802577727530878</v>
      </c>
      <c r="GS8">
        <f t="shared" si="202"/>
        <v>0.93880045423568981</v>
      </c>
      <c r="GT8">
        <f t="shared" si="203"/>
        <v>0.93956544773406603</v>
      </c>
      <c r="GU8">
        <f t="shared" si="204"/>
        <v>0.94032087881371262</v>
      </c>
      <c r="GV8">
        <f t="shared" si="205"/>
        <v>0.94106686700486364</v>
      </c>
      <c r="GW8">
        <f t="shared" si="206"/>
        <v>0.94180353034362518</v>
      </c>
      <c r="GX8">
        <f t="shared" si="207"/>
        <v>0.94253098539065228</v>
      </c>
      <c r="GY8">
        <f t="shared" si="208"/>
        <v>0.94324934724959153</v>
      </c>
      <c r="GZ8">
        <f t="shared" si="209"/>
        <v>0.94395872958529403</v>
      </c>
      <c r="HA8">
        <f t="shared" si="210"/>
        <v>0.94465924464180029</v>
      </c>
      <c r="HB8">
        <f t="shared" si="211"/>
        <v>0.94535100326010013</v>
      </c>
      <c r="HC8">
        <f t="shared" si="212"/>
        <v>0.94603411489567124</v>
      </c>
      <c r="HD8">
        <f t="shared" si="213"/>
        <v>0.94670868763579774</v>
      </c>
      <c r="HE8">
        <f t="shared" si="214"/>
        <v>0.94737482821667263</v>
      </c>
      <c r="HF8">
        <f t="shared" si="215"/>
        <v>0.94803264204028659</v>
      </c>
      <c r="HG8">
        <f t="shared" si="216"/>
        <v>0.94868223319110534</v>
      </c>
      <c r="HH8">
        <f t="shared" si="217"/>
        <v>0.94932370445253889</v>
      </c>
      <c r="HI8">
        <f t="shared" si="218"/>
        <v>0.94995715732320452</v>
      </c>
      <c r="HJ8">
        <f t="shared" si="219"/>
        <v>0.95058269203298684</v>
      </c>
      <c r="HK8">
        <f t="shared" si="220"/>
        <v>0.9512004075588969</v>
      </c>
      <c r="HL8">
        <f t="shared" si="221"/>
        <v>0.95181040164073305</v>
      </c>
      <c r="HM8">
        <f t="shared" si="222"/>
        <v>0.95241277079654629</v>
      </c>
      <c r="HN8">
        <f t="shared" si="223"/>
        <v>0.95300761033791181</v>
      </c>
      <c r="HO8">
        <f t="shared" si="224"/>
        <v>0.95359501438501026</v>
      </c>
      <c r="HP8">
        <f t="shared" si="225"/>
        <v>0.95417507588152006</v>
      </c>
      <c r="HQ8">
        <f t="shared" si="226"/>
        <v>0.95474788660932342</v>
      </c>
      <c r="HR8">
        <f t="shared" si="227"/>
        <v>0.95531353720302925</v>
      </c>
      <c r="HS8">
        <f t="shared" si="228"/>
        <v>0.95587211716431375</v>
      </c>
      <c r="HT8">
        <f t="shared" si="229"/>
        <v>0.95642371487608224</v>
      </c>
      <c r="HU8">
        <f t="shared" si="230"/>
        <v>0.95696841761645357</v>
      </c>
      <c r="HV8">
        <f t="shared" si="231"/>
        <v>0.95750631157257027</v>
      </c>
      <c r="HW8">
        <f t="shared" si="232"/>
        <v>0.95803748185423554</v>
      </c>
      <c r="HX8">
        <f t="shared" si="233"/>
        <v>0.95856201250737993</v>
      </c>
      <c r="HY8">
        <f t="shared" si="234"/>
        <v>0.95907998652736004</v>
      </c>
      <c r="HZ8">
        <f t="shared" si="235"/>
        <v>0.95959148587209042</v>
      </c>
      <c r="IA8">
        <f t="shared" si="236"/>
        <v>0.9600965914750117</v>
      </c>
      <c r="IB8">
        <f t="shared" si="237"/>
        <v>0.9605953832578964</v>
      </c>
      <c r="IC8">
        <f t="shared" si="238"/>
        <v>0.96108794014349508</v>
      </c>
      <c r="ID8">
        <f t="shared" si="239"/>
        <v>0.96157434006802378</v>
      </c>
      <c r="IE8">
        <f t="shared" si="240"/>
        <v>0.96205465999349582</v>
      </c>
      <c r="IF8">
        <f t="shared" si="241"/>
        <v>0.9625289759198995</v>
      </c>
      <c r="IG8">
        <f t="shared" si="242"/>
        <v>0.96299736289722315</v>
      </c>
      <c r="IH8">
        <f t="shared" si="243"/>
        <v>0.96345989503733021</v>
      </c>
      <c r="II8">
        <f t="shared" si="244"/>
        <v>0.96391664552568601</v>
      </c>
      <c r="IJ8">
        <f t="shared" si="245"/>
        <v>0.96436768663293737</v>
      </c>
      <c r="IK8">
        <f t="shared" si="246"/>
        <v>0.96481308972634805</v>
      </c>
      <c r="IL8">
        <f t="shared" si="247"/>
        <v>0.96525292528109108</v>
      </c>
      <c r="IM8">
        <f t="shared" si="248"/>
        <v>0.96568726289139983</v>
      </c>
      <c r="IN8">
        <f t="shared" si="249"/>
        <v>0.96611617128157967</v>
      </c>
      <c r="IO8">
        <f t="shared" si="250"/>
        <v>0.96653971831688235</v>
      </c>
      <c r="IP8">
        <f t="shared" si="251"/>
        <v>0.96695797101424374</v>
      </c>
      <c r="IQ8">
        <f t="shared" si="252"/>
        <v>0.96737099555288808</v>
      </c>
      <c r="IR8">
        <f t="shared" si="253"/>
        <v>0.9677788572847994</v>
      </c>
      <c r="IS8">
        <f t="shared" si="254"/>
        <v>0.96818162074506176</v>
      </c>
      <c r="IT8">
        <f t="shared" si="255"/>
        <v>0.96857934966207082</v>
      </c>
      <c r="IU8">
        <f t="shared" si="256"/>
        <v>0.96897210696761737</v>
      </c>
      <c r="IV8">
        <f t="shared" si="257"/>
        <v>0.96935995480684456</v>
      </c>
    </row>
    <row r="9" spans="1:256" x14ac:dyDescent="0.2">
      <c r="A9" t="s">
        <v>479</v>
      </c>
      <c r="B9">
        <f>$B$111</f>
        <v>0.38113487243652344</v>
      </c>
      <c r="C9">
        <f t="shared" si="4"/>
        <v>0.3776206865310669</v>
      </c>
      <c r="D9">
        <f t="shared" si="5"/>
        <v>0.37415042794942854</v>
      </c>
      <c r="E9">
        <f t="shared" si="6"/>
        <v>0.37072354760006071</v>
      </c>
      <c r="F9">
        <f t="shared" si="7"/>
        <v>0.36733950325505993</v>
      </c>
      <c r="G9">
        <f t="shared" si="8"/>
        <v>0.36399775946437168</v>
      </c>
      <c r="H9">
        <f t="shared" si="9"/>
        <v>0.36069778747106707</v>
      </c>
      <c r="I9">
        <f t="shared" si="10"/>
        <v>0.3574390651276787</v>
      </c>
      <c r="J9">
        <f t="shared" si="11"/>
        <v>0.35422107681358272</v>
      </c>
      <c r="K9">
        <f t="shared" si="12"/>
        <v>0.35229331335341296</v>
      </c>
      <c r="L9">
        <f t="shared" si="13"/>
        <v>0.35038964693649532</v>
      </c>
      <c r="M9">
        <f t="shared" si="14"/>
        <v>0.34850977634978914</v>
      </c>
      <c r="N9">
        <f t="shared" si="15"/>
        <v>0.34665340414541679</v>
      </c>
      <c r="O9">
        <f t="shared" si="16"/>
        <v>0.34482023659359906</v>
      </c>
      <c r="P9">
        <f t="shared" si="17"/>
        <v>0.34300998363617907</v>
      </c>
      <c r="Q9">
        <f t="shared" si="18"/>
        <v>0.34122235884072682</v>
      </c>
      <c r="R9">
        <f t="shared" si="19"/>
        <v>0.33945707935521774</v>
      </c>
      <c r="S9">
        <f t="shared" si="20"/>
        <v>0.34021386586327751</v>
      </c>
      <c r="T9">
        <f t="shared" si="21"/>
        <v>0.34096119253998652</v>
      </c>
      <c r="U9">
        <f t="shared" si="22"/>
        <v>0.34169917763323671</v>
      </c>
      <c r="V9">
        <f t="shared" si="23"/>
        <v>0.34242793791282122</v>
      </c>
      <c r="W9">
        <f t="shared" si="24"/>
        <v>0.34314758868891093</v>
      </c>
      <c r="X9">
        <f t="shared" si="25"/>
        <v>0.34385824383029956</v>
      </c>
      <c r="Y9">
        <f t="shared" si="26"/>
        <v>0.34456001578242079</v>
      </c>
      <c r="Z9">
        <f t="shared" si="27"/>
        <v>0.34525301558514054</v>
      </c>
      <c r="AA9">
        <f t="shared" si="28"/>
        <v>0.3448935739827409</v>
      </c>
      <c r="AB9">
        <f t="shared" si="29"/>
        <v>0.34453862540037122</v>
      </c>
      <c r="AC9">
        <f t="shared" si="30"/>
        <v>0.34418811367528118</v>
      </c>
      <c r="AD9">
        <f t="shared" si="31"/>
        <v>0.34384198334675475</v>
      </c>
      <c r="AE9">
        <f t="shared" si="32"/>
        <v>0.34350017964733492</v>
      </c>
      <c r="AF9">
        <f t="shared" si="33"/>
        <v>0.34316264849415784</v>
      </c>
      <c r="AG9">
        <f t="shared" si="34"/>
        <v>0.34282933648039549</v>
      </c>
      <c r="AH9">
        <f t="shared" si="35"/>
        <v>0.34250019086680517</v>
      </c>
      <c r="AI9">
        <f t="shared" si="36"/>
        <v>0.34496566260969325</v>
      </c>
      <c r="AJ9">
        <f t="shared" si="37"/>
        <v>0.34740031595579524</v>
      </c>
      <c r="AK9">
        <f t="shared" si="38"/>
        <v>0.34980453613507095</v>
      </c>
      <c r="AL9">
        <f t="shared" si="39"/>
        <v>0.35217870356210573</v>
      </c>
      <c r="AM9">
        <f t="shared" si="40"/>
        <v>0.35452319389630255</v>
      </c>
      <c r="AN9">
        <f t="shared" si="41"/>
        <v>0.35683837810132191</v>
      </c>
      <c r="AO9">
        <f t="shared" si="42"/>
        <v>0.35912462250377852</v>
      </c>
      <c r="AP9">
        <f t="shared" si="43"/>
        <v>0.36138228885120444</v>
      </c>
      <c r="AQ9">
        <f t="shared" si="44"/>
        <v>0.35811501024056436</v>
      </c>
      <c r="AR9">
        <f t="shared" si="45"/>
        <v>0.3548885726125573</v>
      </c>
      <c r="AS9">
        <f t="shared" si="46"/>
        <v>0.3517024654549003</v>
      </c>
      <c r="AT9">
        <f t="shared" si="47"/>
        <v>0.34855618463671406</v>
      </c>
      <c r="AU9">
        <f t="shared" si="48"/>
        <v>0.34544923232875513</v>
      </c>
      <c r="AV9">
        <f t="shared" si="49"/>
        <v>0.34238111692464568</v>
      </c>
      <c r="AW9">
        <f t="shared" si="50"/>
        <v>0.3393513529630876</v>
      </c>
      <c r="AX9">
        <f t="shared" si="51"/>
        <v>0.33635946105104902</v>
      </c>
      <c r="AY9">
        <f t="shared" si="52"/>
        <v>0.3334049677879109</v>
      </c>
      <c r="AZ9">
        <f t="shared" si="53"/>
        <v>0.33048740569056201</v>
      </c>
      <c r="BA9">
        <f t="shared" si="54"/>
        <v>0.32760631311943</v>
      </c>
      <c r="BB9">
        <f t="shared" si="55"/>
        <v>0.32476123420543712</v>
      </c>
      <c r="BC9">
        <f t="shared" si="56"/>
        <v>0.32195171877786916</v>
      </c>
      <c r="BD9">
        <f t="shared" si="57"/>
        <v>0.31917732229314577</v>
      </c>
      <c r="BE9">
        <f t="shared" si="58"/>
        <v>0.31643760576448143</v>
      </c>
      <c r="BF9">
        <f t="shared" si="59"/>
        <v>0.31373213569242542</v>
      </c>
      <c r="BG9">
        <f t="shared" si="60"/>
        <v>0.31106048399627012</v>
      </c>
      <c r="BH9">
        <f t="shared" si="61"/>
        <v>0.30842222794631674</v>
      </c>
      <c r="BI9">
        <f t="shared" si="62"/>
        <v>0.30581695009698778</v>
      </c>
      <c r="BJ9">
        <f t="shared" si="63"/>
        <v>0.30324423822077545</v>
      </c>
      <c r="BK9">
        <f t="shared" si="64"/>
        <v>0.30070368524301577</v>
      </c>
      <c r="BL9">
        <f t="shared" si="65"/>
        <v>0.29819488917747805</v>
      </c>
      <c r="BM9">
        <f t="shared" si="66"/>
        <v>0.29571745306275959</v>
      </c>
      <c r="BN9">
        <f t="shared" si="67"/>
        <v>0.29327098489947512</v>
      </c>
      <c r="BO9">
        <f t="shared" si="68"/>
        <v>0.29085509758823169</v>
      </c>
      <c r="BP9">
        <f t="shared" si="69"/>
        <v>0.2884694088683788</v>
      </c>
      <c r="BQ9">
        <f t="shared" si="70"/>
        <v>0.28611354125752408</v>
      </c>
      <c r="BR9">
        <f t="shared" si="71"/>
        <v>0.28378712199180506</v>
      </c>
      <c r="BS9">
        <f t="shared" si="72"/>
        <v>0.28148978296690752</v>
      </c>
      <c r="BT9">
        <f t="shared" si="73"/>
        <v>0.27922116067982117</v>
      </c>
      <c r="BU9">
        <f t="shared" si="74"/>
        <v>0.27698089617132338</v>
      </c>
      <c r="BV9">
        <f t="shared" si="75"/>
        <v>0.27476863496918186</v>
      </c>
      <c r="BW9">
        <f t="shared" si="76"/>
        <v>0.27258402703206708</v>
      </c>
      <c r="BX9">
        <f t="shared" si="77"/>
        <v>0.27042672669416623</v>
      </c>
      <c r="BY9">
        <f t="shared" si="78"/>
        <v>0.26829639261048915</v>
      </c>
      <c r="BZ9">
        <f t="shared" si="79"/>
        <v>0.26619268770285803</v>
      </c>
      <c r="CA9">
        <f t="shared" si="80"/>
        <v>0.26411527910657229</v>
      </c>
      <c r="CB9">
        <f t="shared" si="81"/>
        <v>0.26206383811774014</v>
      </c>
      <c r="CC9">
        <f t="shared" si="82"/>
        <v>0.26003804014126841</v>
      </c>
      <c r="CD9">
        <f t="shared" si="83"/>
        <v>0.25803756463950256</v>
      </c>
      <c r="CE9">
        <f t="shared" si="84"/>
        <v>0.25606209508150879</v>
      </c>
      <c r="CF9">
        <f t="shared" si="85"/>
        <v>0.25411131889298993</v>
      </c>
      <c r="CG9">
        <f t="shared" si="86"/>
        <v>0.25218492740682757</v>
      </c>
      <c r="CH9">
        <f t="shared" si="87"/>
        <v>0.25028261581424222</v>
      </c>
      <c r="CI9">
        <f t="shared" si="88"/>
        <v>0.2484040831165642</v>
      </c>
      <c r="CJ9">
        <f t="shared" si="89"/>
        <v>0.24654903207760714</v>
      </c>
      <c r="CK9">
        <f t="shared" si="90"/>
        <v>0.24471716917663705</v>
      </c>
      <c r="CL9">
        <f t="shared" si="91"/>
        <v>0.24290820456192908</v>
      </c>
      <c r="CM9">
        <f t="shared" si="92"/>
        <v>0.24112185200490496</v>
      </c>
      <c r="CN9">
        <f t="shared" si="93"/>
        <v>0.23935782885484366</v>
      </c>
      <c r="CO9">
        <f t="shared" si="94"/>
        <v>0.2376158559941581</v>
      </c>
      <c r="CP9">
        <f t="shared" si="95"/>
        <v>0.23589565779423113</v>
      </c>
      <c r="CQ9">
        <f t="shared" si="96"/>
        <v>0.23419696207180324</v>
      </c>
      <c r="CR9">
        <f t="shared" si="97"/>
        <v>0.23251950004590569</v>
      </c>
      <c r="CS9">
        <f t="shared" si="98"/>
        <v>0.23086300629533185</v>
      </c>
      <c r="CT9">
        <f t="shared" si="99"/>
        <v>0.2292272187166402</v>
      </c>
      <c r="CU9">
        <f t="shared" si="100"/>
        <v>0.22761187848268219</v>
      </c>
      <c r="CV9">
        <f t="shared" si="101"/>
        <v>0.22601673000164865</v>
      </c>
      <c r="CW9">
        <f t="shared" si="102"/>
        <v>0.22444152087662805</v>
      </c>
      <c r="CX9">
        <f t="shared" si="103"/>
        <v>0.2228860018656702</v>
      </c>
      <c r="CY9">
        <f t="shared" si="104"/>
        <v>0.22134992684234933</v>
      </c>
      <c r="CZ9">
        <f t="shared" si="105"/>
        <v>0.21983305275681997</v>
      </c>
      <c r="DA9">
        <f t="shared" si="106"/>
        <v>0.21833513959735973</v>
      </c>
      <c r="DB9">
        <f t="shared" si="107"/>
        <v>0.21685595035239275</v>
      </c>
      <c r="DC9">
        <f t="shared" si="108"/>
        <v>0.21539525097298784</v>
      </c>
      <c r="DD9">
        <f t="shared" si="109"/>
        <v>0.2139528103358255</v>
      </c>
      <c r="DE9">
        <f t="shared" si="110"/>
        <v>0.21252840020662769</v>
      </c>
      <c r="DF9">
        <f t="shared" si="111"/>
        <v>0.21112179520404484</v>
      </c>
      <c r="DG9">
        <f t="shared" si="112"/>
        <v>0.20973277276399427</v>
      </c>
      <c r="DH9">
        <f t="shared" si="113"/>
        <v>0.20836111310444433</v>
      </c>
      <c r="DI9">
        <f t="shared" si="114"/>
        <v>0.20700659919063877</v>
      </c>
      <c r="DJ9">
        <f t="shared" si="115"/>
        <v>0.2056690167007558</v>
      </c>
      <c r="DK9">
        <f t="shared" si="116"/>
        <v>0.20434815399199635</v>
      </c>
      <c r="DL9">
        <f t="shared" si="117"/>
        <v>0.20304380206709641</v>
      </c>
      <c r="DM9">
        <f t="shared" si="118"/>
        <v>0.20175575454125771</v>
      </c>
      <c r="DN9">
        <f t="shared" si="119"/>
        <v>0.200483807609492</v>
      </c>
      <c r="DO9">
        <f t="shared" si="120"/>
        <v>0.19922776001437334</v>
      </c>
      <c r="DP9">
        <f t="shared" si="121"/>
        <v>0.19798741301419367</v>
      </c>
      <c r="DQ9">
        <f t="shared" si="122"/>
        <v>0.19676257035151626</v>
      </c>
      <c r="DR9">
        <f t="shared" si="123"/>
        <v>0.19555303822212231</v>
      </c>
      <c r="DS9">
        <f t="shared" si="124"/>
        <v>0.19435862524434577</v>
      </c>
      <c r="DT9">
        <f t="shared" si="125"/>
        <v>0.19317914242879144</v>
      </c>
      <c r="DU9">
        <f t="shared" si="126"/>
        <v>0.19201440314843154</v>
      </c>
      <c r="DV9">
        <f t="shared" si="127"/>
        <v>0.19086422310907616</v>
      </c>
      <c r="DW9">
        <f t="shared" si="128"/>
        <v>0.1897284203202127</v>
      </c>
      <c r="DX9">
        <f t="shared" si="129"/>
        <v>0.18860681506621005</v>
      </c>
      <c r="DY9">
        <f t="shared" si="130"/>
        <v>0.18749922987788242</v>
      </c>
      <c r="DZ9">
        <f t="shared" si="131"/>
        <v>0.18640548950440888</v>
      </c>
      <c r="EA9">
        <f t="shared" si="132"/>
        <v>0.18532542088560378</v>
      </c>
      <c r="EB9">
        <f t="shared" si="133"/>
        <v>0.18425885312453372</v>
      </c>
      <c r="EC9">
        <f t="shared" si="134"/>
        <v>0.18320561746047703</v>
      </c>
      <c r="ED9">
        <f t="shared" si="135"/>
        <v>0.18216554724222106</v>
      </c>
      <c r="EE9">
        <f t="shared" si="136"/>
        <v>0.1811384779016933</v>
      </c>
      <c r="EF9">
        <f t="shared" si="137"/>
        <v>0.18012424692792212</v>
      </c>
      <c r="EG9">
        <f t="shared" si="138"/>
        <v>0.17912269384132309</v>
      </c>
      <c r="EH9">
        <f t="shared" si="139"/>
        <v>0.17813366016830656</v>
      </c>
      <c r="EI9">
        <f t="shared" si="140"/>
        <v>0.17715698941620273</v>
      </c>
      <c r="EJ9">
        <f t="shared" si="141"/>
        <v>0.17619252704850019</v>
      </c>
      <c r="EK9">
        <f t="shared" si="142"/>
        <v>0.17524012046039394</v>
      </c>
      <c r="EL9">
        <f t="shared" si="143"/>
        <v>0.17429961895463902</v>
      </c>
      <c r="EM9">
        <f t="shared" si="144"/>
        <v>0.17337087371770604</v>
      </c>
      <c r="EN9">
        <f t="shared" si="145"/>
        <v>0.17245373779623471</v>
      </c>
      <c r="EO9">
        <f t="shared" si="146"/>
        <v>0.17154806607378179</v>
      </c>
      <c r="EP9">
        <f t="shared" si="147"/>
        <v>0.17065371524785952</v>
      </c>
      <c r="EQ9">
        <f t="shared" si="148"/>
        <v>0.16977054380726128</v>
      </c>
      <c r="ER9">
        <f t="shared" si="149"/>
        <v>0.16889841200967051</v>
      </c>
      <c r="ES9">
        <f t="shared" si="150"/>
        <v>0.16803718185954963</v>
      </c>
      <c r="ET9">
        <f t="shared" si="151"/>
        <v>0.16718671708630525</v>
      </c>
      <c r="EU9">
        <f t="shared" si="152"/>
        <v>0.16634688312272644</v>
      </c>
      <c r="EV9">
        <f t="shared" si="153"/>
        <v>0.16551754708369237</v>
      </c>
      <c r="EW9">
        <f t="shared" si="154"/>
        <v>0.16469857774514621</v>
      </c>
      <c r="EX9">
        <f t="shared" si="155"/>
        <v>0.16388984552333188</v>
      </c>
      <c r="EY9">
        <f t="shared" si="156"/>
        <v>0.16309122245429022</v>
      </c>
      <c r="EZ9">
        <f t="shared" si="157"/>
        <v>0.1623025821736116</v>
      </c>
      <c r="FA9">
        <f t="shared" si="158"/>
        <v>0.16152379989644144</v>
      </c>
      <c r="FB9">
        <f t="shared" si="159"/>
        <v>0.16075475239773593</v>
      </c>
      <c r="FC9">
        <f t="shared" si="160"/>
        <v>0.15999531799276423</v>
      </c>
      <c r="FD9">
        <f t="shared" si="161"/>
        <v>0.15924537651785467</v>
      </c>
      <c r="FE9">
        <f t="shared" si="162"/>
        <v>0.1585048093113815</v>
      </c>
      <c r="FF9">
        <f t="shared" si="163"/>
        <v>0.15777349919498923</v>
      </c>
      <c r="FG9">
        <f t="shared" si="164"/>
        <v>0.15705133045505187</v>
      </c>
      <c r="FH9">
        <f t="shared" si="165"/>
        <v>0.15633818882436373</v>
      </c>
      <c r="FI9">
        <f t="shared" si="166"/>
        <v>0.1556339614640592</v>
      </c>
      <c r="FJ9">
        <f t="shared" si="167"/>
        <v>0.15493853694575846</v>
      </c>
      <c r="FK9">
        <f t="shared" si="168"/>
        <v>0.15425180523393647</v>
      </c>
      <c r="FL9">
        <f t="shared" si="169"/>
        <v>0.15357365766851228</v>
      </c>
      <c r="FM9">
        <f t="shared" si="170"/>
        <v>0.15290398694765586</v>
      </c>
      <c r="FN9">
        <f t="shared" si="171"/>
        <v>0.15224268711081015</v>
      </c>
      <c r="FO9">
        <f t="shared" si="172"/>
        <v>0.15158965352192502</v>
      </c>
      <c r="FP9">
        <f t="shared" si="173"/>
        <v>0.15094478285290097</v>
      </c>
      <c r="FQ9">
        <f t="shared" si="174"/>
        <v>0.1503079730672397</v>
      </c>
      <c r="FR9">
        <f t="shared" si="175"/>
        <v>0.14967912340389919</v>
      </c>
      <c r="FS9">
        <f t="shared" si="176"/>
        <v>0.14905813436135046</v>
      </c>
      <c r="FT9">
        <f t="shared" si="177"/>
        <v>0.14844490768183358</v>
      </c>
      <c r="FU9">
        <f t="shared" si="178"/>
        <v>0.14783934633581067</v>
      </c>
      <c r="FV9">
        <f t="shared" si="179"/>
        <v>0.14724135450661302</v>
      </c>
      <c r="FW9">
        <f t="shared" si="180"/>
        <v>0.14665083757528036</v>
      </c>
      <c r="FX9">
        <f t="shared" si="181"/>
        <v>0.14606770210558936</v>
      </c>
      <c r="FY9">
        <f t="shared" si="182"/>
        <v>0.14549185582926949</v>
      </c>
      <c r="FZ9">
        <f t="shared" si="183"/>
        <v>0.14492320763140362</v>
      </c>
      <c r="GA9">
        <f t="shared" si="184"/>
        <v>0.14436166753601107</v>
      </c>
      <c r="GB9">
        <f t="shared" si="185"/>
        <v>0.14380714669181094</v>
      </c>
      <c r="GC9">
        <f t="shared" si="186"/>
        <v>0.14325955735816331</v>
      </c>
      <c r="GD9">
        <f t="shared" si="187"/>
        <v>0.14271881289118626</v>
      </c>
      <c r="GE9">
        <f t="shared" si="188"/>
        <v>0.14218482773004643</v>
      </c>
      <c r="GF9">
        <f t="shared" si="189"/>
        <v>0.14165751738342083</v>
      </c>
      <c r="GG9">
        <f t="shared" si="190"/>
        <v>0.14113679841612808</v>
      </c>
      <c r="GH9">
        <f t="shared" si="191"/>
        <v>0.14062258843592648</v>
      </c>
      <c r="GI9">
        <f t="shared" si="192"/>
        <v>0.14011480608047741</v>
      </c>
      <c r="GJ9">
        <f t="shared" si="193"/>
        <v>0.13961337100447144</v>
      </c>
      <c r="GK9">
        <f t="shared" si="194"/>
        <v>0.13911820386691554</v>
      </c>
      <c r="GL9">
        <f t="shared" si="195"/>
        <v>0.1386292263185791</v>
      </c>
      <c r="GM9">
        <f t="shared" si="196"/>
        <v>0.13814636098959687</v>
      </c>
      <c r="GN9">
        <f t="shared" si="197"/>
        <v>0.13766953147722691</v>
      </c>
      <c r="GO9">
        <f t="shared" si="198"/>
        <v>0.13719866233376157</v>
      </c>
      <c r="GP9">
        <f t="shared" si="199"/>
        <v>0.13673367905458955</v>
      </c>
      <c r="GQ9">
        <f t="shared" si="200"/>
        <v>0.13627450806640717</v>
      </c>
      <c r="GR9">
        <f t="shared" si="201"/>
        <v>0.13582107671557708</v>
      </c>
      <c r="GS9">
        <f t="shared" si="202"/>
        <v>0.13537331325663238</v>
      </c>
      <c r="GT9">
        <f t="shared" si="203"/>
        <v>0.13493114684092447</v>
      </c>
      <c r="GU9">
        <f t="shared" si="204"/>
        <v>0.13449450750541292</v>
      </c>
      <c r="GV9">
        <f t="shared" si="205"/>
        <v>0.13406332616159525</v>
      </c>
      <c r="GW9">
        <f t="shared" si="206"/>
        <v>0.13363753458457531</v>
      </c>
      <c r="GX9">
        <f t="shared" si="207"/>
        <v>0.1332170654022681</v>
      </c>
      <c r="GY9">
        <f t="shared" si="208"/>
        <v>0.13280185208473974</v>
      </c>
      <c r="GZ9">
        <f t="shared" si="209"/>
        <v>0.13239182893368048</v>
      </c>
      <c r="HA9">
        <f t="shared" si="210"/>
        <v>0.13198693107200948</v>
      </c>
      <c r="HB9">
        <f t="shared" si="211"/>
        <v>0.13158709443360936</v>
      </c>
      <c r="HC9">
        <f t="shared" si="212"/>
        <v>0.13119225575318924</v>
      </c>
      <c r="HD9">
        <f t="shared" si="213"/>
        <v>0.13080235255627437</v>
      </c>
      <c r="HE9">
        <f t="shared" si="214"/>
        <v>0.13041732314932095</v>
      </c>
      <c r="HF9">
        <f t="shared" si="215"/>
        <v>0.13003710660995443</v>
      </c>
      <c r="HG9">
        <f t="shared" si="216"/>
        <v>0.12966164277733</v>
      </c>
      <c r="HH9">
        <f t="shared" si="217"/>
        <v>0.12929087224261337</v>
      </c>
      <c r="HI9">
        <f t="shared" si="218"/>
        <v>0.12892473633958071</v>
      </c>
      <c r="HJ9">
        <f t="shared" si="219"/>
        <v>0.12856317713533594</v>
      </c>
      <c r="HK9">
        <f t="shared" si="220"/>
        <v>0.12820613742114423</v>
      </c>
      <c r="HL9">
        <f t="shared" si="221"/>
        <v>0.12785356070337991</v>
      </c>
      <c r="HM9">
        <f t="shared" si="222"/>
        <v>0.12750539119458768</v>
      </c>
      <c r="HN9">
        <f t="shared" si="223"/>
        <v>0.12716157380465534</v>
      </c>
      <c r="HO9">
        <f t="shared" si="224"/>
        <v>0.12682205413209716</v>
      </c>
      <c r="HP9">
        <f t="shared" si="225"/>
        <v>0.12648677845544595</v>
      </c>
      <c r="HQ9">
        <f t="shared" si="226"/>
        <v>0.12615569372475288</v>
      </c>
      <c r="HR9">
        <f t="shared" si="227"/>
        <v>0.12582874755319348</v>
      </c>
      <c r="HS9">
        <f t="shared" si="228"/>
        <v>0.12550588820877856</v>
      </c>
      <c r="HT9">
        <f t="shared" si="229"/>
        <v>0.12518706460616882</v>
      </c>
      <c r="HU9">
        <f t="shared" si="230"/>
        <v>0.12487222629859171</v>
      </c>
      <c r="HV9">
        <f t="shared" si="231"/>
        <v>0.12456132346985932</v>
      </c>
      <c r="HW9">
        <f t="shared" si="232"/>
        <v>0.12425430692648608</v>
      </c>
      <c r="HX9">
        <f t="shared" si="233"/>
        <v>0.12395112808990501</v>
      </c>
      <c r="HY9">
        <f t="shared" si="234"/>
        <v>0.12365173898878119</v>
      </c>
      <c r="HZ9">
        <f t="shared" si="235"/>
        <v>0.12335609225142143</v>
      </c>
      <c r="IA9">
        <f t="shared" si="236"/>
        <v>0.12306414109827866</v>
      </c>
      <c r="IB9">
        <f t="shared" si="237"/>
        <v>0.12277583933455018</v>
      </c>
      <c r="IC9">
        <f t="shared" si="238"/>
        <v>0.1224911413428683</v>
      </c>
      <c r="ID9">
        <f t="shared" si="239"/>
        <v>0.12221000207608244</v>
      </c>
      <c r="IE9">
        <f t="shared" si="240"/>
        <v>0.12193237705013141</v>
      </c>
      <c r="IF9">
        <f t="shared" si="241"/>
        <v>0.12165822233700477</v>
      </c>
      <c r="IG9">
        <f t="shared" si="242"/>
        <v>0.12138749455779221</v>
      </c>
      <c r="IH9">
        <f t="shared" si="243"/>
        <v>0.12112015087581982</v>
      </c>
      <c r="II9">
        <f t="shared" si="244"/>
        <v>0.12085614898987207</v>
      </c>
      <c r="IJ9">
        <f t="shared" si="245"/>
        <v>0.12059544712749867</v>
      </c>
      <c r="IK9">
        <f t="shared" si="246"/>
        <v>0.12033800403840494</v>
      </c>
      <c r="IL9">
        <f t="shared" si="247"/>
        <v>0.12008377898792488</v>
      </c>
      <c r="IM9">
        <f t="shared" si="248"/>
        <v>0.11983273175057582</v>
      </c>
      <c r="IN9">
        <f t="shared" si="249"/>
        <v>0.11958482260369363</v>
      </c>
      <c r="IO9">
        <f t="shared" si="250"/>
        <v>0.11934001232114747</v>
      </c>
      <c r="IP9">
        <f t="shared" si="251"/>
        <v>0.11909826216713312</v>
      </c>
      <c r="IQ9">
        <f t="shared" si="252"/>
        <v>0.11885953389004396</v>
      </c>
      <c r="IR9">
        <f t="shared" si="253"/>
        <v>0.1186237897164184</v>
      </c>
      <c r="IS9">
        <f t="shared" si="254"/>
        <v>0.11839099234496317</v>
      </c>
      <c r="IT9">
        <f t="shared" si="255"/>
        <v>0.11816110494065113</v>
      </c>
      <c r="IU9">
        <f t="shared" si="256"/>
        <v>0.11793409112889298</v>
      </c>
      <c r="IV9">
        <f t="shared" si="257"/>
        <v>0.11770991498978182</v>
      </c>
    </row>
    <row r="10" spans="1:256" x14ac:dyDescent="0.2">
      <c r="A10" t="s">
        <v>480</v>
      </c>
      <c r="B10">
        <f>$B$112</f>
        <v>0.49241348266601564</v>
      </c>
      <c r="C10">
        <f t="shared" si="4"/>
        <v>0.48930578620769427</v>
      </c>
      <c r="D10">
        <f t="shared" si="5"/>
        <v>0.4956894638800981</v>
      </c>
      <c r="E10">
        <f t="shared" si="6"/>
        <v>0.50199334558159692</v>
      </c>
      <c r="F10">
        <f t="shared" si="7"/>
        <v>0.50821842876182699</v>
      </c>
      <c r="G10">
        <f t="shared" si="8"/>
        <v>0.51436569840230417</v>
      </c>
      <c r="H10">
        <f t="shared" si="9"/>
        <v>0.52043612717227539</v>
      </c>
      <c r="I10">
        <f t="shared" si="10"/>
        <v>0.52643067558262191</v>
      </c>
      <c r="J10">
        <f t="shared" si="11"/>
        <v>0.53235029213783913</v>
      </c>
      <c r="K10">
        <f t="shared" si="12"/>
        <v>0.53819591348611617</v>
      </c>
      <c r="L10">
        <f t="shared" si="13"/>
        <v>0.54396846456753967</v>
      </c>
      <c r="M10">
        <f t="shared" si="14"/>
        <v>0.54966885876044547</v>
      </c>
      <c r="N10">
        <f t="shared" si="15"/>
        <v>0.55529799802593993</v>
      </c>
      <c r="O10">
        <f t="shared" si="16"/>
        <v>0.56085677305061565</v>
      </c>
      <c r="P10">
        <f t="shared" si="17"/>
        <v>0.56634606338748295</v>
      </c>
      <c r="Q10">
        <f t="shared" si="18"/>
        <v>0.57176673759513941</v>
      </c>
      <c r="R10">
        <f t="shared" si="19"/>
        <v>0.57711965337520021</v>
      </c>
      <c r="S10">
        <f t="shared" si="20"/>
        <v>0.5797537654173599</v>
      </c>
      <c r="T10">
        <f t="shared" si="21"/>
        <v>0.58259495456337762</v>
      </c>
      <c r="U10">
        <f t="shared" si="22"/>
        <v>0.58563677976068396</v>
      </c>
      <c r="V10">
        <f t="shared" si="23"/>
        <v>0.58887280648473361</v>
      </c>
      <c r="W10">
        <f t="shared" si="24"/>
        <v>0.59229661484775076</v>
      </c>
      <c r="X10">
        <f t="shared" si="25"/>
        <v>0.59590180717033858</v>
      </c>
      <c r="Y10">
        <f t="shared" si="26"/>
        <v>0.59968201504287699</v>
      </c>
      <c r="Z10">
        <f t="shared" si="27"/>
        <v>0.60363090590236068</v>
      </c>
      <c r="AA10">
        <f t="shared" si="28"/>
        <v>0.59759346684648951</v>
      </c>
      <c r="AB10">
        <f t="shared" si="29"/>
        <v>0.59171689575510633</v>
      </c>
      <c r="AC10">
        <f t="shared" si="30"/>
        <v>0.58599969239643379</v>
      </c>
      <c r="AD10">
        <f t="shared" si="31"/>
        <v>0.58044032540443291</v>
      </c>
      <c r="AE10">
        <f t="shared" si="32"/>
        <v>0.57503723446246169</v>
      </c>
      <c r="AF10">
        <f t="shared" si="33"/>
        <v>0.56978883240589495</v>
      </c>
      <c r="AG10">
        <f t="shared" si="34"/>
        <v>0.56469350724623157</v>
      </c>
      <c r="AH10">
        <f t="shared" si="35"/>
        <v>0.55974962411914175</v>
      </c>
      <c r="AI10">
        <f t="shared" si="36"/>
        <v>0.5652527538176525</v>
      </c>
      <c r="AJ10">
        <f t="shared" si="37"/>
        <v>0.57068709439493182</v>
      </c>
      <c r="AK10">
        <f t="shared" si="38"/>
        <v>0.57605350571499514</v>
      </c>
      <c r="AL10">
        <f t="shared" si="39"/>
        <v>0.58135283689355766</v>
      </c>
      <c r="AM10">
        <f t="shared" si="40"/>
        <v>0.58658592643238816</v>
      </c>
      <c r="AN10">
        <f t="shared" si="41"/>
        <v>0.59175360235198327</v>
      </c>
      <c r="AO10">
        <f t="shared" si="42"/>
        <v>0.59685668232258349</v>
      </c>
      <c r="AP10">
        <f t="shared" si="43"/>
        <v>0.6018959737935512</v>
      </c>
      <c r="AQ10">
        <f t="shared" si="44"/>
        <v>0.60687227412113176</v>
      </c>
      <c r="AR10">
        <f t="shared" si="45"/>
        <v>0.61178637069461761</v>
      </c>
      <c r="AS10">
        <f t="shared" si="46"/>
        <v>0.61663904106093492</v>
      </c>
      <c r="AT10">
        <f t="shared" si="47"/>
        <v>0.62143105304767321</v>
      </c>
      <c r="AU10">
        <f t="shared" si="48"/>
        <v>0.62616316488457735</v>
      </c>
      <c r="AV10">
        <f t="shared" si="49"/>
        <v>0.63083612532352018</v>
      </c>
      <c r="AW10">
        <f t="shared" si="50"/>
        <v>0.63545067375697617</v>
      </c>
      <c r="AX10">
        <f t="shared" si="51"/>
        <v>0.64000754033501395</v>
      </c>
      <c r="AY10">
        <f t="shared" si="52"/>
        <v>0.6408715476003688</v>
      </c>
      <c r="AZ10">
        <f t="shared" si="53"/>
        <v>0.64206689578551912</v>
      </c>
      <c r="BA10">
        <f t="shared" si="54"/>
        <v>0.64359015374337869</v>
      </c>
      <c r="BB10">
        <f t="shared" si="55"/>
        <v>0.64543802220845148</v>
      </c>
      <c r="BC10">
        <f t="shared" si="56"/>
        <v>0.64760733320273967</v>
      </c>
      <c r="BD10">
        <f t="shared" si="57"/>
        <v>0.65009504945356267</v>
      </c>
      <c r="BE10">
        <f t="shared" si="58"/>
        <v>0.65289826384266725</v>
      </c>
      <c r="BF10">
        <f t="shared" si="59"/>
        <v>0.65601419890236445</v>
      </c>
      <c r="BG10">
        <f t="shared" si="60"/>
        <v>0.65944020637140233</v>
      </c>
      <c r="BH10">
        <f t="shared" si="61"/>
        <v>0.66317376682076901</v>
      </c>
      <c r="BI10">
        <f t="shared" si="62"/>
        <v>0.66721248935751942</v>
      </c>
      <c r="BJ10">
        <f t="shared" si="63"/>
        <v>0.67137233324055046</v>
      </c>
      <c r="BK10">
        <f t="shared" si="64"/>
        <v>0.67548017907504354</v>
      </c>
      <c r="BL10">
        <f t="shared" si="65"/>
        <v>0.67953667683660546</v>
      </c>
      <c r="BM10">
        <f t="shared" si="66"/>
        <v>0.68354246837614785</v>
      </c>
      <c r="BN10">
        <f t="shared" si="67"/>
        <v>0.68749818752144598</v>
      </c>
      <c r="BO10">
        <f t="shared" si="68"/>
        <v>0.69140446017742796</v>
      </c>
      <c r="BP10">
        <f t="shared" si="69"/>
        <v>0.69526190442521008</v>
      </c>
      <c r="BQ10">
        <f t="shared" si="70"/>
        <v>0.6990711306198949</v>
      </c>
      <c r="BR10">
        <f t="shared" si="71"/>
        <v>0.70283274148714625</v>
      </c>
      <c r="BS10">
        <f t="shared" si="72"/>
        <v>0.70654733221855692</v>
      </c>
      <c r="BT10">
        <f t="shared" si="73"/>
        <v>0.710215490565825</v>
      </c>
      <c r="BU10">
        <f t="shared" si="74"/>
        <v>0.71383779693375216</v>
      </c>
      <c r="BV10">
        <f t="shared" si="75"/>
        <v>0.71741482447208027</v>
      </c>
      <c r="BW10">
        <f t="shared" si="76"/>
        <v>0.72094713916617925</v>
      </c>
      <c r="BX10">
        <f t="shared" si="77"/>
        <v>0.72443529992660205</v>
      </c>
      <c r="BY10">
        <f t="shared" si="78"/>
        <v>0.72787985867751948</v>
      </c>
      <c r="BZ10">
        <f t="shared" si="79"/>
        <v>0.73128136044405045</v>
      </c>
      <c r="CA10">
        <f t="shared" si="80"/>
        <v>0.73464034343849982</v>
      </c>
      <c r="CB10">
        <f t="shared" si="81"/>
        <v>0.73795733914551853</v>
      </c>
      <c r="CC10">
        <f t="shared" si="82"/>
        <v>0.74123287240619951</v>
      </c>
      <c r="CD10">
        <f t="shared" si="83"/>
        <v>0.74446746150112197</v>
      </c>
      <c r="CE10">
        <f t="shared" si="84"/>
        <v>0.74766161823235799</v>
      </c>
      <c r="CF10">
        <f t="shared" si="85"/>
        <v>0.75081584800445356</v>
      </c>
      <c r="CG10">
        <f t="shared" si="86"/>
        <v>0.75393064990439784</v>
      </c>
      <c r="CH10">
        <f t="shared" si="87"/>
        <v>0.75700651678059283</v>
      </c>
      <c r="CI10">
        <f t="shared" si="88"/>
        <v>0.76004393532083547</v>
      </c>
      <c r="CJ10">
        <f t="shared" si="89"/>
        <v>0.76304338612932499</v>
      </c>
      <c r="CK10">
        <f t="shared" si="90"/>
        <v>0.76600534380270846</v>
      </c>
      <c r="CL10">
        <f t="shared" si="91"/>
        <v>0.76893027700517458</v>
      </c>
      <c r="CM10">
        <f t="shared" si="92"/>
        <v>0.77181864854260984</v>
      </c>
      <c r="CN10">
        <f t="shared" si="93"/>
        <v>0.77467091543582722</v>
      </c>
      <c r="CO10">
        <f t="shared" si="94"/>
        <v>0.77748752899287943</v>
      </c>
      <c r="CP10">
        <f t="shared" si="95"/>
        <v>0.78026893488046845</v>
      </c>
      <c r="CQ10">
        <f t="shared" si="96"/>
        <v>0.78301557319446258</v>
      </c>
      <c r="CR10">
        <f t="shared" si="97"/>
        <v>0.78572787852953174</v>
      </c>
      <c r="CS10">
        <f t="shared" si="98"/>
        <v>0.78840628004791258</v>
      </c>
      <c r="CT10">
        <f t="shared" si="99"/>
        <v>0.79105120154731368</v>
      </c>
      <c r="CU10">
        <f t="shared" si="100"/>
        <v>0.79366306152797228</v>
      </c>
      <c r="CV10">
        <f t="shared" si="101"/>
        <v>0.79624227325887265</v>
      </c>
      <c r="CW10">
        <f t="shared" si="102"/>
        <v>0.79878924484313674</v>
      </c>
      <c r="CX10">
        <f t="shared" si="103"/>
        <v>0.80130437928259757</v>
      </c>
      <c r="CY10">
        <f t="shared" si="104"/>
        <v>0.80378807454156509</v>
      </c>
      <c r="CZ10">
        <f t="shared" si="105"/>
        <v>0.80624072360979548</v>
      </c>
      <c r="DA10">
        <f t="shared" si="106"/>
        <v>0.80866271456467309</v>
      </c>
      <c r="DB10">
        <f t="shared" si="107"/>
        <v>0.81105443063261473</v>
      </c>
      <c r="DC10">
        <f t="shared" si="108"/>
        <v>0.8134162502497071</v>
      </c>
      <c r="DD10">
        <f t="shared" si="109"/>
        <v>0.81574854712158573</v>
      </c>
      <c r="DE10">
        <f t="shared" si="110"/>
        <v>0.81805169028256586</v>
      </c>
      <c r="DF10">
        <f t="shared" si="111"/>
        <v>0.82032604415403376</v>
      </c>
      <c r="DG10">
        <f t="shared" si="112"/>
        <v>0.82257196860210835</v>
      </c>
      <c r="DH10">
        <f t="shared" si="113"/>
        <v>0.82478981899458204</v>
      </c>
      <c r="DI10">
        <f t="shared" si="114"/>
        <v>0.82697994625714977</v>
      </c>
      <c r="DJ10">
        <f t="shared" si="115"/>
        <v>0.82914269692893539</v>
      </c>
      <c r="DK10">
        <f t="shared" si="116"/>
        <v>0.83127841321732365</v>
      </c>
      <c r="DL10">
        <f t="shared" si="117"/>
        <v>0.83338743305210716</v>
      </c>
      <c r="DM10">
        <f t="shared" si="118"/>
        <v>0.83547009013895579</v>
      </c>
      <c r="DN10">
        <f t="shared" si="119"/>
        <v>0.8375267140122189</v>
      </c>
      <c r="DO10">
        <f t="shared" si="120"/>
        <v>0.83955763008706619</v>
      </c>
      <c r="DP10">
        <f t="shared" si="121"/>
        <v>0.84156315971097784</v>
      </c>
      <c r="DQ10">
        <f t="shared" si="122"/>
        <v>0.84354362021459062</v>
      </c>
      <c r="DR10">
        <f t="shared" si="123"/>
        <v>0.84549932496190827</v>
      </c>
      <c r="DS10">
        <f t="shared" si="124"/>
        <v>0.84743058339988442</v>
      </c>
      <c r="DT10">
        <f t="shared" si="125"/>
        <v>0.84933770110738582</v>
      </c>
      <c r="DU10">
        <f t="shared" si="126"/>
        <v>0.8512209798435435</v>
      </c>
      <c r="DV10">
        <f t="shared" si="127"/>
        <v>0.85308071759549919</v>
      </c>
      <c r="DW10">
        <f t="shared" si="128"/>
        <v>0.85491720862555542</v>
      </c>
      <c r="DX10">
        <f t="shared" si="129"/>
        <v>0.85673074351773604</v>
      </c>
      <c r="DY10">
        <f t="shared" si="130"/>
        <v>0.8585216092237643</v>
      </c>
      <c r="DZ10">
        <f t="shared" si="131"/>
        <v>0.86029008910846727</v>
      </c>
      <c r="EA10">
        <f t="shared" si="132"/>
        <v>0.86203646299461145</v>
      </c>
      <c r="EB10">
        <f t="shared" si="133"/>
        <v>0.86376100720717885</v>
      </c>
      <c r="EC10">
        <f t="shared" si="134"/>
        <v>0.86546399461708912</v>
      </c>
      <c r="ED10">
        <f t="shared" si="135"/>
        <v>0.86714569468437552</v>
      </c>
      <c r="EE10">
        <f t="shared" si="136"/>
        <v>0.86880637350082079</v>
      </c>
      <c r="EF10">
        <f t="shared" si="137"/>
        <v>0.87044629383206051</v>
      </c>
      <c r="EG10">
        <f t="shared" si="138"/>
        <v>0.87206571515915976</v>
      </c>
      <c r="EH10">
        <f t="shared" si="139"/>
        <v>0.87366489371967027</v>
      </c>
      <c r="EI10">
        <f t="shared" si="140"/>
        <v>0.87524408254817443</v>
      </c>
      <c r="EJ10">
        <f t="shared" si="141"/>
        <v>0.87680353151632229</v>
      </c>
      <c r="EK10">
        <f t="shared" si="142"/>
        <v>0.87834348737236823</v>
      </c>
      <c r="EL10">
        <f t="shared" si="143"/>
        <v>0.87986419378021363</v>
      </c>
      <c r="EM10">
        <f t="shared" si="144"/>
        <v>0.88136589135796095</v>
      </c>
      <c r="EN10">
        <f t="shared" si="145"/>
        <v>0.88284881771598644</v>
      </c>
      <c r="EO10">
        <f t="shared" si="146"/>
        <v>0.88431320749453657</v>
      </c>
      <c r="EP10">
        <f t="shared" si="147"/>
        <v>0.88575929240085483</v>
      </c>
      <c r="EQ10">
        <f t="shared" si="148"/>
        <v>0.88718730124584411</v>
      </c>
      <c r="ER10">
        <f t="shared" si="149"/>
        <v>0.88859745998027106</v>
      </c>
      <c r="ES10">
        <f t="shared" si="150"/>
        <v>0.88998999173051763</v>
      </c>
      <c r="ET10">
        <f t="shared" si="151"/>
        <v>0.8913651168338862</v>
      </c>
      <c r="EU10">
        <f t="shared" si="152"/>
        <v>0.89272305287346265</v>
      </c>
      <c r="EV10">
        <f t="shared" si="153"/>
        <v>0.89406401471254437</v>
      </c>
      <c r="EW10">
        <f t="shared" si="154"/>
        <v>0.89538821452863759</v>
      </c>
      <c r="EX10">
        <f t="shared" si="155"/>
        <v>0.89669586184702965</v>
      </c>
      <c r="EY10">
        <f t="shared" si="156"/>
        <v>0.89798716357394182</v>
      </c>
      <c r="EZ10">
        <f t="shared" si="157"/>
        <v>0.89926232402926753</v>
      </c>
      <c r="FA10">
        <f t="shared" si="158"/>
        <v>0.90052154497890169</v>
      </c>
      <c r="FB10">
        <f t="shared" si="159"/>
        <v>0.90176502566666539</v>
      </c>
      <c r="FC10">
        <f t="shared" si="160"/>
        <v>0.90299296284583208</v>
      </c>
      <c r="FD10">
        <f t="shared" si="161"/>
        <v>0.90420555081025922</v>
      </c>
      <c r="FE10">
        <f t="shared" si="162"/>
        <v>0.90540298142513098</v>
      </c>
      <c r="FF10">
        <f t="shared" si="163"/>
        <v>0.9065854441573169</v>
      </c>
      <c r="FG10">
        <f t="shared" si="164"/>
        <v>0.90775312610535042</v>
      </c>
      <c r="FH10">
        <f t="shared" si="165"/>
        <v>0.90890621202903354</v>
      </c>
      <c r="FI10">
        <f t="shared" si="166"/>
        <v>0.91004488437867059</v>
      </c>
      <c r="FJ10">
        <f t="shared" si="167"/>
        <v>0.91116932332393719</v>
      </c>
      <c r="FK10">
        <f t="shared" si="168"/>
        <v>0.91227970678238801</v>
      </c>
      <c r="FL10">
        <f t="shared" si="169"/>
        <v>0.91337621044760819</v>
      </c>
      <c r="FM10">
        <f t="shared" si="170"/>
        <v>0.91445900781701306</v>
      </c>
      <c r="FN10">
        <f t="shared" si="171"/>
        <v>0.91552827021930039</v>
      </c>
      <c r="FO10">
        <f t="shared" si="172"/>
        <v>0.91658416684155908</v>
      </c>
      <c r="FP10">
        <f t="shared" si="173"/>
        <v>0.91762686475603961</v>
      </c>
      <c r="FQ10">
        <f t="shared" si="174"/>
        <v>0.91865652894658911</v>
      </c>
      <c r="FR10">
        <f t="shared" si="175"/>
        <v>0.91967332233475674</v>
      </c>
      <c r="FS10">
        <f t="shared" si="176"/>
        <v>0.92067740580557222</v>
      </c>
      <c r="FT10">
        <f t="shared" si="177"/>
        <v>0.92166893823300255</v>
      </c>
      <c r="FU10">
        <f t="shared" si="178"/>
        <v>0.92264807650509006</v>
      </c>
      <c r="FV10">
        <f t="shared" si="179"/>
        <v>0.92361497554877647</v>
      </c>
      <c r="FW10">
        <f t="shared" si="180"/>
        <v>0.92456978835441672</v>
      </c>
      <c r="FX10">
        <f t="shared" si="181"/>
        <v>0.92551266599998649</v>
      </c>
      <c r="FY10">
        <f t="shared" si="182"/>
        <v>0.92644375767498666</v>
      </c>
      <c r="FZ10">
        <f t="shared" si="183"/>
        <v>0.92736321070404937</v>
      </c>
      <c r="GA10">
        <f t="shared" si="184"/>
        <v>0.92827117057024877</v>
      </c>
      <c r="GB10">
        <f t="shared" si="185"/>
        <v>0.92916778093812069</v>
      </c>
      <c r="GC10">
        <f t="shared" si="186"/>
        <v>0.93005318367639422</v>
      </c>
      <c r="GD10">
        <f t="shared" si="187"/>
        <v>0.93092751888043934</v>
      </c>
      <c r="GE10">
        <f t="shared" si="188"/>
        <v>0.93179092489443383</v>
      </c>
      <c r="GF10">
        <f t="shared" si="189"/>
        <v>0.93264353833325342</v>
      </c>
      <c r="GG10">
        <f t="shared" si="190"/>
        <v>0.93348549410408777</v>
      </c>
      <c r="GH10">
        <f t="shared" si="191"/>
        <v>0.93431692542778666</v>
      </c>
      <c r="GI10">
        <f t="shared" si="192"/>
        <v>0.9351379638599393</v>
      </c>
      <c r="GJ10">
        <f t="shared" si="193"/>
        <v>0.93594873931169009</v>
      </c>
      <c r="GK10">
        <f t="shared" si="194"/>
        <v>0.93674938007029396</v>
      </c>
      <c r="GL10">
        <f t="shared" si="195"/>
        <v>0.93754001281941524</v>
      </c>
      <c r="GM10">
        <f t="shared" si="196"/>
        <v>0.93832076265917252</v>
      </c>
      <c r="GN10">
        <f t="shared" si="197"/>
        <v>0.93909175312593285</v>
      </c>
      <c r="GO10">
        <f t="shared" si="198"/>
        <v>0.93985310621185869</v>
      </c>
      <c r="GP10">
        <f t="shared" si="199"/>
        <v>0.94060494238421044</v>
      </c>
      <c r="GQ10">
        <f t="shared" si="200"/>
        <v>0.94134738060440781</v>
      </c>
      <c r="GR10">
        <f t="shared" si="201"/>
        <v>0.94208053834685268</v>
      </c>
      <c r="GS10">
        <f t="shared" si="202"/>
        <v>0.94280453161751698</v>
      </c>
      <c r="GT10">
        <f t="shared" si="203"/>
        <v>0.94351947497229804</v>
      </c>
      <c r="GU10">
        <f t="shared" si="204"/>
        <v>0.9442254815351443</v>
      </c>
      <c r="GV10">
        <f t="shared" si="205"/>
        <v>0.94492266301595496</v>
      </c>
      <c r="GW10">
        <f t="shared" si="206"/>
        <v>0.94561112972825556</v>
      </c>
      <c r="GX10">
        <f t="shared" si="207"/>
        <v>0.94629099060665234</v>
      </c>
      <c r="GY10">
        <f t="shared" si="208"/>
        <v>0.94696235322406919</v>
      </c>
      <c r="GZ10">
        <f t="shared" si="209"/>
        <v>0.94762532380876829</v>
      </c>
      <c r="HA10">
        <f t="shared" si="210"/>
        <v>0.94828000726115869</v>
      </c>
      <c r="HB10">
        <f t="shared" si="211"/>
        <v>0.94892650717039417</v>
      </c>
      <c r="HC10">
        <f t="shared" si="212"/>
        <v>0.94956492583076424</v>
      </c>
      <c r="HD10">
        <f t="shared" si="213"/>
        <v>0.95019536425787965</v>
      </c>
      <c r="HE10">
        <f t="shared" si="214"/>
        <v>0.95081792220465611</v>
      </c>
      <c r="HF10">
        <f t="shared" si="215"/>
        <v>0.95143269817709786</v>
      </c>
      <c r="HG10">
        <f t="shared" si="216"/>
        <v>0.9520397894498841</v>
      </c>
      <c r="HH10">
        <f t="shared" si="217"/>
        <v>0.95263929208176057</v>
      </c>
      <c r="HI10">
        <f t="shared" si="218"/>
        <v>0.9532313009307386</v>
      </c>
      <c r="HJ10">
        <f t="shared" si="219"/>
        <v>0.95381590966910434</v>
      </c>
      <c r="HK10">
        <f t="shared" si="220"/>
        <v>0.95439321079824058</v>
      </c>
      <c r="HL10">
        <f t="shared" si="221"/>
        <v>0.95496329566326255</v>
      </c>
      <c r="HM10">
        <f t="shared" si="222"/>
        <v>0.95552625446747175</v>
      </c>
      <c r="HN10">
        <f t="shared" si="223"/>
        <v>0.95608217628662839</v>
      </c>
      <c r="HO10">
        <f t="shared" si="224"/>
        <v>0.95663114908304558</v>
      </c>
      <c r="HP10">
        <f t="shared" si="225"/>
        <v>0.95717325971950751</v>
      </c>
      <c r="HQ10">
        <f t="shared" si="226"/>
        <v>0.95770859397301367</v>
      </c>
      <c r="HR10">
        <f t="shared" si="227"/>
        <v>0.95823723654835102</v>
      </c>
      <c r="HS10">
        <f t="shared" si="228"/>
        <v>0.95875927109149661</v>
      </c>
      <c r="HT10">
        <f t="shared" si="229"/>
        <v>0.95927478020285295</v>
      </c>
      <c r="HU10">
        <f t="shared" si="230"/>
        <v>0.95978384545031725</v>
      </c>
      <c r="HV10">
        <f t="shared" si="231"/>
        <v>0.96028654738218833</v>
      </c>
      <c r="HW10">
        <f t="shared" si="232"/>
        <v>0.96078296553991094</v>
      </c>
      <c r="HX10">
        <f t="shared" si="233"/>
        <v>0.96127317847066207</v>
      </c>
      <c r="HY10">
        <f t="shared" si="234"/>
        <v>0.96175726373977877</v>
      </c>
      <c r="HZ10">
        <f t="shared" si="235"/>
        <v>0.96223529794303153</v>
      </c>
      <c r="IA10">
        <f t="shared" si="236"/>
        <v>0.96270735671874363</v>
      </c>
      <c r="IB10">
        <f t="shared" si="237"/>
        <v>0.96317351475975932</v>
      </c>
      <c r="IC10">
        <f t="shared" si="238"/>
        <v>0.96363384582526235</v>
      </c>
      <c r="ID10">
        <f t="shared" si="239"/>
        <v>0.96408842275244655</v>
      </c>
      <c r="IE10">
        <f t="shared" si="240"/>
        <v>0.96453731746804094</v>
      </c>
      <c r="IF10">
        <f t="shared" si="241"/>
        <v>0.96498060099969041</v>
      </c>
      <c r="IG10">
        <f t="shared" si="242"/>
        <v>0.96541834348719424</v>
      </c>
      <c r="IH10">
        <f t="shared" si="243"/>
        <v>0.9658506141936043</v>
      </c>
      <c r="II10">
        <f t="shared" si="244"/>
        <v>0.9662774815161842</v>
      </c>
      <c r="IJ10">
        <f t="shared" si="245"/>
        <v>0.96669901299723193</v>
      </c>
      <c r="IK10">
        <f t="shared" si="246"/>
        <v>0.96711527533476649</v>
      </c>
      <c r="IL10">
        <f t="shared" si="247"/>
        <v>0.96752633439308189</v>
      </c>
      <c r="IM10">
        <f t="shared" si="248"/>
        <v>0.96793225521316839</v>
      </c>
      <c r="IN10">
        <f t="shared" si="249"/>
        <v>0.96833310202300382</v>
      </c>
      <c r="IO10">
        <f t="shared" si="250"/>
        <v>0.96872893824771622</v>
      </c>
      <c r="IP10">
        <f t="shared" si="251"/>
        <v>0.96911982651961981</v>
      </c>
      <c r="IQ10">
        <f t="shared" si="252"/>
        <v>0.96950582868812452</v>
      </c>
      <c r="IR10">
        <f t="shared" si="253"/>
        <v>0.96988700582952292</v>
      </c>
      <c r="IS10">
        <f t="shared" si="254"/>
        <v>0.97026341825665385</v>
      </c>
      <c r="IT10">
        <f t="shared" si="255"/>
        <v>0.97063512552844566</v>
      </c>
      <c r="IU10">
        <f t="shared" si="256"/>
        <v>0.97100218645934011</v>
      </c>
      <c r="IV10">
        <f t="shared" si="257"/>
        <v>0.97136465912859837</v>
      </c>
    </row>
    <row r="11" spans="1:256" x14ac:dyDescent="0.2">
      <c r="A11" t="s">
        <v>481</v>
      </c>
      <c r="B11">
        <f>$B$113</f>
        <v>0.1523066520690918</v>
      </c>
      <c r="C11">
        <f t="shared" si="4"/>
        <v>0.15207696067278881</v>
      </c>
      <c r="D11">
        <f t="shared" si="5"/>
        <v>0.15142522651316401</v>
      </c>
      <c r="E11">
        <f t="shared" si="6"/>
        <v>0.1507798235376191</v>
      </c>
      <c r="F11">
        <f t="shared" si="7"/>
        <v>0.15014070047094716</v>
      </c>
      <c r="G11">
        <f t="shared" si="8"/>
        <v>0.14950780618045947</v>
      </c>
      <c r="H11">
        <f t="shared" si="9"/>
        <v>0.14888108968508384</v>
      </c>
      <c r="I11">
        <f t="shared" si="10"/>
        <v>0.14826050016405712</v>
      </c>
      <c r="J11">
        <f t="shared" si="11"/>
        <v>0.14764598696522616</v>
      </c>
      <c r="K11">
        <f t="shared" si="12"/>
        <v>0.14827458709778185</v>
      </c>
      <c r="L11">
        <f t="shared" si="13"/>
        <v>0.14889206865497356</v>
      </c>
      <c r="M11">
        <f t="shared" si="14"/>
        <v>0.14949861980741963</v>
      </c>
      <c r="N11">
        <f t="shared" si="15"/>
        <v>0.15009442551744281</v>
      </c>
      <c r="O11">
        <f t="shared" si="16"/>
        <v>0.15067966759721488</v>
      </c>
      <c r="P11">
        <f t="shared" si="17"/>
        <v>0.15125452476570789</v>
      </c>
      <c r="Q11">
        <f t="shared" si="18"/>
        <v>0.15181917270448195</v>
      </c>
      <c r="R11">
        <f t="shared" si="19"/>
        <v>0.1523737841123374</v>
      </c>
      <c r="S11">
        <f t="shared" si="20"/>
        <v>0.15536794570678605</v>
      </c>
      <c r="T11">
        <f t="shared" si="21"/>
        <v>0.15831889916046918</v>
      </c>
      <c r="U11">
        <f t="shared" si="22"/>
        <v>0.16122727021341829</v>
      </c>
      <c r="V11">
        <f t="shared" si="23"/>
        <v>0.16409367533567681</v>
      </c>
      <c r="W11">
        <f t="shared" si="24"/>
        <v>0.1669187218725498</v>
      </c>
      <c r="X11">
        <f t="shared" si="25"/>
        <v>0.16970300818730996</v>
      </c>
      <c r="Y11">
        <f t="shared" si="26"/>
        <v>0.17244712380141339</v>
      </c>
      <c r="Z11">
        <f t="shared" si="27"/>
        <v>0.1751516495322771</v>
      </c>
      <c r="AA11">
        <f t="shared" si="28"/>
        <v>0.18267206134421435</v>
      </c>
      <c r="AB11">
        <f t="shared" si="29"/>
        <v>0.19008819806830968</v>
      </c>
      <c r="AC11">
        <f t="shared" si="30"/>
        <v>0.19740151281429844</v>
      </c>
      <c r="AD11">
        <f t="shared" si="31"/>
        <v>0.20461343806311824</v>
      </c>
      <c r="AE11">
        <f t="shared" si="32"/>
        <v>0.21172538597300244</v>
      </c>
      <c r="AF11">
        <f t="shared" si="33"/>
        <v>0.21873874868059912</v>
      </c>
      <c r="AG11">
        <f t="shared" si="34"/>
        <v>0.22565489859721061</v>
      </c>
      <c r="AH11">
        <f t="shared" si="35"/>
        <v>0.23247518870024628</v>
      </c>
      <c r="AI11">
        <f t="shared" si="36"/>
        <v>0.23355170972976327</v>
      </c>
      <c r="AJ11">
        <f t="shared" si="37"/>
        <v>0.23462351763038294</v>
      </c>
      <c r="AK11">
        <f t="shared" si="38"/>
        <v>0.23569080293955233</v>
      </c>
      <c r="AL11">
        <f t="shared" si="39"/>
        <v>0.23675375159375694</v>
      </c>
      <c r="AM11">
        <f t="shared" si="40"/>
        <v>0.23781254502904114</v>
      </c>
      <c r="AN11">
        <f t="shared" si="41"/>
        <v>0.23886736027859989</v>
      </c>
      <c r="AO11">
        <f t="shared" si="42"/>
        <v>0.23991837006754863</v>
      </c>
      <c r="AP11">
        <f t="shared" si="43"/>
        <v>0.24096574290497397</v>
      </c>
      <c r="AQ11">
        <f t="shared" si="44"/>
        <v>0.24606561522806381</v>
      </c>
      <c r="AR11">
        <f t="shared" si="45"/>
        <v>0.25109203259802404</v>
      </c>
      <c r="AS11">
        <f t="shared" si="46"/>
        <v>0.25604605730222235</v>
      </c>
      <c r="AT11">
        <f t="shared" si="47"/>
        <v>0.26092873590399562</v>
      </c>
      <c r="AU11">
        <f t="shared" si="48"/>
        <v>0.26574109948903424</v>
      </c>
      <c r="AV11">
        <f t="shared" si="49"/>
        <v>0.27048416390744501</v>
      </c>
      <c r="AW11">
        <f t="shared" si="50"/>
        <v>0.27515893001158348</v>
      </c>
      <c r="AX11">
        <f t="shared" si="51"/>
        <v>0.27976638388974512</v>
      </c>
      <c r="AY11">
        <f t="shared" si="52"/>
        <v>0.28876930409112328</v>
      </c>
      <c r="AZ11">
        <f t="shared" si="53"/>
        <v>0.29765968778998425</v>
      </c>
      <c r="BA11">
        <f t="shared" si="54"/>
        <v>0.30643894169260943</v>
      </c>
      <c r="BB11">
        <f t="shared" si="55"/>
        <v>0.31510845492145184</v>
      </c>
      <c r="BC11">
        <f t="shared" si="56"/>
        <v>0.32366959923493371</v>
      </c>
      <c r="BD11">
        <f t="shared" si="57"/>
        <v>0.33212372924449707</v>
      </c>
      <c r="BE11">
        <f t="shared" si="58"/>
        <v>0.34047218262894086</v>
      </c>
      <c r="BF11">
        <f t="shared" si="59"/>
        <v>0.3487162803460791</v>
      </c>
      <c r="BG11">
        <f t="shared" si="60"/>
        <v>0.35685732684175309</v>
      </c>
      <c r="BH11">
        <f t="shared" si="61"/>
        <v>0.36489661025623116</v>
      </c>
      <c r="BI11">
        <f t="shared" si="62"/>
        <v>0.37283540262802828</v>
      </c>
      <c r="BJ11">
        <f t="shared" si="63"/>
        <v>0.38067496009517793</v>
      </c>
      <c r="BK11">
        <f t="shared" si="64"/>
        <v>0.38841652309398822</v>
      </c>
      <c r="BL11">
        <f t="shared" si="65"/>
        <v>0.39606131655531335</v>
      </c>
      <c r="BM11">
        <f t="shared" si="66"/>
        <v>0.40361055009837193</v>
      </c>
      <c r="BN11">
        <f t="shared" si="67"/>
        <v>0.41106541822214226</v>
      </c>
      <c r="BO11">
        <f t="shared" si="68"/>
        <v>0.41842710049436549</v>
      </c>
      <c r="BP11">
        <f t="shared" si="69"/>
        <v>0.42569676173818594</v>
      </c>
      <c r="BQ11">
        <f t="shared" si="70"/>
        <v>0.43287555221645863</v>
      </c>
      <c r="BR11">
        <f t="shared" si="71"/>
        <v>0.43996460781375291</v>
      </c>
      <c r="BS11">
        <f t="shared" si="72"/>
        <v>0.44696505021608102</v>
      </c>
      <c r="BT11">
        <f t="shared" si="73"/>
        <v>0.45387798708838001</v>
      </c>
      <c r="BU11">
        <f t="shared" si="74"/>
        <v>0.46070451224977527</v>
      </c>
      <c r="BV11">
        <f t="shared" si="75"/>
        <v>0.46744570584665307</v>
      </c>
      <c r="BW11">
        <f t="shared" si="76"/>
        <v>0.47410263452356993</v>
      </c>
      <c r="BX11">
        <f t="shared" si="77"/>
        <v>0.48067635159202532</v>
      </c>
      <c r="BY11">
        <f t="shared" si="78"/>
        <v>0.487167897197125</v>
      </c>
      <c r="BZ11">
        <f t="shared" si="79"/>
        <v>0.49357829848216095</v>
      </c>
      <c r="CA11">
        <f t="shared" si="80"/>
        <v>0.49990856975113396</v>
      </c>
      <c r="CB11">
        <f t="shared" si="81"/>
        <v>0.50615971262924475</v>
      </c>
      <c r="CC11">
        <f t="shared" si="82"/>
        <v>0.51233271622137921</v>
      </c>
      <c r="CD11">
        <f t="shared" si="83"/>
        <v>0.51842855726861192</v>
      </c>
      <c r="CE11">
        <f t="shared" si="84"/>
        <v>0.5244482003027543</v>
      </c>
      <c r="CF11">
        <f t="shared" si="85"/>
        <v>0.53039259779896986</v>
      </c>
      <c r="CG11">
        <f t="shared" si="86"/>
        <v>0.53626269032648277</v>
      </c>
      <c r="CH11">
        <f t="shared" si="87"/>
        <v>0.54205940669740171</v>
      </c>
      <c r="CI11">
        <f t="shared" si="88"/>
        <v>0.54778366411368418</v>
      </c>
      <c r="CJ11">
        <f t="shared" si="89"/>
        <v>0.55343189775231216</v>
      </c>
      <c r="CK11">
        <f t="shared" si="90"/>
        <v>0.55900031466088618</v>
      </c>
      <c r="CL11">
        <f t="shared" si="91"/>
        <v>0.56449004104568246</v>
      </c>
      <c r="CM11">
        <f t="shared" si="92"/>
        <v>0.56990218706980877</v>
      </c>
      <c r="CN11">
        <f t="shared" si="93"/>
        <v>0.57523784708837089</v>
      </c>
      <c r="CO11">
        <f t="shared" si="94"/>
        <v>0.58049809987997048</v>
      </c>
      <c r="CP11">
        <f t="shared" si="95"/>
        <v>0.58568400887459915</v>
      </c>
      <c r="CQ11">
        <f t="shared" si="96"/>
        <v>0.59079662237799169</v>
      </c>
      <c r="CR11">
        <f t="shared" si="97"/>
        <v>0.59583697379249934</v>
      </c>
      <c r="CS11">
        <f t="shared" si="98"/>
        <v>0.60080608183454409</v>
      </c>
      <c r="CT11">
        <f t="shared" si="99"/>
        <v>0.605704950748713</v>
      </c>
      <c r="CU11">
        <f t="shared" si="100"/>
        <v>0.61053457051854987</v>
      </c>
      <c r="CV11">
        <f t="shared" si="101"/>
        <v>0.61529591707410158</v>
      </c>
      <c r="CW11">
        <f t="shared" si="102"/>
        <v>0.61998995249627376</v>
      </c>
      <c r="CX11">
        <f t="shared" si="103"/>
        <v>0.62461762521805153</v>
      </c>
      <c r="CY11">
        <f t="shared" si="104"/>
        <v>0.62917987022263699</v>
      </c>
      <c r="CZ11">
        <f t="shared" si="105"/>
        <v>0.63367760923855676</v>
      </c>
      <c r="DA11">
        <f t="shared" si="106"/>
        <v>0.63811175093179073</v>
      </c>
      <c r="DB11">
        <f t="shared" si="107"/>
        <v>0.64248319109497121</v>
      </c>
      <c r="DC11">
        <f t="shared" si="108"/>
        <v>0.64679281283370316</v>
      </c>
      <c r="DD11">
        <f t="shared" si="109"/>
        <v>0.65104148675005236</v>
      </c>
      <c r="DE11">
        <f t="shared" si="110"/>
        <v>0.65523007112324971</v>
      </c>
      <c r="DF11">
        <f t="shared" si="111"/>
        <v>0.65935941208765714</v>
      </c>
      <c r="DG11">
        <f t="shared" si="112"/>
        <v>0.66343034380804178</v>
      </c>
      <c r="DH11">
        <f t="shared" si="113"/>
        <v>0.66744368865220149</v>
      </c>
      <c r="DI11">
        <f t="shared" si="114"/>
        <v>0.67140025736098707</v>
      </c>
      <c r="DJ11">
        <f t="shared" si="115"/>
        <v>0.67530084921576228</v>
      </c>
      <c r="DK11">
        <f t="shared" si="116"/>
        <v>0.67914625220334535</v>
      </c>
      <c r="DL11">
        <f t="shared" si="117"/>
        <v>0.68293724317847249</v>
      </c>
      <c r="DM11">
        <f t="shared" si="118"/>
        <v>0.68667458802382364</v>
      </c>
      <c r="DN11">
        <f t="shared" si="119"/>
        <v>0.69035904180765029</v>
      </c>
      <c r="DO11">
        <f t="shared" si="120"/>
        <v>0.69399134893904546</v>
      </c>
      <c r="DP11">
        <f t="shared" si="121"/>
        <v>0.69757224332089229</v>
      </c>
      <c r="DQ11">
        <f t="shared" si="122"/>
        <v>0.70110244850052994</v>
      </c>
      <c r="DR11">
        <f t="shared" si="123"/>
        <v>0.70458267781817363</v>
      </c>
      <c r="DS11">
        <f t="shared" si="124"/>
        <v>0.70801363455312427</v>
      </c>
      <c r="DT11">
        <f t="shared" si="125"/>
        <v>0.71139601206780401</v>
      </c>
      <c r="DU11">
        <f t="shared" si="126"/>
        <v>0.71473049394965238</v>
      </c>
      <c r="DV11">
        <f t="shared" si="127"/>
        <v>0.7180177541509164</v>
      </c>
      <c r="DW11">
        <f t="shared" si="128"/>
        <v>0.7212584571263696</v>
      </c>
      <c r="DX11">
        <f t="shared" si="129"/>
        <v>0.72445325796899163</v>
      </c>
      <c r="DY11">
        <f t="shared" si="130"/>
        <v>0.72760280254364229</v>
      </c>
      <c r="DZ11">
        <f t="shared" si="131"/>
        <v>0.73070772761876024</v>
      </c>
      <c r="EA11">
        <f t="shared" si="132"/>
        <v>0.7337686609961187</v>
      </c>
      <c r="EB11">
        <f t="shared" si="133"/>
        <v>0.73678622163866847</v>
      </c>
      <c r="EC11">
        <f t="shared" si="134"/>
        <v>0.73976101979649844</v>
      </c>
      <c r="ED11">
        <f t="shared" si="135"/>
        <v>0.74269365713094337</v>
      </c>
      <c r="EE11">
        <f t="shared" si="136"/>
        <v>0.7455847268368675</v>
      </c>
      <c r="EF11">
        <f t="shared" si="137"/>
        <v>0.74843481376315313</v>
      </c>
      <c r="EG11">
        <f t="shared" si="138"/>
        <v>0.75124449453142217</v>
      </c>
      <c r="EH11">
        <f t="shared" si="139"/>
        <v>0.75401433765301795</v>
      </c>
      <c r="EI11">
        <f t="shared" si="140"/>
        <v>0.75674490364427427</v>
      </c>
      <c r="EJ11">
        <f t="shared" si="141"/>
        <v>0.75943674514009907</v>
      </c>
      <c r="EK11">
        <f t="shared" si="142"/>
        <v>0.76209040700589825</v>
      </c>
      <c r="EL11">
        <f t="shared" si="143"/>
        <v>0.76470642644786524</v>
      </c>
      <c r="EM11">
        <f t="shared" si="144"/>
        <v>0.76728533312166225</v>
      </c>
      <c r="EN11">
        <f t="shared" si="145"/>
        <v>0.7698276492395173</v>
      </c>
      <c r="EO11">
        <f t="shared" si="146"/>
        <v>0.77233388967576211</v>
      </c>
      <c r="EP11">
        <f t="shared" si="147"/>
        <v>0.77480456207083448</v>
      </c>
      <c r="EQ11">
        <f t="shared" si="148"/>
        <v>0.77724016693376852</v>
      </c>
      <c r="ER11">
        <f t="shared" si="149"/>
        <v>0.77964119774319651</v>
      </c>
      <c r="ES11">
        <f t="shared" si="150"/>
        <v>0.78200814104688476</v>
      </c>
      <c r="ET11">
        <f t="shared" si="151"/>
        <v>0.78434147655982611</v>
      </c>
      <c r="EU11">
        <f t="shared" si="152"/>
        <v>0.78664167726091083</v>
      </c>
      <c r="EV11">
        <f t="shared" si="153"/>
        <v>0.78890920948819798</v>
      </c>
      <c r="EW11">
        <f t="shared" si="154"/>
        <v>0.79114453303280807</v>
      </c>
      <c r="EX11">
        <f t="shared" si="155"/>
        <v>0.79334810123145849</v>
      </c>
      <c r="EY11">
        <f t="shared" si="156"/>
        <v>0.79552036105766177</v>
      </c>
      <c r="EZ11">
        <f t="shared" si="157"/>
        <v>0.79766175321160737</v>
      </c>
      <c r="FA11">
        <f t="shared" si="158"/>
        <v>0.79977271220874657</v>
      </c>
      <c r="FB11">
        <f t="shared" si="159"/>
        <v>0.80185366646710055</v>
      </c>
      <c r="FC11">
        <f t="shared" si="160"/>
        <v>0.80390503839331029</v>
      </c>
      <c r="FD11">
        <f t="shared" si="161"/>
        <v>0.80592724446744768</v>
      </c>
      <c r="FE11">
        <f t="shared" si="162"/>
        <v>0.8079206953266066</v>
      </c>
      <c r="FF11">
        <f t="shared" si="163"/>
        <v>0.80988579584729148</v>
      </c>
      <c r="FG11">
        <f t="shared" si="164"/>
        <v>0.81182294522662279</v>
      </c>
      <c r="FH11">
        <f t="shared" si="165"/>
        <v>0.8137325370623758</v>
      </c>
      <c r="FI11">
        <f t="shared" si="166"/>
        <v>0.81561495943187079</v>
      </c>
      <c r="FJ11">
        <f t="shared" si="167"/>
        <v>0.81747059496973196</v>
      </c>
      <c r="FK11">
        <f t="shared" si="168"/>
        <v>0.81929982094453158</v>
      </c>
      <c r="FL11">
        <f t="shared" si="169"/>
        <v>0.82110300933433622</v>
      </c>
      <c r="FM11">
        <f t="shared" si="170"/>
        <v>0.82288052690117131</v>
      </c>
      <c r="FN11">
        <f t="shared" si="171"/>
        <v>0.82463273526442027</v>
      </c>
      <c r="FO11">
        <f t="shared" si="172"/>
        <v>0.82635999097317392</v>
      </c>
      <c r="FP11">
        <f t="shared" si="173"/>
        <v>0.82806264557754583</v>
      </c>
      <c r="FQ11">
        <f t="shared" si="174"/>
        <v>0.82974104569896889</v>
      </c>
      <c r="FR11">
        <f t="shared" si="175"/>
        <v>0.8313955330994881</v>
      </c>
      <c r="FS11">
        <f t="shared" si="176"/>
        <v>0.83302644475006471</v>
      </c>
      <c r="FT11">
        <f t="shared" si="177"/>
        <v>0.83463411289790634</v>
      </c>
      <c r="FU11">
        <f t="shared" si="178"/>
        <v>0.83621886513283672</v>
      </c>
      <c r="FV11">
        <f t="shared" si="179"/>
        <v>0.83778102445272029</v>
      </c>
      <c r="FW11">
        <f t="shared" si="180"/>
        <v>0.83932090932795478</v>
      </c>
      <c r="FX11">
        <f t="shared" si="181"/>
        <v>0.8408388337650462</v>
      </c>
      <c r="FY11">
        <f t="shared" si="182"/>
        <v>0.84233510736927886</v>
      </c>
      <c r="FZ11">
        <f t="shared" si="183"/>
        <v>0.84381003540649413</v>
      </c>
      <c r="GA11">
        <f t="shared" si="184"/>
        <v>0.84526391886399177</v>
      </c>
      <c r="GB11">
        <f t="shared" si="185"/>
        <v>0.84669705451056521</v>
      </c>
      <c r="GC11">
        <f t="shared" si="186"/>
        <v>0.84810973495568465</v>
      </c>
      <c r="GD11">
        <f t="shared" si="187"/>
        <v>0.84950224870783986</v>
      </c>
      <c r="GE11">
        <f t="shared" si="188"/>
        <v>0.85087488023205549</v>
      </c>
      <c r="GF11">
        <f t="shared" si="189"/>
        <v>0.85222791000659026</v>
      </c>
      <c r="GG11">
        <f t="shared" si="190"/>
        <v>0.85356161457883262</v>
      </c>
      <c r="GH11">
        <f t="shared" si="191"/>
        <v>0.85487626662040406</v>
      </c>
      <c r="GI11">
        <f t="shared" si="192"/>
        <v>0.85617213498148215</v>
      </c>
      <c r="GJ11">
        <f t="shared" si="193"/>
        <v>0.85744948474435423</v>
      </c>
      <c r="GK11">
        <f t="shared" si="194"/>
        <v>0.85870857727621297</v>
      </c>
      <c r="GL11">
        <f t="shared" si="195"/>
        <v>0.85994967028120517</v>
      </c>
      <c r="GM11">
        <f t="shared" si="196"/>
        <v>0.86117301785174427</v>
      </c>
      <c r="GN11">
        <f t="shared" si="197"/>
        <v>0.86237887051909767</v>
      </c>
      <c r="GO11">
        <f t="shared" si="198"/>
        <v>0.86356747530325861</v>
      </c>
      <c r="GP11">
        <f t="shared" si="199"/>
        <v>0.86473907576211395</v>
      </c>
      <c r="GQ11">
        <f t="shared" si="200"/>
        <v>0.86589391203991739</v>
      </c>
      <c r="GR11">
        <f t="shared" si="201"/>
        <v>0.86703222091507814</v>
      </c>
      <c r="GS11">
        <f t="shared" si="202"/>
        <v>0.86815423584727558</v>
      </c>
      <c r="GT11">
        <f t="shared" si="203"/>
        <v>0.86926018702390906</v>
      </c>
      <c r="GU11">
        <f t="shared" si="204"/>
        <v>0.87035030140589209</v>
      </c>
      <c r="GV11">
        <f t="shared" si="205"/>
        <v>0.87142480277280177</v>
      </c>
      <c r="GW11">
        <f t="shared" si="206"/>
        <v>0.87248391176739115</v>
      </c>
      <c r="GX11">
        <f t="shared" si="207"/>
        <v>0.87352784593947463</v>
      </c>
      <c r="GY11">
        <f t="shared" si="208"/>
        <v>0.87455681978919553</v>
      </c>
      <c r="GZ11">
        <f t="shared" si="209"/>
        <v>0.87557104480968373</v>
      </c>
      <c r="HA11">
        <f t="shared" si="210"/>
        <v>0.87657072952911319</v>
      </c>
      <c r="HB11">
        <f t="shared" si="211"/>
        <v>0.87755607955216774</v>
      </c>
      <c r="HC11">
        <f t="shared" si="212"/>
        <v>0.87852729760092318</v>
      </c>
      <c r="HD11">
        <f t="shared" si="213"/>
        <v>0.87948458355515446</v>
      </c>
      <c r="HE11">
        <f t="shared" si="214"/>
        <v>0.88042813449207624</v>
      </c>
      <c r="HF11">
        <f t="shared" si="215"/>
        <v>0.88135814472552432</v>
      </c>
      <c r="HG11">
        <f t="shared" si="216"/>
        <v>0.88227480584458717</v>
      </c>
      <c r="HH11">
        <f t="shared" si="217"/>
        <v>0.88317830675169395</v>
      </c>
      <c r="HI11">
        <f t="shared" si="218"/>
        <v>0.88406883370016809</v>
      </c>
      <c r="HJ11">
        <f t="shared" si="219"/>
        <v>0.88494657033125323</v>
      </c>
      <c r="HK11">
        <f t="shared" si="220"/>
        <v>0.88581169771061907</v>
      </c>
      <c r="HL11">
        <f t="shared" si="221"/>
        <v>0.88666439436435551</v>
      </c>
      <c r="HM11">
        <f t="shared" si="222"/>
        <v>0.8875048363144612</v>
      </c>
      <c r="HN11">
        <f t="shared" si="223"/>
        <v>0.88833319711383429</v>
      </c>
      <c r="HO11">
        <f t="shared" si="224"/>
        <v>0.88914964788077222</v>
      </c>
      <c r="HP11">
        <f t="shared" si="225"/>
        <v>0.88995435733298833</v>
      </c>
      <c r="HQ11">
        <f t="shared" si="226"/>
        <v>0.89074749182115065</v>
      </c>
      <c r="HR11">
        <f t="shared" si="227"/>
        <v>0.89152921536195162</v>
      </c>
      <c r="HS11">
        <f t="shared" si="228"/>
        <v>0.89229968967071327</v>
      </c>
      <c r="HT11">
        <f t="shared" si="229"/>
        <v>0.89305907419353647</v>
      </c>
      <c r="HU11">
        <f t="shared" si="230"/>
        <v>0.89380752613899939</v>
      </c>
      <c r="HV11">
        <f t="shared" si="231"/>
        <v>0.89454520050941211</v>
      </c>
      <c r="HW11">
        <f t="shared" si="232"/>
        <v>0.89527225013163358</v>
      </c>
      <c r="HX11">
        <f t="shared" si="233"/>
        <v>0.89598882568745697</v>
      </c>
      <c r="HY11">
        <f t="shared" si="234"/>
        <v>0.8966950757435701</v>
      </c>
      <c r="HZ11">
        <f t="shared" si="235"/>
        <v>0.89739114678109622</v>
      </c>
      <c r="IA11">
        <f t="shared" si="236"/>
        <v>0.89807718322472152</v>
      </c>
      <c r="IB11">
        <f t="shared" si="237"/>
        <v>0.89875332747141545</v>
      </c>
      <c r="IC11">
        <f t="shared" si="238"/>
        <v>0.89941971991874869</v>
      </c>
      <c r="ID11">
        <f t="shared" si="239"/>
        <v>0.90007649899281594</v>
      </c>
      <c r="IE11">
        <f t="shared" si="240"/>
        <v>0.90072380117576745</v>
      </c>
      <c r="IF11">
        <f t="shared" si="241"/>
        <v>0.90136176103295629</v>
      </c>
      <c r="IG11">
        <f t="shared" si="242"/>
        <v>0.90199051123970553</v>
      </c>
      <c r="IH11">
        <f t="shared" si="243"/>
        <v>0.90261018260770198</v>
      </c>
      <c r="II11">
        <f t="shared" si="244"/>
        <v>0.90322090411102063</v>
      </c>
      <c r="IJ11">
        <f t="shared" si="245"/>
        <v>0.90382280291178574</v>
      </c>
      <c r="IK11">
        <f t="shared" si="246"/>
        <v>0.90441600438547332</v>
      </c>
      <c r="IL11">
        <f t="shared" si="247"/>
        <v>0.90500063214586013</v>
      </c>
      <c r="IM11">
        <f t="shared" si="248"/>
        <v>0.90557680806962448</v>
      </c>
      <c r="IN11">
        <f t="shared" si="249"/>
        <v>0.90614465232060315</v>
      </c>
      <c r="IO11">
        <f t="shared" si="250"/>
        <v>0.90670428337371012</v>
      </c>
      <c r="IP11">
        <f t="shared" si="251"/>
        <v>0.90725581803852096</v>
      </c>
      <c r="IQ11">
        <f t="shared" si="252"/>
        <v>0.90779937148252798</v>
      </c>
      <c r="IR11">
        <f t="shared" si="253"/>
        <v>0.90833505725407127</v>
      </c>
      <c r="IS11">
        <f t="shared" si="254"/>
        <v>0.90886298730494919</v>
      </c>
      <c r="IT11">
        <f t="shared" si="255"/>
        <v>0.90938327201271396</v>
      </c>
      <c r="IU11">
        <f t="shared" si="256"/>
        <v>0.90989602020265559</v>
      </c>
      <c r="IV11">
        <f t="shared" si="257"/>
        <v>0.9104013391694793</v>
      </c>
    </row>
    <row r="12" spans="1:256" x14ac:dyDescent="0.2">
      <c r="A12" t="s">
        <v>482</v>
      </c>
      <c r="B12">
        <f>$B$114</f>
        <v>0.50123226165771484</v>
      </c>
      <c r="C12">
        <f t="shared" si="4"/>
        <v>0.4949869526865715</v>
      </c>
      <c r="D12">
        <f t="shared" si="5"/>
        <v>0.48998994366033854</v>
      </c>
      <c r="E12">
        <f t="shared" si="6"/>
        <v>0.48507443136714712</v>
      </c>
      <c r="F12">
        <f t="shared" si="7"/>
        <v>0.48023817634003196</v>
      </c>
      <c r="G12">
        <f t="shared" si="8"/>
        <v>0.47547905524858547</v>
      </c>
      <c r="H12">
        <f t="shared" si="9"/>
        <v>0.47079505555949253</v>
      </c>
      <c r="I12">
        <f t="shared" si="10"/>
        <v>0.46618427026159054</v>
      </c>
      <c r="J12">
        <f t="shared" si="11"/>
        <v>0.46164489268865494</v>
      </c>
      <c r="K12">
        <f t="shared" si="12"/>
        <v>0.45717521146671181</v>
      </c>
      <c r="L12">
        <f t="shared" si="13"/>
        <v>0.45274189949455557</v>
      </c>
      <c r="M12">
        <f t="shared" si="14"/>
        <v>0.44834393267716433</v>
      </c>
      <c r="N12">
        <f t="shared" si="15"/>
        <v>0.44398035715330164</v>
      </c>
      <c r="O12">
        <f t="shared" si="16"/>
        <v>0.43965028671975975</v>
      </c>
      <c r="P12">
        <f t="shared" si="17"/>
        <v>0.43535290021871559</v>
      </c>
      <c r="Q12">
        <f t="shared" si="18"/>
        <v>0.43108743889938617</v>
      </c>
      <c r="R12">
        <f t="shared" si="19"/>
        <v>0.42685320376452418</v>
      </c>
      <c r="S12">
        <f t="shared" si="20"/>
        <v>0.42264955291165168</v>
      </c>
      <c r="T12">
        <f t="shared" si="21"/>
        <v>0.41850619918680493</v>
      </c>
      <c r="U12">
        <f t="shared" si="22"/>
        <v>0.41442150356853397</v>
      </c>
      <c r="V12">
        <f t="shared" si="23"/>
        <v>0.41039386554160939</v>
      </c>
      <c r="W12">
        <f t="shared" si="24"/>
        <v>0.40642172187456005</v>
      </c>
      <c r="X12">
        <f t="shared" si="25"/>
        <v>0.40250354551804685</v>
      </c>
      <c r="Y12">
        <f t="shared" si="26"/>
        <v>0.39863784462298668</v>
      </c>
      <c r="Z12">
        <f t="shared" si="27"/>
        <v>0.39482316167547243</v>
      </c>
      <c r="AA12">
        <f t="shared" si="28"/>
        <v>0.39105807274397275</v>
      </c>
      <c r="AB12">
        <f t="shared" si="29"/>
        <v>0.38736946706695785</v>
      </c>
      <c r="AC12">
        <f t="shared" si="30"/>
        <v>0.38375398497107921</v>
      </c>
      <c r="AD12">
        <f t="shared" si="31"/>
        <v>0.38020838828527392</v>
      </c>
      <c r="AE12">
        <f t="shared" si="32"/>
        <v>0.37672956045869349</v>
      </c>
      <c r="AF12">
        <f t="shared" si="33"/>
        <v>0.37331450614323325</v>
      </c>
      <c r="AG12">
        <f t="shared" si="34"/>
        <v>0.36996035029996904</v>
      </c>
      <c r="AH12">
        <f t="shared" si="35"/>
        <v>0.36666433688469646</v>
      </c>
      <c r="AI12">
        <f t="shared" si="36"/>
        <v>0.37182085264745512</v>
      </c>
      <c r="AJ12">
        <f t="shared" si="37"/>
        <v>0.37730493459004211</v>
      </c>
      <c r="AK12">
        <f t="shared" si="38"/>
        <v>0.38313214822574182</v>
      </c>
      <c r="AL12">
        <f t="shared" si="39"/>
        <v>0.38931960235895596</v>
      </c>
      <c r="AM12">
        <f t="shared" si="40"/>
        <v>0.39588610635895316</v>
      </c>
      <c r="AN12">
        <f t="shared" si="41"/>
        <v>0.40285234717987894</v>
      </c>
      <c r="AO12">
        <f t="shared" si="42"/>
        <v>0.41024108907675189</v>
      </c>
      <c r="AP12">
        <f t="shared" si="43"/>
        <v>0.41761307546329252</v>
      </c>
      <c r="AQ12">
        <f t="shared" si="44"/>
        <v>0.42489291202000135</v>
      </c>
      <c r="AR12">
        <f t="shared" si="45"/>
        <v>0.43208175061975135</v>
      </c>
      <c r="AS12">
        <f t="shared" si="46"/>
        <v>0.43918072873700448</v>
      </c>
      <c r="AT12">
        <f t="shared" si="47"/>
        <v>0.44619096962779192</v>
      </c>
      <c r="AU12">
        <f t="shared" si="48"/>
        <v>0.45311358250744455</v>
      </c>
      <c r="AV12">
        <f t="shared" si="49"/>
        <v>0.45994966272610149</v>
      </c>
      <c r="AW12">
        <f t="shared" si="50"/>
        <v>0.46670029194202522</v>
      </c>
      <c r="AX12">
        <f t="shared" si="51"/>
        <v>0.47336653829274988</v>
      </c>
      <c r="AY12">
        <f t="shared" si="52"/>
        <v>0.4763832133866161</v>
      </c>
      <c r="AZ12">
        <f t="shared" si="53"/>
        <v>0.47981433703211052</v>
      </c>
      <c r="BA12">
        <f t="shared" si="54"/>
        <v>0.48367031574380642</v>
      </c>
      <c r="BB12">
        <f t="shared" si="55"/>
        <v>0.48796293615875569</v>
      </c>
      <c r="BC12">
        <f t="shared" si="56"/>
        <v>0.4927054768056533</v>
      </c>
      <c r="BD12">
        <f t="shared" si="57"/>
        <v>0.49791283283735344</v>
      </c>
      <c r="BE12">
        <f t="shared" si="58"/>
        <v>0.50360165592924322</v>
      </c>
      <c r="BF12">
        <f t="shared" si="59"/>
        <v>0.50979051187550073</v>
      </c>
      <c r="BG12">
        <f t="shared" si="60"/>
        <v>0.51591813047705692</v>
      </c>
      <c r="BH12">
        <f t="shared" si="61"/>
        <v>0.52196915384609366</v>
      </c>
      <c r="BI12">
        <f t="shared" si="62"/>
        <v>0.52794453942301744</v>
      </c>
      <c r="BJ12">
        <f t="shared" si="63"/>
        <v>0.53384523268022976</v>
      </c>
      <c r="BK12">
        <f t="shared" si="64"/>
        <v>0.53967216727172684</v>
      </c>
      <c r="BL12">
        <f t="shared" si="65"/>
        <v>0.54542626518083026</v>
      </c>
      <c r="BM12">
        <f t="shared" si="66"/>
        <v>0.55110843686606992</v>
      </c>
      <c r="BN12">
        <f t="shared" si="67"/>
        <v>0.55671958140524402</v>
      </c>
      <c r="BO12">
        <f t="shared" si="68"/>
        <v>0.56226058663767853</v>
      </c>
      <c r="BP12">
        <f t="shared" si="69"/>
        <v>0.56773232930470752</v>
      </c>
      <c r="BQ12">
        <f t="shared" si="70"/>
        <v>0.5731356751883987</v>
      </c>
      <c r="BR12">
        <f t="shared" si="71"/>
        <v>0.5784714792485437</v>
      </c>
      <c r="BS12">
        <f t="shared" si="72"/>
        <v>0.58374058575793686</v>
      </c>
      <c r="BT12">
        <f t="shared" si="73"/>
        <v>0.5889438284359626</v>
      </c>
      <c r="BU12">
        <f t="shared" si="74"/>
        <v>0.59408203058051312</v>
      </c>
      <c r="BV12">
        <f t="shared" si="75"/>
        <v>0.59915600519825674</v>
      </c>
      <c r="BW12">
        <f t="shared" si="76"/>
        <v>0.60416655513327855</v>
      </c>
      <c r="BX12">
        <f t="shared" si="77"/>
        <v>0.6091144731941126</v>
      </c>
      <c r="BY12">
        <f t="shared" si="78"/>
        <v>0.61400054227918621</v>
      </c>
      <c r="BZ12">
        <f t="shared" si="79"/>
        <v>0.61882553550069641</v>
      </c>
      <c r="CA12">
        <f t="shared" si="80"/>
        <v>0.62359021630693767</v>
      </c>
      <c r="CB12">
        <f t="shared" si="81"/>
        <v>0.62829533860310094</v>
      </c>
      <c r="CC12">
        <f t="shared" si="82"/>
        <v>0.6329416468705622</v>
      </c>
      <c r="CD12">
        <f t="shared" si="83"/>
        <v>0.63752987628468016</v>
      </c>
      <c r="CE12">
        <f t="shared" si="84"/>
        <v>0.64206075283112163</v>
      </c>
      <c r="CF12">
        <f t="shared" si="85"/>
        <v>0.64653499342073262</v>
      </c>
      <c r="CG12">
        <f t="shared" si="86"/>
        <v>0.65095330600297341</v>
      </c>
      <c r="CH12">
        <f t="shared" si="87"/>
        <v>0.65531638967793626</v>
      </c>
      <c r="CI12">
        <f t="shared" si="88"/>
        <v>0.65962493480696205</v>
      </c>
      <c r="CJ12">
        <f t="shared" si="89"/>
        <v>0.66387962312187498</v>
      </c>
      <c r="CK12">
        <f t="shared" si="90"/>
        <v>0.66808112783285156</v>
      </c>
      <c r="CL12">
        <f t="shared" si="91"/>
        <v>0.6722301137349409</v>
      </c>
      <c r="CM12">
        <f t="shared" si="92"/>
        <v>0.67632723731325417</v>
      </c>
      <c r="CN12">
        <f t="shared" si="93"/>
        <v>0.68037314684683847</v>
      </c>
      <c r="CO12">
        <f t="shared" si="94"/>
        <v>0.68436848251125304</v>
      </c>
      <c r="CP12">
        <f t="shared" si="95"/>
        <v>0.68831387647986242</v>
      </c>
      <c r="CQ12">
        <f t="shared" si="96"/>
        <v>0.69220995302386412</v>
      </c>
      <c r="CR12">
        <f t="shared" si="97"/>
        <v>0.69605732861106584</v>
      </c>
      <c r="CS12">
        <f t="shared" si="98"/>
        <v>0.69985661200342753</v>
      </c>
      <c r="CT12">
        <f t="shared" si="99"/>
        <v>0.70360840435338468</v>
      </c>
      <c r="CU12">
        <f t="shared" si="100"/>
        <v>0.70731329929896736</v>
      </c>
      <c r="CV12">
        <f t="shared" si="101"/>
        <v>0.71097188305773029</v>
      </c>
      <c r="CW12">
        <f t="shared" si="102"/>
        <v>0.71458473451950866</v>
      </c>
      <c r="CX12">
        <f t="shared" si="103"/>
        <v>0.71815242533801482</v>
      </c>
      <c r="CY12">
        <f t="shared" si="104"/>
        <v>0.72167552002128965</v>
      </c>
      <c r="CZ12">
        <f t="shared" si="105"/>
        <v>0.72515457602102351</v>
      </c>
      <c r="DA12">
        <f t="shared" si="106"/>
        <v>0.72859014382076071</v>
      </c>
      <c r="DB12">
        <f t="shared" si="107"/>
        <v>0.73198276702300125</v>
      </c>
      <c r="DC12">
        <f t="shared" si="108"/>
        <v>0.73533298243521372</v>
      </c>
      <c r="DD12">
        <f t="shared" si="109"/>
        <v>0.73864132015477357</v>
      </c>
      <c r="DE12">
        <f t="shared" si="110"/>
        <v>0.74190830365283889</v>
      </c>
      <c r="DF12">
        <f t="shared" si="111"/>
        <v>0.74513444985717836</v>
      </c>
      <c r="DG12">
        <f t="shared" si="112"/>
        <v>0.74832026923396366</v>
      </c>
      <c r="DH12">
        <f t="shared" si="113"/>
        <v>0.75146626586853915</v>
      </c>
      <c r="DI12">
        <f t="shared" si="114"/>
        <v>0.7545729375451824</v>
      </c>
      <c r="DJ12">
        <f t="shared" si="115"/>
        <v>0.75764077582586764</v>
      </c>
      <c r="DK12">
        <f t="shared" si="116"/>
        <v>0.76067026612804434</v>
      </c>
      <c r="DL12">
        <f t="shared" si="117"/>
        <v>0.76366188780144373</v>
      </c>
      <c r="DM12">
        <f t="shared" si="118"/>
        <v>0.76661611420392572</v>
      </c>
      <c r="DN12">
        <f t="shared" si="119"/>
        <v>0.76953341277637666</v>
      </c>
      <c r="DO12">
        <f t="shared" si="120"/>
        <v>0.772414245116672</v>
      </c>
      <c r="DP12">
        <f t="shared" si="121"/>
        <v>0.77525906705271364</v>
      </c>
      <c r="DQ12">
        <f t="shared" si="122"/>
        <v>0.77806832871455467</v>
      </c>
      <c r="DR12">
        <f t="shared" si="123"/>
        <v>0.78084247460562273</v>
      </c>
      <c r="DS12">
        <f t="shared" si="124"/>
        <v>0.78358194367305245</v>
      </c>
      <c r="DT12">
        <f t="shared" si="125"/>
        <v>0.78628716937713927</v>
      </c>
      <c r="DU12">
        <f t="shared" si="126"/>
        <v>0.788958579759925</v>
      </c>
      <c r="DV12">
        <f t="shared" si="127"/>
        <v>0.79159659751292599</v>
      </c>
      <c r="DW12">
        <f t="shared" si="128"/>
        <v>0.79420164004401439</v>
      </c>
      <c r="DX12">
        <f t="shared" si="129"/>
        <v>0.79677411954346422</v>
      </c>
      <c r="DY12">
        <f t="shared" si="130"/>
        <v>0.79931444304917088</v>
      </c>
      <c r="DZ12">
        <f t="shared" si="131"/>
        <v>0.80182301251105625</v>
      </c>
      <c r="EA12">
        <f t="shared" si="132"/>
        <v>0.80430022485466801</v>
      </c>
      <c r="EB12">
        <f t="shared" si="133"/>
        <v>0.80674647204398464</v>
      </c>
      <c r="EC12">
        <f t="shared" si="134"/>
        <v>0.80916214114343488</v>
      </c>
      <c r="ED12">
        <f t="shared" si="135"/>
        <v>0.81154761437914191</v>
      </c>
      <c r="EE12">
        <f t="shared" si="136"/>
        <v>0.81390326919940259</v>
      </c>
      <c r="EF12">
        <f t="shared" si="137"/>
        <v>0.81622947833441006</v>
      </c>
      <c r="EG12">
        <f t="shared" si="138"/>
        <v>0.81852660985522996</v>
      </c>
      <c r="EH12">
        <f t="shared" si="139"/>
        <v>0.82079502723203956</v>
      </c>
      <c r="EI12">
        <f t="shared" si="140"/>
        <v>0.82303508939163905</v>
      </c>
      <c r="EJ12">
        <f t="shared" si="141"/>
        <v>0.8252471507742436</v>
      </c>
      <c r="EK12">
        <f t="shared" si="142"/>
        <v>0.82743156138956553</v>
      </c>
      <c r="EL12">
        <f t="shared" si="143"/>
        <v>0.82958866687219601</v>
      </c>
      <c r="EM12">
        <f t="shared" si="144"/>
        <v>0.83171880853629354</v>
      </c>
      <c r="EN12">
        <f t="shared" si="145"/>
        <v>0.83382232342958984</v>
      </c>
      <c r="EO12">
        <f t="shared" si="146"/>
        <v>0.83589954438671998</v>
      </c>
      <c r="EP12">
        <f t="shared" si="147"/>
        <v>0.83795080008188594</v>
      </c>
      <c r="EQ12">
        <f t="shared" si="148"/>
        <v>0.8399764150808624</v>
      </c>
      <c r="ER12">
        <f t="shared" si="149"/>
        <v>0.84197670989235163</v>
      </c>
      <c r="ES12">
        <f t="shared" si="150"/>
        <v>0.84395200101869727</v>
      </c>
      <c r="ET12">
        <f t="shared" si="151"/>
        <v>0.84590260100596359</v>
      </c>
      <c r="EU12">
        <f t="shared" si="152"/>
        <v>0.84782881849338909</v>
      </c>
      <c r="EV12">
        <f t="shared" si="153"/>
        <v>0.84973095826222178</v>
      </c>
      <c r="EW12">
        <f t="shared" si="154"/>
        <v>0.85160932128394395</v>
      </c>
      <c r="EX12">
        <f t="shared" si="155"/>
        <v>0.85346420476789464</v>
      </c>
      <c r="EY12">
        <f t="shared" si="156"/>
        <v>0.85529590220829599</v>
      </c>
      <c r="EZ12">
        <f t="shared" si="157"/>
        <v>0.85710470343069234</v>
      </c>
      <c r="FA12">
        <f t="shared" si="158"/>
        <v>0.85889089463780866</v>
      </c>
      <c r="FB12">
        <f t="shared" si="159"/>
        <v>0.86065475845483608</v>
      </c>
      <c r="FC12">
        <f t="shared" si="160"/>
        <v>0.86239657397415059</v>
      </c>
      <c r="FD12">
        <f t="shared" si="161"/>
        <v>0.86411661679947371</v>
      </c>
      <c r="FE12">
        <f t="shared" si="162"/>
        <v>0.86581515908948026</v>
      </c>
      <c r="FF12">
        <f t="shared" si="163"/>
        <v>0.86749246960086179</v>
      </c>
      <c r="FG12">
        <f t="shared" si="164"/>
        <v>0.86914881373085107</v>
      </c>
      <c r="FH12">
        <f t="shared" si="165"/>
        <v>0.87078445355921541</v>
      </c>
      <c r="FI12">
        <f t="shared" si="166"/>
        <v>0.87239964788972524</v>
      </c>
      <c r="FJ12">
        <f t="shared" si="167"/>
        <v>0.87399465229110362</v>
      </c>
      <c r="FK12">
        <f t="shared" si="168"/>
        <v>0.87556971913746484</v>
      </c>
      <c r="FL12">
        <f t="shared" si="169"/>
        <v>0.87712509764824653</v>
      </c>
      <c r="FM12">
        <f t="shared" si="170"/>
        <v>0.8786610339276435</v>
      </c>
      <c r="FN12">
        <f t="shared" si="171"/>
        <v>0.88017777100354799</v>
      </c>
      <c r="FO12">
        <f t="shared" si="172"/>
        <v>0.88167554886600363</v>
      </c>
      <c r="FP12">
        <f t="shared" si="173"/>
        <v>0.88315460450517858</v>
      </c>
      <c r="FQ12">
        <f t="shared" si="174"/>
        <v>0.88461517194886385</v>
      </c>
      <c r="FR12">
        <f t="shared" si="175"/>
        <v>0.8860574822995031</v>
      </c>
      <c r="FS12">
        <f t="shared" si="176"/>
        <v>0.88748176377075927</v>
      </c>
      <c r="FT12">
        <f t="shared" si="177"/>
        <v>0.88888824172362479</v>
      </c>
      <c r="FU12">
        <f t="shared" si="178"/>
        <v>0.89027713870207947</v>
      </c>
      <c r="FV12">
        <f t="shared" si="179"/>
        <v>0.89164867446830343</v>
      </c>
      <c r="FW12">
        <f t="shared" si="180"/>
        <v>0.89300306603744961</v>
      </c>
      <c r="FX12">
        <f t="shared" si="181"/>
        <v>0.89434052771198147</v>
      </c>
      <c r="FY12">
        <f t="shared" si="182"/>
        <v>0.89566127111558169</v>
      </c>
      <c r="FZ12">
        <f t="shared" si="183"/>
        <v>0.89696550522663687</v>
      </c>
      <c r="GA12">
        <f t="shared" si="184"/>
        <v>0.89825343641130395</v>
      </c>
      <c r="GB12">
        <f t="shared" si="185"/>
        <v>0.89952526845616265</v>
      </c>
      <c r="GC12">
        <f t="shared" si="186"/>
        <v>0.90078120260046057</v>
      </c>
      <c r="GD12">
        <f t="shared" si="187"/>
        <v>0.90202143756795483</v>
      </c>
      <c r="GE12">
        <f t="shared" si="188"/>
        <v>0.90324616959835535</v>
      </c>
      <c r="GF12">
        <f t="shared" si="189"/>
        <v>0.90445559247837592</v>
      </c>
      <c r="GG12">
        <f t="shared" si="190"/>
        <v>0.90564989757239622</v>
      </c>
      <c r="GH12">
        <f t="shared" si="191"/>
        <v>0.90682927385274126</v>
      </c>
      <c r="GI12">
        <f t="shared" si="192"/>
        <v>0.90799390792958201</v>
      </c>
      <c r="GJ12">
        <f t="shared" si="193"/>
        <v>0.90914398408046226</v>
      </c>
      <c r="GK12">
        <f t="shared" si="194"/>
        <v>0.91027968427945649</v>
      </c>
      <c r="GL12">
        <f t="shared" si="195"/>
        <v>0.91140118822596328</v>
      </c>
      <c r="GM12">
        <f t="shared" si="196"/>
        <v>0.91250867337313879</v>
      </c>
      <c r="GN12">
        <f t="shared" si="197"/>
        <v>0.91360231495597455</v>
      </c>
      <c r="GO12">
        <f t="shared" si="198"/>
        <v>0.9146822860190249</v>
      </c>
      <c r="GP12">
        <f t="shared" si="199"/>
        <v>0.91574875744378714</v>
      </c>
      <c r="GQ12">
        <f t="shared" si="200"/>
        <v>0.91680189797573985</v>
      </c>
      <c r="GR12">
        <f t="shared" si="201"/>
        <v>0.91784187425104313</v>
      </c>
      <c r="GS12">
        <f t="shared" si="202"/>
        <v>0.91886885082290515</v>
      </c>
      <c r="GT12">
        <f t="shared" si="203"/>
        <v>0.91988299018761888</v>
      </c>
      <c r="GU12">
        <f t="shared" si="204"/>
        <v>0.92088445281027365</v>
      </c>
      <c r="GV12">
        <f t="shared" si="205"/>
        <v>0.92187339715014527</v>
      </c>
      <c r="GW12">
        <f t="shared" si="206"/>
        <v>0.92284997968576843</v>
      </c>
      <c r="GX12">
        <f t="shared" si="207"/>
        <v>0.92381435493969632</v>
      </c>
      <c r="GY12">
        <f t="shared" si="208"/>
        <v>0.92476667550295011</v>
      </c>
      <c r="GZ12">
        <f t="shared" si="209"/>
        <v>0.92570709205916324</v>
      </c>
      <c r="HA12">
        <f t="shared" si="210"/>
        <v>0.92663575340842375</v>
      </c>
      <c r="HB12">
        <f t="shared" si="211"/>
        <v>0.9275528064908185</v>
      </c>
      <c r="HC12">
        <f t="shared" si="212"/>
        <v>0.92845839640968331</v>
      </c>
      <c r="HD12">
        <f t="shared" si="213"/>
        <v>0.92935266645456227</v>
      </c>
      <c r="HE12">
        <f t="shared" si="214"/>
        <v>0.93023575812388026</v>
      </c>
      <c r="HF12">
        <f t="shared" si="215"/>
        <v>0.93110781114733177</v>
      </c>
      <c r="HG12">
        <f t="shared" si="216"/>
        <v>0.93196896350799008</v>
      </c>
      <c r="HH12">
        <f t="shared" si="217"/>
        <v>0.93281935146414019</v>
      </c>
      <c r="HI12">
        <f t="shared" si="218"/>
        <v>0.93365910957083842</v>
      </c>
      <c r="HJ12">
        <f t="shared" si="219"/>
        <v>0.93448837070120294</v>
      </c>
      <c r="HK12">
        <f t="shared" si="220"/>
        <v>0.93530726606743786</v>
      </c>
      <c r="HL12">
        <f t="shared" si="221"/>
        <v>0.93611592524159493</v>
      </c>
      <c r="HM12">
        <f t="shared" si="222"/>
        <v>0.93691447617607504</v>
      </c>
      <c r="HN12">
        <f t="shared" si="223"/>
        <v>0.93770304522387415</v>
      </c>
      <c r="HO12">
        <f t="shared" si="224"/>
        <v>0.93848175715857574</v>
      </c>
      <c r="HP12">
        <f t="shared" si="225"/>
        <v>0.93925073519409352</v>
      </c>
      <c r="HQ12">
        <f t="shared" si="226"/>
        <v>0.94001010100416738</v>
      </c>
      <c r="HR12">
        <f t="shared" si="227"/>
        <v>0.94075997474161532</v>
      </c>
      <c r="HS12">
        <f t="shared" si="228"/>
        <v>0.94150047505734513</v>
      </c>
      <c r="HT12">
        <f t="shared" si="229"/>
        <v>0.94223171911912829</v>
      </c>
      <c r="HU12">
        <f t="shared" si="230"/>
        <v>0.94295382263013916</v>
      </c>
      <c r="HV12">
        <f t="shared" si="231"/>
        <v>0.94366689984726237</v>
      </c>
      <c r="HW12">
        <f t="shared" si="232"/>
        <v>0.94437106359917156</v>
      </c>
      <c r="HX12">
        <f t="shared" si="233"/>
        <v>0.94506642530418195</v>
      </c>
      <c r="HY12">
        <f t="shared" si="234"/>
        <v>0.94575309498787963</v>
      </c>
      <c r="HZ12">
        <f t="shared" si="235"/>
        <v>0.94643118130053117</v>
      </c>
      <c r="IA12">
        <f t="shared" si="236"/>
        <v>0.94710079153427451</v>
      </c>
      <c r="IB12">
        <f t="shared" si="237"/>
        <v>0.94776203164009609</v>
      </c>
      <c r="IC12">
        <f t="shared" si="238"/>
        <v>0.94841500624459485</v>
      </c>
      <c r="ID12">
        <f t="shared" si="239"/>
        <v>0.94905981866653744</v>
      </c>
      <c r="IE12">
        <f t="shared" si="240"/>
        <v>0.9496965709332057</v>
      </c>
      <c r="IF12">
        <f t="shared" si="241"/>
        <v>0.95032536379654065</v>
      </c>
      <c r="IG12">
        <f t="shared" si="242"/>
        <v>0.95094629674908393</v>
      </c>
      <c r="IH12">
        <f t="shared" si="243"/>
        <v>0.95155946803972036</v>
      </c>
      <c r="II12">
        <f t="shared" si="244"/>
        <v>0.9521649746892239</v>
      </c>
      <c r="IJ12">
        <f t="shared" si="245"/>
        <v>0.95276291250560863</v>
      </c>
      <c r="IK12">
        <f t="shared" si="246"/>
        <v>0.9533533760992885</v>
      </c>
      <c r="IL12">
        <f t="shared" si="247"/>
        <v>0.95393645889804735</v>
      </c>
      <c r="IM12">
        <f t="shared" si="248"/>
        <v>0.95451225316182176</v>
      </c>
      <c r="IN12">
        <f t="shared" si="249"/>
        <v>0.95508084999729903</v>
      </c>
      <c r="IO12">
        <f t="shared" si="250"/>
        <v>0.95564233937233278</v>
      </c>
      <c r="IP12">
        <f t="shared" si="251"/>
        <v>0.95619681013017865</v>
      </c>
      <c r="IQ12">
        <f t="shared" si="252"/>
        <v>0.9567443500035514</v>
      </c>
      <c r="IR12">
        <f t="shared" si="253"/>
        <v>0.95728504562850703</v>
      </c>
      <c r="IS12">
        <f t="shared" si="254"/>
        <v>0.95781898255815068</v>
      </c>
      <c r="IT12">
        <f t="shared" si="255"/>
        <v>0.95834624527617385</v>
      </c>
      <c r="IU12">
        <f t="shared" si="256"/>
        <v>0.95886691721022166</v>
      </c>
      <c r="IV12">
        <f t="shared" si="257"/>
        <v>0.95938108074509387</v>
      </c>
    </row>
    <row r="13" spans="1:256" x14ac:dyDescent="0.2">
      <c r="A13" t="s">
        <v>483</v>
      </c>
      <c r="B13">
        <f>$B$115</f>
        <v>0.3104089164733887</v>
      </c>
      <c r="C13">
        <f t="shared" si="4"/>
        <v>0.31670418834314162</v>
      </c>
      <c r="D13">
        <f t="shared" si="5"/>
        <v>0.32524538598885233</v>
      </c>
      <c r="E13">
        <f t="shared" si="6"/>
        <v>0.33367981866399166</v>
      </c>
      <c r="F13">
        <f t="shared" si="7"/>
        <v>0.34200882093069174</v>
      </c>
      <c r="G13">
        <f t="shared" si="8"/>
        <v>0.35023371066905806</v>
      </c>
      <c r="H13">
        <f t="shared" si="9"/>
        <v>0.35835578928569484</v>
      </c>
      <c r="I13">
        <f t="shared" si="10"/>
        <v>0.36637634191962365</v>
      </c>
      <c r="J13">
        <f t="shared" si="11"/>
        <v>0.37429663764562837</v>
      </c>
      <c r="K13">
        <f t="shared" si="12"/>
        <v>0.37282565931550127</v>
      </c>
      <c r="L13">
        <f t="shared" si="13"/>
        <v>0.37131516383204632</v>
      </c>
      <c r="M13">
        <f t="shared" si="14"/>
        <v>0.36976661259338667</v>
      </c>
      <c r="N13">
        <f t="shared" si="15"/>
        <v>0.3681814331837886</v>
      </c>
      <c r="O13">
        <f t="shared" si="16"/>
        <v>0.36656102024914428</v>
      </c>
      <c r="P13">
        <f t="shared" si="17"/>
        <v>0.36490673632838899</v>
      </c>
      <c r="Q13">
        <f t="shared" si="18"/>
        <v>0.36321991264404846</v>
      </c>
      <c r="R13">
        <f t="shared" si="19"/>
        <v>0.36150184985488731</v>
      </c>
      <c r="S13">
        <f t="shared" si="20"/>
        <v>0.35836844775256077</v>
      </c>
      <c r="T13">
        <f t="shared" si="21"/>
        <v>0.35525017309992085</v>
      </c>
      <c r="U13">
        <f t="shared" si="22"/>
        <v>0.35214724114657503</v>
      </c>
      <c r="V13">
        <f t="shared" si="23"/>
        <v>0.34905985738705425</v>
      </c>
      <c r="W13">
        <f t="shared" si="24"/>
        <v>0.34598821791058837</v>
      </c>
      <c r="X13">
        <f t="shared" si="25"/>
        <v>0.34293250972986483</v>
      </c>
      <c r="Y13">
        <f t="shared" si="26"/>
        <v>0.33989291109042502</v>
      </c>
      <c r="Z13">
        <f t="shared" si="27"/>
        <v>0.33686959176222214</v>
      </c>
      <c r="AA13">
        <f t="shared" si="28"/>
        <v>0.33386271331474537</v>
      </c>
      <c r="AB13">
        <f t="shared" si="29"/>
        <v>0.33088138298073122</v>
      </c>
      <c r="AC13">
        <f t="shared" si="30"/>
        <v>0.32792544376160165</v>
      </c>
      <c r="AD13">
        <f t="shared" si="31"/>
        <v>0.32499473576941945</v>
      </c>
      <c r="AE13">
        <f t="shared" si="32"/>
        <v>0.32208909652951323</v>
      </c>
      <c r="AF13">
        <f t="shared" si="33"/>
        <v>0.31920836126295743</v>
      </c>
      <c r="AG13">
        <f t="shared" si="34"/>
        <v>0.3163523631501487</v>
      </c>
      <c r="AH13">
        <f t="shared" si="35"/>
        <v>0.31352093357664512</v>
      </c>
      <c r="AI13">
        <f t="shared" si="36"/>
        <v>0.3134162955959312</v>
      </c>
      <c r="AJ13">
        <f t="shared" si="37"/>
        <v>0.31336854529969943</v>
      </c>
      <c r="AK13">
        <f t="shared" si="38"/>
        <v>0.31337676411580839</v>
      </c>
      <c r="AL13">
        <f t="shared" si="39"/>
        <v>0.31344008087945313</v>
      </c>
      <c r="AM13">
        <f t="shared" si="40"/>
        <v>0.31355767092522152</v>
      </c>
      <c r="AN13">
        <f t="shared" si="41"/>
        <v>0.31372875526739952</v>
      </c>
      <c r="AO13">
        <f t="shared" si="42"/>
        <v>0.31395259986252161</v>
      </c>
      <c r="AP13">
        <f t="shared" si="43"/>
        <v>0.31422851494898713</v>
      </c>
      <c r="AQ13">
        <f t="shared" si="44"/>
        <v>0.31154114911767505</v>
      </c>
      <c r="AR13">
        <f t="shared" si="45"/>
        <v>0.30892539647753159</v>
      </c>
      <c r="AS13">
        <f t="shared" si="46"/>
        <v>0.30638021671843263</v>
      </c>
      <c r="AT13">
        <f t="shared" si="47"/>
        <v>0.30390458709819823</v>
      </c>
      <c r="AU13">
        <f t="shared" si="48"/>
        <v>0.30149750227582311</v>
      </c>
      <c r="AV13">
        <f t="shared" si="49"/>
        <v>0.29915797418372614</v>
      </c>
      <c r="AW13">
        <f t="shared" si="50"/>
        <v>0.29688503193366567</v>
      </c>
      <c r="AX13">
        <f t="shared" si="51"/>
        <v>0.29467772175186202</v>
      </c>
      <c r="AY13">
        <f t="shared" si="52"/>
        <v>0.29253510693961271</v>
      </c>
      <c r="AZ13">
        <f t="shared" si="53"/>
        <v>0.29046287265418846</v>
      </c>
      <c r="BA13">
        <f t="shared" si="54"/>
        <v>0.28846047568884953</v>
      </c>
      <c r="BB13">
        <f t="shared" si="55"/>
        <v>0.28652739730242544</v>
      </c>
      <c r="BC13">
        <f t="shared" si="56"/>
        <v>0.28466314356983091</v>
      </c>
      <c r="BD13">
        <f t="shared" si="57"/>
        <v>0.28286724582750844</v>
      </c>
      <c r="BE13">
        <f t="shared" si="58"/>
        <v>0.28113926120425869</v>
      </c>
      <c r="BF13">
        <f t="shared" si="59"/>
        <v>0.27947877323010611</v>
      </c>
      <c r="BG13">
        <f t="shared" si="60"/>
        <v>0.2778853925176194</v>
      </c>
      <c r="BH13">
        <f t="shared" si="61"/>
        <v>0.27635875751156258</v>
      </c>
      <c r="BI13">
        <f t="shared" si="62"/>
        <v>0.27489825492694353</v>
      </c>
      <c r="BJ13">
        <f t="shared" si="63"/>
        <v>0.2735029330561291</v>
      </c>
      <c r="BK13">
        <f t="shared" si="64"/>
        <v>0.27217184214668572</v>
      </c>
      <c r="BL13">
        <f t="shared" si="65"/>
        <v>0.27090403478701347</v>
      </c>
      <c r="BM13">
        <f t="shared" si="66"/>
        <v>0.26969856627493372</v>
      </c>
      <c r="BN13">
        <f t="shared" si="67"/>
        <v>0.26855449496977163</v>
      </c>
      <c r="BO13">
        <f t="shared" si="68"/>
        <v>0.26747088262846136</v>
      </c>
      <c r="BP13">
        <f t="shared" si="69"/>
        <v>0.26644679472618576</v>
      </c>
      <c r="BQ13">
        <f t="shared" si="70"/>
        <v>0.26548130076204857</v>
      </c>
      <c r="BR13">
        <f t="shared" si="71"/>
        <v>0.26457347455026209</v>
      </c>
      <c r="BS13">
        <f t="shared" si="72"/>
        <v>0.26372239449732127</v>
      </c>
      <c r="BT13">
        <f t="shared" si="73"/>
        <v>0.26292714386561955</v>
      </c>
      <c r="BU13">
        <f t="shared" si="74"/>
        <v>0.26218681102395092</v>
      </c>
      <c r="BV13">
        <f t="shared" si="75"/>
        <v>0.2615004896853288</v>
      </c>
      <c r="BW13">
        <f t="shared" si="76"/>
        <v>0.26086727913254026</v>
      </c>
      <c r="BX13">
        <f t="shared" si="77"/>
        <v>0.26028628443184221</v>
      </c>
      <c r="BY13">
        <f t="shared" si="78"/>
        <v>0.25975661663519473</v>
      </c>
      <c r="BZ13">
        <f t="shared" si="79"/>
        <v>0.259277392971415</v>
      </c>
      <c r="CA13">
        <f t="shared" si="80"/>
        <v>0.25884773702662434</v>
      </c>
      <c r="CB13">
        <f t="shared" si="81"/>
        <v>0.25846677891435049</v>
      </c>
      <c r="CC13">
        <f t="shared" si="82"/>
        <v>0.25813365543563604</v>
      </c>
      <c r="CD13">
        <f t="shared" si="83"/>
        <v>0.25784751022949481</v>
      </c>
      <c r="CE13">
        <f t="shared" si="84"/>
        <v>0.25760749391404697</v>
      </c>
      <c r="CF13">
        <f t="shared" si="85"/>
        <v>0.25741276421865489</v>
      </c>
      <c r="CG13">
        <f t="shared" si="86"/>
        <v>0.25726248610737185</v>
      </c>
      <c r="CH13">
        <f t="shared" si="87"/>
        <v>0.25715583189400704</v>
      </c>
      <c r="CI13">
        <f t="shared" si="88"/>
        <v>0.25709198134910094</v>
      </c>
      <c r="CJ13">
        <f t="shared" si="89"/>
        <v>0.25707012179909661</v>
      </c>
      <c r="CK13">
        <f t="shared" si="90"/>
        <v>0.2570894482179848</v>
      </c>
      <c r="CL13">
        <f t="shared" si="91"/>
        <v>0.25714916331169124</v>
      </c>
      <c r="CM13">
        <f t="shared" si="92"/>
        <v>0.25724847759546787</v>
      </c>
      <c r="CN13">
        <f t="shared" si="93"/>
        <v>0.25738660946454117</v>
      </c>
      <c r="CO13">
        <f t="shared" si="94"/>
        <v>0.25756278525826343</v>
      </c>
      <c r="CP13">
        <f t="shared" si="95"/>
        <v>0.2577762393180057</v>
      </c>
      <c r="CQ13">
        <f t="shared" si="96"/>
        <v>0.25802621403902409</v>
      </c>
      <c r="CR13">
        <f t="shared" si="97"/>
        <v>0.2583119599165235</v>
      </c>
      <c r="CS13">
        <f t="shared" si="98"/>
        <v>0.25863273558613709</v>
      </c>
      <c r="CT13">
        <f t="shared" si="99"/>
        <v>0.2589878078590323</v>
      </c>
      <c r="CU13">
        <f t="shared" si="100"/>
        <v>0.25937645175184892</v>
      </c>
      <c r="CV13">
        <f t="shared" si="101"/>
        <v>0.25979795051166737</v>
      </c>
      <c r="CW13">
        <f t="shared" si="102"/>
        <v>0.26025159563620021</v>
      </c>
      <c r="CX13">
        <f t="shared" si="103"/>
        <v>0.26073668688939344</v>
      </c>
      <c r="CY13">
        <f t="shared" si="104"/>
        <v>0.26125253231261925</v>
      </c>
      <c r="CZ13">
        <f t="shared" si="105"/>
        <v>0.26179844823163506</v>
      </c>
      <c r="DA13">
        <f t="shared" si="106"/>
        <v>0.26237375925947992</v>
      </c>
      <c r="DB13">
        <f t="shared" si="107"/>
        <v>0.26297779829547235</v>
      </c>
      <c r="DC13">
        <f t="shared" si="108"/>
        <v>0.26360990652047034</v>
      </c>
      <c r="DD13">
        <f t="shared" si="109"/>
        <v>0.26426943338854791</v>
      </c>
      <c r="DE13">
        <f t="shared" si="110"/>
        <v>0.26495573661523841</v>
      </c>
      <c r="DF13">
        <f t="shared" si="111"/>
        <v>0.26566818216249044</v>
      </c>
      <c r="DG13">
        <f t="shared" si="112"/>
        <v>0.26640614422047654</v>
      </c>
      <c r="DH13">
        <f t="shared" si="113"/>
        <v>0.26716900518639181</v>
      </c>
      <c r="DI13">
        <f t="shared" si="114"/>
        <v>0.26795615564037423</v>
      </c>
      <c r="DJ13">
        <f t="shared" si="115"/>
        <v>0.26876699431867507</v>
      </c>
      <c r="DK13">
        <f t="shared" si="116"/>
        <v>0.26960092808420266</v>
      </c>
      <c r="DL13">
        <f t="shared" si="117"/>
        <v>0.27045737189456015</v>
      </c>
      <c r="DM13">
        <f t="shared" si="118"/>
        <v>0.27133574876769329</v>
      </c>
      <c r="DN13">
        <f t="shared" si="119"/>
        <v>0.2722354897452603</v>
      </c>
      <c r="DO13">
        <f t="shared" si="120"/>
        <v>0.27315603385383319</v>
      </c>
      <c r="DP13">
        <f t="shared" si="121"/>
        <v>0.27409682806403529</v>
      </c>
      <c r="DQ13">
        <f t="shared" si="122"/>
        <v>0.2750573272477172</v>
      </c>
      <c r="DR13">
        <f t="shared" si="123"/>
        <v>0.27603699413326954</v>
      </c>
      <c r="DS13">
        <f t="shared" si="124"/>
        <v>0.27703529925916798</v>
      </c>
      <c r="DT13">
        <f t="shared" si="125"/>
        <v>0.27805172092584257</v>
      </c>
      <c r="DU13">
        <f t="shared" si="126"/>
        <v>0.27908574514596046</v>
      </c>
      <c r="DV13">
        <f t="shared" si="127"/>
        <v>0.28013686559320855</v>
      </c>
      <c r="DW13">
        <f t="shared" si="128"/>
        <v>0.28120458354965877</v>
      </c>
      <c r="DX13">
        <f t="shared" si="129"/>
        <v>0.28228840785179715</v>
      </c>
      <c r="DY13">
        <f t="shared" si="130"/>
        <v>0.28338785483529394</v>
      </c>
      <c r="DZ13">
        <f t="shared" si="131"/>
        <v>0.28450244827859017</v>
      </c>
      <c r="EA13">
        <f t="shared" si="132"/>
        <v>0.28563171934537346</v>
      </c>
      <c r="EB13">
        <f t="shared" si="133"/>
        <v>0.28677520652601268</v>
      </c>
      <c r="EC13">
        <f t="shared" si="134"/>
        <v>0.28793245557801955</v>
      </c>
      <c r="ED13">
        <f t="shared" si="135"/>
        <v>0.28910301946560263</v>
      </c>
      <c r="EE13">
        <f t="shared" si="136"/>
        <v>0.29028645829837629</v>
      </c>
      <c r="EF13">
        <f t="shared" si="137"/>
        <v>0.29148233926928618</v>
      </c>
      <c r="EG13">
        <f t="shared" si="138"/>
        <v>0.29269023659180948</v>
      </c>
      <c r="EH13">
        <f t="shared" si="139"/>
        <v>0.29390973143648658</v>
      </c>
      <c r="EI13">
        <f t="shared" si="140"/>
        <v>0.2951404118668392</v>
      </c>
      <c r="EJ13">
        <f t="shared" si="141"/>
        <v>0.29638187277472738</v>
      </c>
      <c r="EK13">
        <f t="shared" si="142"/>
        <v>0.29763371581519588</v>
      </c>
      <c r="EL13">
        <f t="shared" si="143"/>
        <v>0.29889554934085955</v>
      </c>
      <c r="EM13">
        <f t="shared" si="144"/>
        <v>0.30016698833587407</v>
      </c>
      <c r="EN13">
        <f t="shared" si="145"/>
        <v>0.30144765434953813</v>
      </c>
      <c r="EO13">
        <f t="shared" si="146"/>
        <v>0.30273717542957029</v>
      </c>
      <c r="EP13">
        <f t="shared" si="147"/>
        <v>0.30403518605510277</v>
      </c>
      <c r="EQ13">
        <f t="shared" si="148"/>
        <v>0.30534132706943262</v>
      </c>
      <c r="ER13">
        <f t="shared" si="149"/>
        <v>0.30665524561256952</v>
      </c>
      <c r="ES13">
        <f t="shared" si="150"/>
        <v>0.30797659505361696</v>
      </c>
      <c r="ET13">
        <f t="shared" si="151"/>
        <v>0.30930503492302369</v>
      </c>
      <c r="EU13">
        <f t="shared" si="152"/>
        <v>0.31064023084473941</v>
      </c>
      <c r="EV13">
        <f t="shared" si="153"/>
        <v>0.31198185446830812</v>
      </c>
      <c r="EW13">
        <f t="shared" si="154"/>
        <v>0.31332958340093126</v>
      </c>
      <c r="EX13">
        <f t="shared" si="155"/>
        <v>0.31468310113953091</v>
      </c>
      <c r="EY13">
        <f t="shared" si="156"/>
        <v>0.31604209700284275</v>
      </c>
      <c r="EZ13">
        <f t="shared" si="157"/>
        <v>0.31740626606356709</v>
      </c>
      <c r="FA13">
        <f t="shared" si="158"/>
        <v>0.31877530908060447</v>
      </c>
      <c r="FB13">
        <f t="shared" si="159"/>
        <v>0.3201489324314023</v>
      </c>
      <c r="FC13">
        <f t="shared" si="160"/>
        <v>0.32152684804443715</v>
      </c>
      <c r="FD13">
        <f t="shared" si="161"/>
        <v>0.32290877333185647</v>
      </c>
      <c r="FE13">
        <f t="shared" si="162"/>
        <v>0.32429443112230211</v>
      </c>
      <c r="FF13">
        <f t="shared" si="163"/>
        <v>0.32568354959393825</v>
      </c>
      <c r="FG13">
        <f t="shared" si="164"/>
        <v>0.32707586220770352</v>
      </c>
      <c r="FH13">
        <f t="shared" si="165"/>
        <v>0.32847110764080778</v>
      </c>
      <c r="FI13">
        <f t="shared" si="166"/>
        <v>0.32986902972049237</v>
      </c>
      <c r="FJ13">
        <f t="shared" si="167"/>
        <v>0.33126937735807149</v>
      </c>
      <c r="FK13">
        <f t="shared" si="168"/>
        <v>0.33267190448327283</v>
      </c>
      <c r="FL13">
        <f t="shared" si="169"/>
        <v>0.33407636997889267</v>
      </c>
      <c r="FM13">
        <f t="shared" si="170"/>
        <v>0.33548253761578206</v>
      </c>
      <c r="FN13">
        <f t="shared" si="171"/>
        <v>0.33689017598817839</v>
      </c>
      <c r="FO13">
        <f t="shared" si="172"/>
        <v>0.33829905844939656</v>
      </c>
      <c r="FP13">
        <f t="shared" si="173"/>
        <v>0.33970896304789294</v>
      </c>
      <c r="FQ13">
        <f t="shared" si="174"/>
        <v>0.34111967246371538</v>
      </c>
      <c r="FR13">
        <f t="shared" si="175"/>
        <v>0.34253097394535048</v>
      </c>
      <c r="FS13">
        <f t="shared" si="176"/>
        <v>0.34394265924697998</v>
      </c>
      <c r="FT13">
        <f t="shared" si="177"/>
        <v>0.34535452456615701</v>
      </c>
      <c r="FU13">
        <f t="shared" si="178"/>
        <v>0.34676637048191195</v>
      </c>
      <c r="FV13">
        <f t="shared" si="179"/>
        <v>0.34817800189329795</v>
      </c>
      <c r="FW13">
        <f t="shared" si="180"/>
        <v>0.34958922795838454</v>
      </c>
      <c r="FX13">
        <f t="shared" si="181"/>
        <v>0.3509998620337082</v>
      </c>
      <c r="FY13">
        <f t="shared" si="182"/>
        <v>0.35240972161418732</v>
      </c>
      <c r="FZ13">
        <f t="shared" si="183"/>
        <v>0.35381862827350952</v>
      </c>
      <c r="GA13">
        <f t="shared" si="184"/>
        <v>0.35522640760499757</v>
      </c>
      <c r="GB13">
        <f t="shared" si="185"/>
        <v>0.35663288916296076</v>
      </c>
      <c r="GC13">
        <f t="shared" si="186"/>
        <v>0.35803790640453759</v>
      </c>
      <c r="GD13">
        <f t="shared" si="187"/>
        <v>0.35944129663203495</v>
      </c>
      <c r="GE13">
        <f t="shared" si="188"/>
        <v>0.36084290093576948</v>
      </c>
      <c r="GF13">
        <f t="shared" si="189"/>
        <v>0.36224256413741512</v>
      </c>
      <c r="GG13">
        <f t="shared" si="190"/>
        <v>0.36364013473386159</v>
      </c>
      <c r="GH13">
        <f t="shared" si="191"/>
        <v>0.36503546484158733</v>
      </c>
      <c r="GI13">
        <f t="shared" si="192"/>
        <v>0.36642841014155075</v>
      </c>
      <c r="GJ13">
        <f t="shared" si="193"/>
        <v>0.36781882982460262</v>
      </c>
      <c r="GK13">
        <f t="shared" si="194"/>
        <v>0.36920658653742255</v>
      </c>
      <c r="GL13">
        <f t="shared" si="195"/>
        <v>0.37059154632898222</v>
      </c>
      <c r="GM13">
        <f t="shared" si="196"/>
        <v>0.37197357859753694</v>
      </c>
      <c r="GN13">
        <f t="shared" si="197"/>
        <v>0.37335255603814815</v>
      </c>
      <c r="GO13">
        <f t="shared" si="198"/>
        <v>0.37472835459073789</v>
      </c>
      <c r="GP13">
        <f t="shared" si="199"/>
        <v>0.37610085338867655</v>
      </c>
      <c r="GQ13">
        <f t="shared" si="200"/>
        <v>0.37746993470790513</v>
      </c>
      <c r="GR13">
        <f t="shared" si="201"/>
        <v>0.37883548391659255</v>
      </c>
      <c r="GS13">
        <f t="shared" si="202"/>
        <v>0.38019738942532871</v>
      </c>
      <c r="GT13">
        <f t="shared" si="203"/>
        <v>0.38155554263785313</v>
      </c>
      <c r="GU13">
        <f t="shared" si="204"/>
        <v>0.38290983790231953</v>
      </c>
      <c r="GV13">
        <f t="shared" si="205"/>
        <v>0.38426017246309613</v>
      </c>
      <c r="GW13">
        <f t="shared" si="206"/>
        <v>0.38560644641310104</v>
      </c>
      <c r="GX13">
        <f t="shared" si="207"/>
        <v>0.38694856264667221</v>
      </c>
      <c r="GY13">
        <f t="shared" si="208"/>
        <v>0.3882864268129711</v>
      </c>
      <c r="GZ13">
        <f t="shared" si="209"/>
        <v>0.38961994726991911</v>
      </c>
      <c r="HA13">
        <f t="shared" si="210"/>
        <v>0.39094903503866535</v>
      </c>
      <c r="HB13">
        <f t="shared" si="211"/>
        <v>0.39227360375858461</v>
      </c>
      <c r="HC13">
        <f t="shared" si="212"/>
        <v>0.39359356964280401</v>
      </c>
      <c r="HD13">
        <f t="shared" si="213"/>
        <v>0.39490885143425625</v>
      </c>
      <c r="HE13">
        <f t="shared" si="214"/>
        <v>0.39621937036225807</v>
      </c>
      <c r="HF13">
        <f t="shared" si="215"/>
        <v>0.39752505009961175</v>
      </c>
      <c r="HG13">
        <f t="shared" si="216"/>
        <v>0.39882581672022732</v>
      </c>
      <c r="HH13">
        <f t="shared" si="217"/>
        <v>0.40012159865726343</v>
      </c>
      <c r="HI13">
        <f t="shared" si="218"/>
        <v>0.40141232666178461</v>
      </c>
      <c r="HJ13">
        <f t="shared" si="219"/>
        <v>0.40269793376193203</v>
      </c>
      <c r="HK13">
        <f t="shared" si="220"/>
        <v>0.40397835522260533</v>
      </c>
      <c r="HL13">
        <f t="shared" si="221"/>
        <v>0.4052535285056531</v>
      </c>
      <c r="HM13">
        <f t="shared" si="222"/>
        <v>0.40652339323056835</v>
      </c>
      <c r="HN13">
        <f t="shared" si="223"/>
        <v>0.40778789113568714</v>
      </c>
      <c r="HO13">
        <f t="shared" si="224"/>
        <v>0.40904696603988633</v>
      </c>
      <c r="HP13">
        <f t="shared" si="225"/>
        <v>0.41030056380477786</v>
      </c>
      <c r="HQ13">
        <f t="shared" si="226"/>
        <v>0.41154863229739652</v>
      </c>
      <c r="HR13">
        <f t="shared" si="227"/>
        <v>0.41279112135337731</v>
      </c>
      <c r="HS13">
        <f t="shared" si="228"/>
        <v>0.41402798274061975</v>
      </c>
      <c r="HT13">
        <f t="shared" si="229"/>
        <v>0.41525917012343511</v>
      </c>
      <c r="HU13">
        <f t="shared" si="230"/>
        <v>0.41648463902717359</v>
      </c>
      <c r="HV13">
        <f t="shared" si="231"/>
        <v>0.41770434680332769</v>
      </c>
      <c r="HW13">
        <f t="shared" si="232"/>
        <v>0.41891825259510801</v>
      </c>
      <c r="HX13">
        <f t="shared" si="233"/>
        <v>0.42012631730348793</v>
      </c>
      <c r="HY13">
        <f t="shared" si="234"/>
        <v>0.42132850355371382</v>
      </c>
      <c r="HZ13">
        <f t="shared" si="235"/>
        <v>0.42252477566227647</v>
      </c>
      <c r="IA13">
        <f t="shared" si="236"/>
        <v>0.42371509960434028</v>
      </c>
      <c r="IB13">
        <f t="shared" si="237"/>
        <v>0.42489944298162635</v>
      </c>
      <c r="IC13">
        <f t="shared" si="238"/>
        <v>0.42607777499074539</v>
      </c>
      <c r="ID13">
        <f t="shared" si="239"/>
        <v>0.42725006639197705</v>
      </c>
      <c r="IE13">
        <f t="shared" si="240"/>
        <v>0.42841628947849103</v>
      </c>
      <c r="IF13">
        <f t="shared" si="241"/>
        <v>0.4295764180460066</v>
      </c>
      <c r="IG13">
        <f t="shared" si="242"/>
        <v>0.43073042736288625</v>
      </c>
      <c r="IH13">
        <f t="shared" si="243"/>
        <v>0.43187829414065965</v>
      </c>
      <c r="II13">
        <f t="shared" si="244"/>
        <v>0.43301999650497364</v>
      </c>
      <c r="IJ13">
        <f t="shared" si="245"/>
        <v>0.43415551396696428</v>
      </c>
      <c r="IK13">
        <f t="shared" si="246"/>
        <v>0.43528482739504737</v>
      </c>
      <c r="IL13">
        <f t="shared" si="247"/>
        <v>0.43640791898712239</v>
      </c>
      <c r="IM13">
        <f t="shared" si="248"/>
        <v>0.43752477224318681</v>
      </c>
      <c r="IN13">
        <f t="shared" si="249"/>
        <v>0.43863537193835594</v>
      </c>
      <c r="IO13">
        <f t="shared" si="250"/>
        <v>0.43973970409628471</v>
      </c>
      <c r="IP13">
        <f t="shared" si="251"/>
        <v>0.4408377559629868</v>
      </c>
      <c r="IQ13">
        <f t="shared" si="252"/>
        <v>0.44192951598104757</v>
      </c>
      <c r="IR13">
        <f t="shared" si="253"/>
        <v>0.44301497376422605</v>
      </c>
      <c r="IS13">
        <f t="shared" si="254"/>
        <v>0.44409412007244253</v>
      </c>
      <c r="IT13">
        <f t="shared" si="255"/>
        <v>0.44516694678714719</v>
      </c>
      <c r="IU13">
        <f t="shared" si="256"/>
        <v>0.44623344688706568</v>
      </c>
      <c r="IV13">
        <f t="shared" si="257"/>
        <v>0.44729361442431792</v>
      </c>
    </row>
    <row r="14" spans="1:256" x14ac:dyDescent="0.2">
      <c r="A14" t="s">
        <v>484</v>
      </c>
      <c r="B14">
        <f>$B$116</f>
        <v>0.76251144409179683</v>
      </c>
      <c r="C14">
        <f t="shared" si="4"/>
        <v>0.76548005104064942</v>
      </c>
      <c r="D14">
        <f t="shared" si="5"/>
        <v>0.7657871143025089</v>
      </c>
      <c r="E14">
        <f t="shared" si="6"/>
        <v>0.76583999773480926</v>
      </c>
      <c r="F14">
        <f t="shared" si="7"/>
        <v>0.76565903730320561</v>
      </c>
      <c r="G14">
        <f t="shared" si="8"/>
        <v>0.76526257237823336</v>
      </c>
      <c r="H14">
        <f t="shared" si="9"/>
        <v>0.76466717923859095</v>
      </c>
      <c r="I14">
        <f t="shared" si="10"/>
        <v>0.76388787149667836</v>
      </c>
      <c r="J14">
        <f t="shared" si="11"/>
        <v>0.76293827295587802</v>
      </c>
      <c r="K14">
        <f t="shared" si="12"/>
        <v>0.76590154454392956</v>
      </c>
      <c r="L14">
        <f t="shared" si="13"/>
        <v>0.76882777523713042</v>
      </c>
      <c r="M14">
        <f t="shared" si="14"/>
        <v>0.77171742804666632</v>
      </c>
      <c r="N14">
        <f t="shared" si="15"/>
        <v>0.77457096019608296</v>
      </c>
      <c r="O14">
        <f t="shared" si="16"/>
        <v>0.77738882319363189</v>
      </c>
      <c r="P14">
        <f t="shared" si="17"/>
        <v>0.78017146290371153</v>
      </c>
      <c r="Q14">
        <f t="shared" si="18"/>
        <v>0.78291931961741512</v>
      </c>
      <c r="R14">
        <f t="shared" si="19"/>
        <v>0.78563282812219748</v>
      </c>
      <c r="S14">
        <f t="shared" si="20"/>
        <v>0.78831241777066996</v>
      </c>
      <c r="T14">
        <f t="shared" si="21"/>
        <v>0.79095851254853655</v>
      </c>
      <c r="U14">
        <f t="shared" si="22"/>
        <v>0.79357153114167989</v>
      </c>
      <c r="V14">
        <f t="shared" si="23"/>
        <v>0.79615188700240891</v>
      </c>
      <c r="W14">
        <f t="shared" si="24"/>
        <v>0.79869998841487877</v>
      </c>
      <c r="X14">
        <f t="shared" si="25"/>
        <v>0.80121623855969282</v>
      </c>
      <c r="Y14">
        <f t="shared" si="26"/>
        <v>0.80370103557769668</v>
      </c>
      <c r="Z14">
        <f t="shared" si="27"/>
        <v>0.80615477263297541</v>
      </c>
      <c r="AA14">
        <f t="shared" si="28"/>
        <v>0.80857783797506322</v>
      </c>
      <c r="AB14">
        <f t="shared" si="29"/>
        <v>0.81097061500037493</v>
      </c>
      <c r="AC14">
        <f t="shared" si="30"/>
        <v>0.81333348231287028</v>
      </c>
      <c r="AD14">
        <f t="shared" si="31"/>
        <v>0.81566681378395944</v>
      </c>
      <c r="AE14">
        <f t="shared" si="32"/>
        <v>0.8179709786116599</v>
      </c>
      <c r="AF14">
        <f t="shared" si="33"/>
        <v>0.8202463413790142</v>
      </c>
      <c r="AG14">
        <f t="shared" si="34"/>
        <v>0.82249326211177654</v>
      </c>
      <c r="AH14">
        <f t="shared" si="35"/>
        <v>0.82471209633537934</v>
      </c>
      <c r="AI14">
        <f t="shared" si="36"/>
        <v>0.82201324363397454</v>
      </c>
      <c r="AJ14">
        <f t="shared" si="37"/>
        <v>0.81911652052693218</v>
      </c>
      <c r="AK14">
        <f t="shared" si="38"/>
        <v>0.81603338052086638</v>
      </c>
      <c r="AL14">
        <f t="shared" si="39"/>
        <v>0.81277459578916877</v>
      </c>
      <c r="AM14">
        <f t="shared" si="40"/>
        <v>0.80935030527729124</v>
      </c>
      <c r="AN14">
        <f t="shared" si="41"/>
        <v>0.80577005878383345</v>
      </c>
      <c r="AO14">
        <f t="shared" si="42"/>
        <v>0.8020428574049987</v>
      </c>
      <c r="AP14">
        <f t="shared" si="43"/>
        <v>0.79817719068794724</v>
      </c>
      <c r="AQ14">
        <f t="shared" si="44"/>
        <v>0.80016216579874577</v>
      </c>
      <c r="AR14">
        <f t="shared" si="45"/>
        <v>0.80194973886027809</v>
      </c>
      <c r="AS14">
        <f t="shared" si="46"/>
        <v>0.80355199096343222</v>
      </c>
      <c r="AT14">
        <f t="shared" si="47"/>
        <v>0.8049798836745572</v>
      </c>
      <c r="AU14">
        <f t="shared" si="48"/>
        <v>0.80624336309844546</v>
      </c>
      <c r="AV14">
        <f t="shared" si="49"/>
        <v>0.80735145142320575</v>
      </c>
      <c r="AW14">
        <f t="shared" si="50"/>
        <v>0.80831232777152384</v>
      </c>
      <c r="AX14">
        <f t="shared" si="51"/>
        <v>0.80913339988688515</v>
      </c>
      <c r="AY14">
        <f t="shared" si="52"/>
        <v>0.80922666183253011</v>
      </c>
      <c r="AZ14">
        <f t="shared" si="53"/>
        <v>0.80900629198514684</v>
      </c>
      <c r="BA14">
        <f t="shared" si="54"/>
        <v>0.80848986541689971</v>
      </c>
      <c r="BB14">
        <f t="shared" si="55"/>
        <v>0.80769303208394427</v>
      </c>
      <c r="BC14">
        <f t="shared" si="56"/>
        <v>0.80662979086137199</v>
      </c>
      <c r="BD14">
        <f t="shared" si="57"/>
        <v>0.8053127205394992</v>
      </c>
      <c r="BE14">
        <f t="shared" si="58"/>
        <v>0.8037531756592674</v>
      </c>
      <c r="BF14">
        <f t="shared" si="59"/>
        <v>0.80196145340905545</v>
      </c>
      <c r="BG14">
        <f t="shared" si="60"/>
        <v>0.79994693653863869</v>
      </c>
      <c r="BH14">
        <f t="shared" si="61"/>
        <v>0.79771821626856254</v>
      </c>
      <c r="BI14">
        <f t="shared" si="62"/>
        <v>0.79528319841265038</v>
      </c>
      <c r="BJ14">
        <f t="shared" si="63"/>
        <v>0.79264921901006646</v>
      </c>
      <c r="BK14">
        <f t="shared" si="64"/>
        <v>0.78982506981142109</v>
      </c>
      <c r="BL14">
        <f t="shared" si="65"/>
        <v>0.78682064727330248</v>
      </c>
      <c r="BM14">
        <f t="shared" si="66"/>
        <v>0.7836451905806856</v>
      </c>
      <c r="BN14">
        <f t="shared" si="67"/>
        <v>0.78030736137927814</v>
      </c>
      <c r="BO14">
        <f t="shared" si="68"/>
        <v>0.77681530854977399</v>
      </c>
      <c r="BP14">
        <f t="shared" si="69"/>
        <v>0.77317672478024435</v>
      </c>
      <c r="BQ14">
        <f t="shared" si="70"/>
        <v>0.76939889598507172</v>
      </c>
      <c r="BR14">
        <f t="shared" si="71"/>
        <v>0.76548874446637638</v>
      </c>
      <c r="BS14">
        <f t="shared" si="72"/>
        <v>0.76145286658819</v>
      </c>
      <c r="BT14">
        <f t="shared" si="73"/>
        <v>0.75729756562939432</v>
      </c>
      <c r="BU14">
        <f t="shared" si="74"/>
        <v>0.753028880394495</v>
      </c>
      <c r="BV14">
        <f t="shared" si="75"/>
        <v>0.74865261008830675</v>
      </c>
      <c r="BW14">
        <f t="shared" si="76"/>
        <v>0.74417433589895143</v>
      </c>
      <c r="BX14">
        <f t="shared" si="77"/>
        <v>0.73959991358220434</v>
      </c>
      <c r="BY14">
        <f t="shared" si="78"/>
        <v>0.73493554092581526</v>
      </c>
      <c r="BZ14">
        <f t="shared" si="79"/>
        <v>0.73018712060175739</v>
      </c>
      <c r="CA14">
        <f t="shared" si="80"/>
        <v>0.72536028205758041</v>
      </c>
      <c r="CB14">
        <f t="shared" si="81"/>
        <v>0.72046040097350528</v>
      </c>
      <c r="CC14">
        <f t="shared" si="82"/>
        <v>0.71549261657122276</v>
      </c>
      <c r="CD14">
        <f t="shared" si="83"/>
        <v>0.71046184702754833</v>
      </c>
      <c r="CE14">
        <f t="shared" si="84"/>
        <v>0.70537280321732532</v>
      </c>
      <c r="CF14">
        <f t="shared" si="85"/>
        <v>0.70023000098464427</v>
      </c>
      <c r="CG14">
        <f t="shared" si="86"/>
        <v>0.69503777211907103</v>
      </c>
      <c r="CH14">
        <f t="shared" si="87"/>
        <v>0.68980027419372847</v>
      </c>
      <c r="CI14">
        <f t="shared" si="88"/>
        <v>0.68452149940442908</v>
      </c>
      <c r="CJ14">
        <f t="shared" si="89"/>
        <v>0.679207411353971</v>
      </c>
      <c r="CK14">
        <f t="shared" si="90"/>
        <v>0.67386354960287476</v>
      </c>
      <c r="CL14">
        <f t="shared" si="91"/>
        <v>0.66849506323510854</v>
      </c>
      <c r="CM14">
        <f t="shared" si="92"/>
        <v>0.66310671541901511</v>
      </c>
      <c r="CN14">
        <f t="shared" si="93"/>
        <v>0.65770291530661884</v>
      </c>
      <c r="CO14">
        <f t="shared" si="94"/>
        <v>0.65228774683791868</v>
      </c>
      <c r="CP14">
        <f t="shared" si="95"/>
        <v>0.64686499479614978</v>
      </c>
      <c r="CQ14">
        <f t="shared" si="96"/>
        <v>0.64143816841636492</v>
      </c>
      <c r="CR14">
        <f t="shared" si="97"/>
        <v>0.63601052281216708</v>
      </c>
      <c r="CS14">
        <f t="shared" si="98"/>
        <v>0.63058507845307454</v>
      </c>
      <c r="CT14">
        <f t="shared" si="99"/>
        <v>0.6251646388970401</v>
      </c>
      <c r="CU14">
        <f t="shared" si="100"/>
        <v>0.61975180695842158</v>
      </c>
      <c r="CV14">
        <f t="shared" si="101"/>
        <v>0.61434899947066501</v>
      </c>
      <c r="CW14">
        <f t="shared" si="102"/>
        <v>0.60895846078465499</v>
      </c>
      <c r="CX14">
        <f t="shared" si="103"/>
        <v>0.60358227512771667</v>
      </c>
      <c r="CY14">
        <f t="shared" si="104"/>
        <v>0.59822237793429855</v>
      </c>
      <c r="CZ14">
        <f t="shared" si="105"/>
        <v>0.59288056624713881</v>
      </c>
      <c r="DA14">
        <f t="shared" si="106"/>
        <v>0.58755850827699185</v>
      </c>
      <c r="DB14">
        <f t="shared" si="107"/>
        <v>0.58225775219955889</v>
      </c>
      <c r="DC14">
        <f t="shared" si="108"/>
        <v>0.57697973425995652</v>
      </c>
      <c r="DD14">
        <f t="shared" si="109"/>
        <v>0.57172578624772608</v>
      </c>
      <c r="DE14">
        <f t="shared" si="110"/>
        <v>0.56649714239890314</v>
      </c>
      <c r="DF14">
        <f t="shared" si="111"/>
        <v>0.5612949457759262</v>
      </c>
      <c r="DG14">
        <f t="shared" si="112"/>
        <v>0.55612025417107136</v>
      </c>
      <c r="DH14">
        <f t="shared" si="113"/>
        <v>0.55097404557457674</v>
      </c>
      <c r="DI14">
        <f t="shared" si="114"/>
        <v>0.5458572232445934</v>
      </c>
      <c r="DJ14">
        <f t="shared" si="115"/>
        <v>0.54077062041251212</v>
      </c>
      <c r="DK14">
        <f t="shared" si="116"/>
        <v>0.53571500465401345</v>
      </c>
      <c r="DL14">
        <f t="shared" si="117"/>
        <v>0.53069108195332626</v>
      </c>
      <c r="DM14">
        <f t="shared" si="118"/>
        <v>0.52569950048561731</v>
      </c>
      <c r="DN14">
        <f t="shared" si="119"/>
        <v>0.52074085414013938</v>
      </c>
      <c r="DO14">
        <f t="shared" si="120"/>
        <v>0.51581568580470305</v>
      </c>
      <c r="DP14">
        <f t="shared" si="121"/>
        <v>0.51092449043018673</v>
      </c>
      <c r="DQ14">
        <f t="shared" si="122"/>
        <v>0.50606771789213212</v>
      </c>
      <c r="DR14">
        <f t="shared" si="123"/>
        <v>0.50124577566497119</v>
      </c>
      <c r="DS14">
        <f t="shared" si="124"/>
        <v>0.49645903132307712</v>
      </c>
      <c r="DT14">
        <f t="shared" si="125"/>
        <v>0.49170781488160775</v>
      </c>
      <c r="DU14">
        <f t="shared" si="126"/>
        <v>0.48699242098900603</v>
      </c>
      <c r="DV14">
        <f t="shared" si="127"/>
        <v>0.48231311098202023</v>
      </c>
      <c r="DW14">
        <f t="shared" si="128"/>
        <v>0.47767011481320087</v>
      </c>
      <c r="DX14">
        <f t="shared" si="129"/>
        <v>0.47306363286000819</v>
      </c>
      <c r="DY14">
        <f t="shared" si="130"/>
        <v>0.46849383762391894</v>
      </c>
      <c r="DZ14">
        <f t="shared" si="131"/>
        <v>0.46396087532724106</v>
      </c>
      <c r="EA14">
        <f t="shared" si="132"/>
        <v>0.45946486741472903</v>
      </c>
      <c r="EB14">
        <f t="shared" si="133"/>
        <v>0.45500591196652945</v>
      </c>
      <c r="EC14">
        <f t="shared" si="134"/>
        <v>0.45058408502847513</v>
      </c>
      <c r="ED14">
        <f t="shared" si="135"/>
        <v>0.44619944186527699</v>
      </c>
      <c r="EE14">
        <f t="shared" si="136"/>
        <v>0.44185201814173841</v>
      </c>
      <c r="EF14">
        <f t="shared" si="137"/>
        <v>0.43754183103672434</v>
      </c>
      <c r="EG14">
        <f t="shared" si="138"/>
        <v>0.43326888029426197</v>
      </c>
      <c r="EH14">
        <f t="shared" si="139"/>
        <v>0.42903314921582286</v>
      </c>
      <c r="EI14">
        <f t="shared" si="140"/>
        <v>0.42483460559753627</v>
      </c>
      <c r="EJ14">
        <f t="shared" si="141"/>
        <v>0.42067320261580987</v>
      </c>
      <c r="EK14">
        <f t="shared" si="142"/>
        <v>0.41654887966458148</v>
      </c>
      <c r="EL14">
        <f t="shared" si="143"/>
        <v>0.41246156314719368</v>
      </c>
      <c r="EM14">
        <f t="shared" si="144"/>
        <v>0.40841116722567122</v>
      </c>
      <c r="EN14">
        <f t="shared" si="145"/>
        <v>0.40439759452998458</v>
      </c>
      <c r="EO14">
        <f t="shared" si="146"/>
        <v>0.40042073682970314</v>
      </c>
      <c r="EP14">
        <f t="shared" si="147"/>
        <v>0.39648047567027506</v>
      </c>
      <c r="EQ14">
        <f t="shared" si="148"/>
        <v>0.39257668297601872</v>
      </c>
      <c r="ER14">
        <f t="shared" si="149"/>
        <v>0.38870922162176785</v>
      </c>
      <c r="ES14">
        <f t="shared" si="150"/>
        <v>0.38487794597498326</v>
      </c>
      <c r="ET14">
        <f t="shared" si="151"/>
        <v>0.38108270241002262</v>
      </c>
      <c r="EU14">
        <f t="shared" si="152"/>
        <v>0.37732332979614908</v>
      </c>
      <c r="EV14">
        <f t="shared" si="153"/>
        <v>0.37359965996075556</v>
      </c>
      <c r="EW14">
        <f t="shared" si="154"/>
        <v>0.36991151812918649</v>
      </c>
      <c r="EX14">
        <f t="shared" si="155"/>
        <v>0.36625872334244991</v>
      </c>
      <c r="EY14">
        <f t="shared" si="156"/>
        <v>0.36264108885403129</v>
      </c>
      <c r="EZ14">
        <f t="shared" si="157"/>
        <v>0.3590584225069437</v>
      </c>
      <c r="FA14">
        <f t="shared" si="158"/>
        <v>0.35551052709207814</v>
      </c>
      <c r="FB14">
        <f t="shared" si="159"/>
        <v>0.35199720068885315</v>
      </c>
      <c r="FC14">
        <f t="shared" si="160"/>
        <v>0.34851823698910056</v>
      </c>
      <c r="FD14">
        <f t="shared" si="161"/>
        <v>0.34507342560506771</v>
      </c>
      <c r="FE14">
        <f t="shared" si="162"/>
        <v>0.34166255236236415</v>
      </c>
      <c r="FF14">
        <f t="shared" si="163"/>
        <v>0.33828539957863102</v>
      </c>
      <c r="FG14">
        <f t="shared" si="164"/>
        <v>0.33494174632866536</v>
      </c>
      <c r="FH14">
        <f t="shared" si="165"/>
        <v>0.33163136869668886</v>
      </c>
      <c r="FI14">
        <f t="shared" si="166"/>
        <v>0.32835404001641089</v>
      </c>
      <c r="FJ14">
        <f t="shared" si="167"/>
        <v>0.32510953109949803</v>
      </c>
      <c r="FK14">
        <f t="shared" si="168"/>
        <v>0.32189761045302701</v>
      </c>
      <c r="FL14">
        <f t="shared" si="169"/>
        <v>0.31871804448646646</v>
      </c>
      <c r="FM14">
        <f t="shared" si="170"/>
        <v>0.31557059770870155</v>
      </c>
      <c r="FN14">
        <f t="shared" si="171"/>
        <v>0.31245503291558696</v>
      </c>
      <c r="FO14">
        <f t="shared" si="172"/>
        <v>0.30937111136848755</v>
      </c>
      <c r="FP14">
        <f t="shared" si="173"/>
        <v>0.30631859296424069</v>
      </c>
      <c r="FQ14">
        <f t="shared" si="174"/>
        <v>0.30329723639695028</v>
      </c>
      <c r="FR14">
        <f t="shared" si="175"/>
        <v>0.30030679931200138</v>
      </c>
      <c r="FS14">
        <f t="shared" si="176"/>
        <v>0.29734703845266314</v>
      </c>
      <c r="FT14">
        <f t="shared" si="177"/>
        <v>0.294417709799628</v>
      </c>
      <c r="FU14">
        <f t="shared" si="178"/>
        <v>0.29151856870381776</v>
      </c>
      <c r="FV14">
        <f t="shared" si="179"/>
        <v>0.28864937001276908</v>
      </c>
      <c r="FW14">
        <f t="shared" si="180"/>
        <v>0.28580986819089527</v>
      </c>
      <c r="FX14">
        <f t="shared" si="181"/>
        <v>0.28299981743390629</v>
      </c>
      <c r="FY14">
        <f t="shared" si="182"/>
        <v>0.28021897177765387</v>
      </c>
      <c r="FZ14">
        <f t="shared" si="183"/>
        <v>0.27746708520165564</v>
      </c>
      <c r="GA14">
        <f t="shared" si="184"/>
        <v>0.27474391172753992</v>
      </c>
      <c r="GB14">
        <f t="shared" si="185"/>
        <v>0.2720492055126395</v>
      </c>
      <c r="GC14">
        <f t="shared" si="186"/>
        <v>0.26938272093895316</v>
      </c>
      <c r="GD14">
        <f t="shared" si="187"/>
        <v>0.26674421269768145</v>
      </c>
      <c r="GE14">
        <f t="shared" si="188"/>
        <v>0.26413343586953419</v>
      </c>
      <c r="GF14">
        <f t="shared" si="189"/>
        <v>0.26155014600099746</v>
      </c>
      <c r="GG14">
        <f t="shared" si="190"/>
        <v>0.25899409917673838</v>
      </c>
      <c r="GH14">
        <f t="shared" si="191"/>
        <v>0.25646505208831794</v>
      </c>
      <c r="GI14">
        <f t="shared" si="192"/>
        <v>0.25396276209937407</v>
      </c>
      <c r="GJ14">
        <f t="shared" si="193"/>
        <v>0.25148698730742941</v>
      </c>
      <c r="GK14">
        <f t="shared" si="194"/>
        <v>0.2490374866024708</v>
      </c>
      <c r="GL14">
        <f t="shared" si="195"/>
        <v>0.24661401972244118</v>
      </c>
      <c r="GM14">
        <f t="shared" si="196"/>
        <v>0.24421634730577785</v>
      </c>
      <c r="GN14">
        <f t="shared" si="197"/>
        <v>0.24184423094112459</v>
      </c>
      <c r="GO14">
        <f t="shared" si="198"/>
        <v>0.23949743321434014</v>
      </c>
      <c r="GP14">
        <f t="shared" si="199"/>
        <v>0.23717571775291899</v>
      </c>
      <c r="GQ14">
        <f t="shared" si="200"/>
        <v>0.23487884926793601</v>
      </c>
      <c r="GR14">
        <f t="shared" si="201"/>
        <v>0.23260659359362121</v>
      </c>
      <c r="GS14">
        <f t="shared" si="202"/>
        <v>0.23035871772466582</v>
      </c>
      <c r="GT14">
        <f t="shared" si="203"/>
        <v>0.22813498985135708</v>
      </c>
      <c r="GU14">
        <f t="shared" si="204"/>
        <v>0.22593517939263427</v>
      </c>
      <c r="GV14">
        <f t="shared" si="205"/>
        <v>0.22375905702715471</v>
      </c>
      <c r="GW14">
        <f t="shared" si="206"/>
        <v>0.22160639472245455</v>
      </c>
      <c r="GX14">
        <f t="shared" si="207"/>
        <v>0.21947696576228545</v>
      </c>
      <c r="GY14">
        <f t="shared" si="208"/>
        <v>0.21737054477220488</v>
      </c>
      <c r="GZ14">
        <f t="shared" si="209"/>
        <v>0.21528690774349427</v>
      </c>
      <c r="HA14">
        <f t="shared" si="210"/>
        <v>0.21322583205547602</v>
      </c>
      <c r="HB14">
        <f t="shared" si="211"/>
        <v>0.21118709649629774</v>
      </c>
      <c r="HC14">
        <f t="shared" si="212"/>
        <v>0.20917048128224869</v>
      </c>
      <c r="HD14">
        <f t="shared" si="213"/>
        <v>0.20717576807567084</v>
      </c>
      <c r="HE14">
        <f t="shared" si="214"/>
        <v>0.20520274000152472</v>
      </c>
      <c r="HF14">
        <f t="shared" si="215"/>
        <v>0.2032511816626669</v>
      </c>
      <c r="HG14">
        <f t="shared" si="216"/>
        <v>0.20132087915389452</v>
      </c>
      <c r="HH14">
        <f t="shared" si="217"/>
        <v>0.19941162007480911</v>
      </c>
      <c r="HI14">
        <f t="shared" si="218"/>
        <v>0.19752319354155046</v>
      </c>
      <c r="HJ14">
        <f t="shared" si="219"/>
        <v>0.19565539019744874</v>
      </c>
      <c r="HK14">
        <f t="shared" si="220"/>
        <v>0.19380800222264155</v>
      </c>
      <c r="HL14">
        <f t="shared" si="221"/>
        <v>0.19198082334270006</v>
      </c>
      <c r="HM14">
        <f t="shared" si="222"/>
        <v>0.19017364883630714</v>
      </c>
      <c r="HN14">
        <f t="shared" si="223"/>
        <v>0.18838627554202847</v>
      </c>
      <c r="HO14">
        <f t="shared" si="224"/>
        <v>0.18661850186421586</v>
      </c>
      <c r="HP14">
        <f t="shared" si="225"/>
        <v>0.18487012777808035</v>
      </c>
      <c r="HQ14">
        <f t="shared" si="226"/>
        <v>0.18314095483397155</v>
      </c>
      <c r="HR14">
        <f t="shared" si="227"/>
        <v>0.18143078616089789</v>
      </c>
      <c r="HS14">
        <f t="shared" si="228"/>
        <v>0.17973942646932076</v>
      </c>
      <c r="HT14">
        <f t="shared" si="229"/>
        <v>0.17806668205325521</v>
      </c>
      <c r="HU14">
        <f t="shared" si="230"/>
        <v>0.1764123607917073</v>
      </c>
      <c r="HV14">
        <f t="shared" si="231"/>
        <v>0.174776272149478</v>
      </c>
      <c r="HW14">
        <f t="shared" si="232"/>
        <v>0.1731582271773619</v>
      </c>
      <c r="HX14">
        <f t="shared" si="233"/>
        <v>0.1715580385117679</v>
      </c>
      <c r="HY14">
        <f t="shared" si="234"/>
        <v>0.16997552037378791</v>
      </c>
      <c r="HZ14">
        <f t="shared" si="235"/>
        <v>0.16841048856773896</v>
      </c>
      <c r="IA14">
        <f t="shared" si="236"/>
        <v>0.16686276047920265</v>
      </c>
      <c r="IB14">
        <f t="shared" si="237"/>
        <v>0.16533215507258503</v>
      </c>
      <c r="IC14">
        <f t="shared" si="238"/>
        <v>0.16381849288821945</v>
      </c>
      <c r="ID14">
        <f t="shared" si="239"/>
        <v>0.16232159603903348</v>
      </c>
      <c r="IE14">
        <f t="shared" si="240"/>
        <v>0.16084128820680058</v>
      </c>
      <c r="IF14">
        <f t="shared" si="241"/>
        <v>0.15937739463799636</v>
      </c>
      <c r="IG14">
        <f t="shared" si="242"/>
        <v>0.15792974213927824</v>
      </c>
      <c r="IH14">
        <f t="shared" si="243"/>
        <v>0.15649815907260692</v>
      </c>
      <c r="II14">
        <f t="shared" si="244"/>
        <v>0.15508247535002692</v>
      </c>
      <c r="IJ14">
        <f t="shared" si="245"/>
        <v>0.15368252242812341</v>
      </c>
      <c r="IK14">
        <f t="shared" si="246"/>
        <v>0.15229813330217123</v>
      </c>
      <c r="IL14">
        <f t="shared" si="247"/>
        <v>0.15092914249999176</v>
      </c>
      <c r="IM14">
        <f t="shared" si="248"/>
        <v>0.14957538607553253</v>
      </c>
      <c r="IN14">
        <f t="shared" si="249"/>
        <v>0.14823670160218413</v>
      </c>
      <c r="IO14">
        <f t="shared" si="250"/>
        <v>0.14691292816584808</v>
      </c>
      <c r="IP14">
        <f t="shared" si="251"/>
        <v>0.14560390635776882</v>
      </c>
      <c r="IQ14">
        <f t="shared" si="252"/>
        <v>0.14430947826714294</v>
      </c>
      <c r="IR14">
        <f t="shared" si="253"/>
        <v>0.14302948747351757</v>
      </c>
      <c r="IS14">
        <f t="shared" si="254"/>
        <v>0.14176377903898993</v>
      </c>
      <c r="IT14">
        <f t="shared" si="255"/>
        <v>0.14051219950021926</v>
      </c>
      <c r="IU14">
        <f t="shared" si="256"/>
        <v>0.13927459686026214</v>
      </c>
      <c r="IV14">
        <f t="shared" si="257"/>
        <v>0.13805082058024143</v>
      </c>
    </row>
    <row r="15" spans="1:256" x14ac:dyDescent="0.2">
      <c r="A15" t="s">
        <v>485</v>
      </c>
      <c r="B15">
        <f>$B$117</f>
        <v>0.8951568603515625</v>
      </c>
      <c r="C15">
        <f t="shared" si="4"/>
        <v>0.89571015930175779</v>
      </c>
      <c r="D15">
        <f t="shared" si="5"/>
        <v>0.89701378231048579</v>
      </c>
      <c r="E15">
        <f t="shared" si="6"/>
        <v>0.89830111003160473</v>
      </c>
      <c r="F15">
        <f t="shared" si="7"/>
        <v>0.89957234615620962</v>
      </c>
      <c r="G15">
        <f t="shared" si="8"/>
        <v>0.90082769182925704</v>
      </c>
      <c r="H15">
        <f t="shared" si="9"/>
        <v>0.90206734568139135</v>
      </c>
      <c r="I15">
        <f t="shared" si="10"/>
        <v>0.90329150386037393</v>
      </c>
      <c r="J15">
        <f t="shared" si="11"/>
        <v>0.90450036006211931</v>
      </c>
      <c r="K15">
        <f t="shared" si="12"/>
        <v>0.90569410556134278</v>
      </c>
      <c r="L15">
        <f t="shared" si="13"/>
        <v>0.90687292924182594</v>
      </c>
      <c r="M15">
        <f t="shared" si="14"/>
        <v>0.90803701762630307</v>
      </c>
      <c r="N15">
        <f t="shared" si="15"/>
        <v>0.90918655490597433</v>
      </c>
      <c r="O15">
        <f t="shared" si="16"/>
        <v>0.91032172296964964</v>
      </c>
      <c r="P15">
        <f t="shared" si="17"/>
        <v>0.91144270143252903</v>
      </c>
      <c r="Q15">
        <f t="shared" si="18"/>
        <v>0.91254966766462242</v>
      </c>
      <c r="R15">
        <f t="shared" si="19"/>
        <v>0.91364279681881466</v>
      </c>
      <c r="S15">
        <f t="shared" si="20"/>
        <v>0.91472226185857952</v>
      </c>
      <c r="T15">
        <f t="shared" si="21"/>
        <v>0.91578823358534733</v>
      </c>
      <c r="U15">
        <f t="shared" si="22"/>
        <v>0.91684088066553049</v>
      </c>
      <c r="V15">
        <f t="shared" si="23"/>
        <v>0.91788036965721131</v>
      </c>
      <c r="W15">
        <f t="shared" si="24"/>
        <v>0.91890686503649621</v>
      </c>
      <c r="X15">
        <f t="shared" si="25"/>
        <v>0.91992052922354006</v>
      </c>
      <c r="Y15">
        <f t="shared" si="26"/>
        <v>0.92092152260824578</v>
      </c>
      <c r="Z15">
        <f t="shared" si="27"/>
        <v>0.92191000357564268</v>
      </c>
      <c r="AA15">
        <f t="shared" si="28"/>
        <v>0.92288612853094709</v>
      </c>
      <c r="AB15">
        <f t="shared" si="29"/>
        <v>0.92385005192431024</v>
      </c>
      <c r="AC15">
        <f t="shared" si="30"/>
        <v>0.92480192627525637</v>
      </c>
      <c r="AD15">
        <f t="shared" si="31"/>
        <v>0.92574190219681562</v>
      </c>
      <c r="AE15">
        <f t="shared" si="32"/>
        <v>0.92667012841935548</v>
      </c>
      <c r="AF15">
        <f t="shared" si="33"/>
        <v>0.92758675181411354</v>
      </c>
      <c r="AG15">
        <f t="shared" si="34"/>
        <v>0.92849191741643711</v>
      </c>
      <c r="AH15">
        <f t="shared" si="35"/>
        <v>0.92938576844873166</v>
      </c>
      <c r="AI15">
        <f t="shared" si="36"/>
        <v>0.92734979732897305</v>
      </c>
      <c r="AJ15">
        <f t="shared" si="37"/>
        <v>0.92529227905179257</v>
      </c>
      <c r="AK15">
        <f t="shared" si="38"/>
        <v>0.9232140704166133</v>
      </c>
      <c r="AL15">
        <f t="shared" si="39"/>
        <v>0.92111601016961597</v>
      </c>
      <c r="AM15">
        <f t="shared" si="40"/>
        <v>0.91899891932119526</v>
      </c>
      <c r="AN15">
        <f t="shared" si="41"/>
        <v>0.91686360145830037</v>
      </c>
      <c r="AO15">
        <f t="shared" si="42"/>
        <v>0.91471084305173822</v>
      </c>
      <c r="AP15">
        <f t="shared" si="43"/>
        <v>0.91254141375851661</v>
      </c>
      <c r="AQ15">
        <f t="shared" si="44"/>
        <v>0.91363464608653511</v>
      </c>
      <c r="AR15">
        <f t="shared" si="45"/>
        <v>0.91471421301045341</v>
      </c>
      <c r="AS15">
        <f t="shared" si="46"/>
        <v>0.91578028534782274</v>
      </c>
      <c r="AT15">
        <f t="shared" si="47"/>
        <v>0.91683303178097497</v>
      </c>
      <c r="AU15">
        <f t="shared" si="48"/>
        <v>0.91787261888371274</v>
      </c>
      <c r="AV15">
        <f t="shared" si="49"/>
        <v>0.91889921114766637</v>
      </c>
      <c r="AW15">
        <f t="shared" si="50"/>
        <v>0.91991297100832059</v>
      </c>
      <c r="AX15">
        <f t="shared" si="51"/>
        <v>0.92091405887071653</v>
      </c>
      <c r="AY15">
        <f t="shared" si="52"/>
        <v>0.92106380996266202</v>
      </c>
      <c r="AZ15">
        <f t="shared" si="53"/>
        <v>0.9212570343968105</v>
      </c>
      <c r="BA15">
        <f t="shared" si="54"/>
        <v>0.9214926219409989</v>
      </c>
      <c r="BB15">
        <f t="shared" si="55"/>
        <v>0.92176948332615838</v>
      </c>
      <c r="BC15">
        <f t="shared" si="56"/>
        <v>0.92208654989571082</v>
      </c>
      <c r="BD15">
        <f t="shared" si="57"/>
        <v>0.92244277326045498</v>
      </c>
      <c r="BE15">
        <f t="shared" si="58"/>
        <v>0.92283712495885961</v>
      </c>
      <c r="BF15">
        <f t="shared" si="59"/>
        <v>0.92326859612268253</v>
      </c>
      <c r="BG15">
        <f t="shared" si="60"/>
        <v>0.92373619714783528</v>
      </c>
      <c r="BH15">
        <f t="shared" si="61"/>
        <v>0.92423895737041528</v>
      </c>
      <c r="BI15">
        <f t="shared" si="62"/>
        <v>0.92477592474782666</v>
      </c>
      <c r="BJ15">
        <f t="shared" si="63"/>
        <v>0.925346165544914</v>
      </c>
      <c r="BK15">
        <f t="shared" si="64"/>
        <v>0.92594876402503257</v>
      </c>
      <c r="BL15">
        <f t="shared" si="65"/>
        <v>0.92658282214598198</v>
      </c>
      <c r="BM15">
        <f t="shared" si="66"/>
        <v>0.92724745926072905</v>
      </c>
      <c r="BN15">
        <f t="shared" si="67"/>
        <v>0.92794181182284741</v>
      </c>
      <c r="BO15">
        <f t="shared" si="68"/>
        <v>0.92866503309660353</v>
      </c>
      <c r="BP15">
        <f t="shared" si="69"/>
        <v>0.92941629287161875</v>
      </c>
      <c r="BQ15">
        <f t="shared" si="70"/>
        <v>0.93019477718203747</v>
      </c>
      <c r="BR15">
        <f t="shared" si="71"/>
        <v>0.93099968803013478</v>
      </c>
      <c r="BS15">
        <f t="shared" si="72"/>
        <v>0.9318302431142953</v>
      </c>
      <c r="BT15">
        <f t="shared" si="73"/>
        <v>0.93268236507536662</v>
      </c>
      <c r="BU15">
        <f t="shared" si="74"/>
        <v>0.93352383551192453</v>
      </c>
      <c r="BV15">
        <f t="shared" si="75"/>
        <v>0.93435478756802548</v>
      </c>
      <c r="BW15">
        <f t="shared" si="76"/>
        <v>0.93517535272342511</v>
      </c>
      <c r="BX15">
        <f t="shared" si="77"/>
        <v>0.93598566081438228</v>
      </c>
      <c r="BY15">
        <f t="shared" si="78"/>
        <v>0.93678584005420251</v>
      </c>
      <c r="BZ15">
        <f t="shared" si="79"/>
        <v>0.937576017053525</v>
      </c>
      <c r="CA15">
        <f t="shared" si="80"/>
        <v>0.93835631684035592</v>
      </c>
      <c r="CB15">
        <f t="shared" si="81"/>
        <v>0.93912686287985148</v>
      </c>
      <c r="CC15">
        <f t="shared" si="82"/>
        <v>0.93988777709385329</v>
      </c>
      <c r="CD15">
        <f t="shared" si="83"/>
        <v>0.94063917988018009</v>
      </c>
      <c r="CE15">
        <f t="shared" si="84"/>
        <v>0.94138119013167787</v>
      </c>
      <c r="CF15">
        <f t="shared" si="85"/>
        <v>0.9421139252550319</v>
      </c>
      <c r="CG15">
        <f t="shared" si="86"/>
        <v>0.94283750118934395</v>
      </c>
      <c r="CH15">
        <f t="shared" si="87"/>
        <v>0.94355203242447716</v>
      </c>
      <c r="CI15">
        <f t="shared" si="88"/>
        <v>0.94425763201917123</v>
      </c>
      <c r="CJ15">
        <f t="shared" si="89"/>
        <v>0.94495441161893157</v>
      </c>
      <c r="CK15">
        <f t="shared" si="90"/>
        <v>0.9456424814736949</v>
      </c>
      <c r="CL15">
        <f t="shared" si="91"/>
        <v>0.94632195045527367</v>
      </c>
      <c r="CM15">
        <f t="shared" si="92"/>
        <v>0.94699292607458274</v>
      </c>
      <c r="CN15">
        <f t="shared" si="93"/>
        <v>0.94765551449865049</v>
      </c>
      <c r="CO15">
        <f t="shared" si="94"/>
        <v>0.94830982056741731</v>
      </c>
      <c r="CP15">
        <f t="shared" si="95"/>
        <v>0.94895594781032455</v>
      </c>
      <c r="CQ15">
        <f t="shared" si="96"/>
        <v>0.94959399846269554</v>
      </c>
      <c r="CR15">
        <f t="shared" si="97"/>
        <v>0.95022407348191185</v>
      </c>
      <c r="CS15">
        <f t="shared" si="98"/>
        <v>0.95084627256338794</v>
      </c>
      <c r="CT15">
        <f t="shared" si="99"/>
        <v>0.9514606941563456</v>
      </c>
      <c r="CU15">
        <f t="shared" si="100"/>
        <v>0.95206743547939132</v>
      </c>
      <c r="CV15">
        <f t="shared" si="101"/>
        <v>0.95266659253589892</v>
      </c>
      <c r="CW15">
        <f t="shared" si="102"/>
        <v>0.95325826012920023</v>
      </c>
      <c r="CX15">
        <f t="shared" si="103"/>
        <v>0.95384253187758528</v>
      </c>
      <c r="CY15">
        <f t="shared" si="104"/>
        <v>0.95441950022911548</v>
      </c>
      <c r="CZ15">
        <f t="shared" si="105"/>
        <v>0.95498925647625155</v>
      </c>
      <c r="DA15">
        <f t="shared" si="106"/>
        <v>0.95555189077029845</v>
      </c>
      <c r="DB15">
        <f t="shared" si="107"/>
        <v>0.9561074921356697</v>
      </c>
      <c r="DC15">
        <f t="shared" si="108"/>
        <v>0.95665614848397384</v>
      </c>
      <c r="DD15">
        <f t="shared" si="109"/>
        <v>0.95719794662792412</v>
      </c>
      <c r="DE15">
        <f t="shared" si="110"/>
        <v>0.95773297229507504</v>
      </c>
      <c r="DF15">
        <f t="shared" si="111"/>
        <v>0.9582613101413866</v>
      </c>
      <c r="DG15">
        <f t="shared" si="112"/>
        <v>0.95878304376461931</v>
      </c>
      <c r="DH15">
        <f t="shared" si="113"/>
        <v>0.95929825571756155</v>
      </c>
      <c r="DI15">
        <f t="shared" si="114"/>
        <v>0.95980702752109204</v>
      </c>
      <c r="DJ15">
        <f t="shared" si="115"/>
        <v>0.96030943967707838</v>
      </c>
      <c r="DK15">
        <f t="shared" si="116"/>
        <v>0.96080557168111491</v>
      </c>
      <c r="DL15">
        <f t="shared" si="117"/>
        <v>0.96129550203510095</v>
      </c>
      <c r="DM15">
        <f t="shared" si="118"/>
        <v>0.96177930825966218</v>
      </c>
      <c r="DN15">
        <f t="shared" si="119"/>
        <v>0.96225706690641644</v>
      </c>
      <c r="DO15">
        <f t="shared" si="120"/>
        <v>0.9627288535700862</v>
      </c>
      <c r="DP15">
        <f t="shared" si="121"/>
        <v>0.96319474290046014</v>
      </c>
      <c r="DQ15">
        <f t="shared" si="122"/>
        <v>0.96365480861420438</v>
      </c>
      <c r="DR15">
        <f t="shared" si="123"/>
        <v>0.96410912350652678</v>
      </c>
      <c r="DS15">
        <f t="shared" si="124"/>
        <v>0.96455775946269517</v>
      </c>
      <c r="DT15">
        <f t="shared" si="125"/>
        <v>0.96500078746941154</v>
      </c>
      <c r="DU15">
        <f t="shared" si="126"/>
        <v>0.96543827762604384</v>
      </c>
      <c r="DV15">
        <f t="shared" si="127"/>
        <v>0.96587029915571831</v>
      </c>
      <c r="DW15">
        <f t="shared" si="128"/>
        <v>0.9662969204162718</v>
      </c>
      <c r="DX15">
        <f t="shared" si="129"/>
        <v>0.96671820891106841</v>
      </c>
      <c r="DY15">
        <f t="shared" si="130"/>
        <v>0.96713423129968001</v>
      </c>
      <c r="DZ15">
        <f t="shared" si="131"/>
        <v>0.967545053408434</v>
      </c>
      <c r="EA15">
        <f t="shared" si="132"/>
        <v>0.96795074024082861</v>
      </c>
      <c r="EB15">
        <f t="shared" si="133"/>
        <v>0.9683513559878183</v>
      </c>
      <c r="EC15">
        <f t="shared" si="134"/>
        <v>0.96874696403797056</v>
      </c>
      <c r="ED15">
        <f t="shared" si="135"/>
        <v>0.96913762698749595</v>
      </c>
      <c r="EE15">
        <f t="shared" si="136"/>
        <v>0.96952340665015224</v>
      </c>
      <c r="EF15">
        <f t="shared" si="137"/>
        <v>0.96990436406702529</v>
      </c>
      <c r="EG15">
        <f t="shared" si="138"/>
        <v>0.97028055951618752</v>
      </c>
      <c r="EH15">
        <f t="shared" si="139"/>
        <v>0.97065205252223519</v>
      </c>
      <c r="EI15">
        <f t="shared" si="140"/>
        <v>0.97101890186570727</v>
      </c>
      <c r="EJ15">
        <f t="shared" si="141"/>
        <v>0.97138116559238596</v>
      </c>
      <c r="EK15">
        <f t="shared" si="142"/>
        <v>0.97173890102248117</v>
      </c>
      <c r="EL15">
        <f t="shared" si="143"/>
        <v>0.97209216475970017</v>
      </c>
      <c r="EM15">
        <f t="shared" si="144"/>
        <v>0.97244101270020389</v>
      </c>
      <c r="EN15">
        <f t="shared" si="145"/>
        <v>0.97278550004145137</v>
      </c>
      <c r="EO15">
        <f t="shared" si="146"/>
        <v>0.97312568129093324</v>
      </c>
      <c r="EP15">
        <f t="shared" si="147"/>
        <v>0.97346161027479661</v>
      </c>
      <c r="EQ15">
        <f t="shared" si="148"/>
        <v>0.97379334014636165</v>
      </c>
      <c r="ER15">
        <f t="shared" si="149"/>
        <v>0.97412092339453216</v>
      </c>
      <c r="ES15">
        <f t="shared" si="150"/>
        <v>0.97444441185210051</v>
      </c>
      <c r="ET15">
        <f t="shared" si="151"/>
        <v>0.97476385670394927</v>
      </c>
      <c r="EU15">
        <f t="shared" si="152"/>
        <v>0.9750793084951499</v>
      </c>
      <c r="EV15">
        <f t="shared" si="153"/>
        <v>0.97539081713896048</v>
      </c>
      <c r="EW15">
        <f t="shared" si="154"/>
        <v>0.9756984319247235</v>
      </c>
      <c r="EX15">
        <f t="shared" si="155"/>
        <v>0.97600220152566441</v>
      </c>
      <c r="EY15">
        <f t="shared" si="156"/>
        <v>0.97630217400659358</v>
      </c>
      <c r="EZ15">
        <f t="shared" si="157"/>
        <v>0.97659839683151117</v>
      </c>
      <c r="FA15">
        <f t="shared" si="158"/>
        <v>0.97689091687111729</v>
      </c>
      <c r="FB15">
        <f t="shared" si="159"/>
        <v>0.97717978041022835</v>
      </c>
      <c r="FC15">
        <f t="shared" si="160"/>
        <v>0.97746503315510047</v>
      </c>
      <c r="FD15">
        <f t="shared" si="161"/>
        <v>0.97774672024066167</v>
      </c>
      <c r="FE15">
        <f t="shared" si="162"/>
        <v>0.97802488623765338</v>
      </c>
      <c r="FF15">
        <f t="shared" si="163"/>
        <v>0.97829957515968269</v>
      </c>
      <c r="FG15">
        <f t="shared" si="164"/>
        <v>0.97857083047018667</v>
      </c>
      <c r="FH15">
        <f t="shared" si="165"/>
        <v>0.97883869508930932</v>
      </c>
      <c r="FI15">
        <f t="shared" si="166"/>
        <v>0.97910321140069301</v>
      </c>
      <c r="FJ15">
        <f t="shared" si="167"/>
        <v>0.97936442125818435</v>
      </c>
      <c r="FK15">
        <f t="shared" si="168"/>
        <v>0.979622365992457</v>
      </c>
      <c r="FL15">
        <f t="shared" si="169"/>
        <v>0.97987708641755134</v>
      </c>
      <c r="FM15">
        <f t="shared" si="170"/>
        <v>0.98012862283733193</v>
      </c>
      <c r="FN15">
        <f t="shared" si="171"/>
        <v>0.98037701505186525</v>
      </c>
      <c r="FO15">
        <f t="shared" si="172"/>
        <v>0.98062230236371695</v>
      </c>
      <c r="FP15">
        <f t="shared" si="173"/>
        <v>0.98086452358417053</v>
      </c>
      <c r="FQ15">
        <f t="shared" si="174"/>
        <v>0.98110371703936838</v>
      </c>
      <c r="FR15">
        <f t="shared" si="175"/>
        <v>0.98133992057637631</v>
      </c>
      <c r="FS15">
        <f t="shared" si="176"/>
        <v>0.98157317156917157</v>
      </c>
      <c r="FT15">
        <f t="shared" si="177"/>
        <v>0.98180350692455687</v>
      </c>
      <c r="FU15">
        <f t="shared" si="178"/>
        <v>0.98203096308799986</v>
      </c>
      <c r="FV15">
        <f t="shared" si="179"/>
        <v>0.98225557604939984</v>
      </c>
      <c r="FW15">
        <f t="shared" si="180"/>
        <v>0.98247738134878237</v>
      </c>
      <c r="FX15">
        <f t="shared" si="181"/>
        <v>0.98269641408192254</v>
      </c>
      <c r="FY15">
        <f t="shared" si="182"/>
        <v>0.98291270890589855</v>
      </c>
      <c r="FZ15">
        <f t="shared" si="183"/>
        <v>0.9831263000445748</v>
      </c>
      <c r="GA15">
        <f t="shared" si="184"/>
        <v>0.98333722129401757</v>
      </c>
      <c r="GB15">
        <f t="shared" si="185"/>
        <v>0.9835455060278423</v>
      </c>
      <c r="GC15">
        <f t="shared" si="186"/>
        <v>0.98375118720249422</v>
      </c>
      <c r="GD15">
        <f t="shared" si="187"/>
        <v>0.98395429736246309</v>
      </c>
      <c r="GE15">
        <f t="shared" si="188"/>
        <v>0.98415486864543233</v>
      </c>
      <c r="GF15">
        <f t="shared" si="189"/>
        <v>0.98435293278736447</v>
      </c>
      <c r="GG15">
        <f t="shared" si="190"/>
        <v>0.98454852112752245</v>
      </c>
      <c r="GH15">
        <f t="shared" si="191"/>
        <v>0.98474166461342838</v>
      </c>
      <c r="GI15">
        <f t="shared" si="192"/>
        <v>0.98493239380576048</v>
      </c>
      <c r="GJ15">
        <f t="shared" si="193"/>
        <v>0.98512073888318852</v>
      </c>
      <c r="GK15">
        <f t="shared" si="194"/>
        <v>0.98530672964714872</v>
      </c>
      <c r="GL15">
        <f t="shared" si="195"/>
        <v>0.98549039552655937</v>
      </c>
      <c r="GM15">
        <f t="shared" si="196"/>
        <v>0.98567176558247738</v>
      </c>
      <c r="GN15">
        <f t="shared" si="197"/>
        <v>0.98585086851269643</v>
      </c>
      <c r="GO15">
        <f t="shared" si="198"/>
        <v>0.98602773265628774</v>
      </c>
      <c r="GP15">
        <f t="shared" si="199"/>
        <v>0.98620238599808419</v>
      </c>
      <c r="GQ15">
        <f t="shared" si="200"/>
        <v>0.98637485617310816</v>
      </c>
      <c r="GR15">
        <f t="shared" si="201"/>
        <v>0.98654517047094425</v>
      </c>
      <c r="GS15">
        <f t="shared" si="202"/>
        <v>0.98671335584005748</v>
      </c>
      <c r="GT15">
        <f t="shared" si="203"/>
        <v>0.98687943889205676</v>
      </c>
      <c r="GU15">
        <f t="shared" si="204"/>
        <v>0.98704344590590609</v>
      </c>
      <c r="GV15">
        <f t="shared" si="205"/>
        <v>0.98720540283208225</v>
      </c>
      <c r="GW15">
        <f t="shared" si="206"/>
        <v>0.98736533529668125</v>
      </c>
      <c r="GX15">
        <f t="shared" si="207"/>
        <v>0.98752326860547268</v>
      </c>
      <c r="GY15">
        <f t="shared" si="208"/>
        <v>0.98767922774790429</v>
      </c>
      <c r="GZ15">
        <f t="shared" si="209"/>
        <v>0.98783323740105544</v>
      </c>
      <c r="HA15">
        <f t="shared" si="210"/>
        <v>0.98798532193354227</v>
      </c>
      <c r="HB15">
        <f t="shared" si="211"/>
        <v>0.98813550540937301</v>
      </c>
      <c r="HC15">
        <f t="shared" si="212"/>
        <v>0.98828381159175582</v>
      </c>
      <c r="HD15">
        <f t="shared" si="213"/>
        <v>0.98843026394685884</v>
      </c>
      <c r="HE15">
        <f t="shared" si="214"/>
        <v>0.98857488564752316</v>
      </c>
      <c r="HF15">
        <f t="shared" si="215"/>
        <v>0.98871769957692912</v>
      </c>
      <c r="HG15">
        <f t="shared" si="216"/>
        <v>0.98885872833221755</v>
      </c>
      <c r="HH15">
        <f t="shared" si="217"/>
        <v>0.98899799422806478</v>
      </c>
      <c r="HI15">
        <f t="shared" si="218"/>
        <v>0.98913551930021393</v>
      </c>
      <c r="HJ15">
        <f t="shared" si="219"/>
        <v>0.98927132530896122</v>
      </c>
      <c r="HK15">
        <f t="shared" si="220"/>
        <v>0.98940543374259926</v>
      </c>
      <c r="HL15">
        <f t="shared" si="221"/>
        <v>0.98953786582081682</v>
      </c>
      <c r="HM15">
        <f t="shared" si="222"/>
        <v>0.98966864249805664</v>
      </c>
      <c r="HN15">
        <f t="shared" si="223"/>
        <v>0.98979778446683098</v>
      </c>
      <c r="HO15">
        <f t="shared" si="224"/>
        <v>0.98992531216099555</v>
      </c>
      <c r="HP15">
        <f t="shared" si="225"/>
        <v>0.99005124575898307</v>
      </c>
      <c r="HQ15">
        <f t="shared" si="226"/>
        <v>0.99017560518699577</v>
      </c>
      <c r="HR15">
        <f t="shared" si="227"/>
        <v>0.99029841012215836</v>
      </c>
      <c r="HS15">
        <f t="shared" si="228"/>
        <v>0.99041967999563141</v>
      </c>
      <c r="HT15">
        <f t="shared" si="229"/>
        <v>0.990539433995686</v>
      </c>
      <c r="HU15">
        <f t="shared" si="230"/>
        <v>0.99065769107073998</v>
      </c>
      <c r="HV15">
        <f t="shared" si="231"/>
        <v>0.99077446993235574</v>
      </c>
      <c r="HW15">
        <f t="shared" si="232"/>
        <v>0.99088978905820124</v>
      </c>
      <c r="HX15">
        <f t="shared" si="233"/>
        <v>0.99100366669497375</v>
      </c>
      <c r="HY15">
        <f t="shared" si="234"/>
        <v>0.99111612086128653</v>
      </c>
      <c r="HZ15">
        <f t="shared" si="235"/>
        <v>0.99122716935052047</v>
      </c>
      <c r="IA15">
        <f t="shared" si="236"/>
        <v>0.99133682973363901</v>
      </c>
      <c r="IB15">
        <f t="shared" si="237"/>
        <v>0.99144511936196855</v>
      </c>
      <c r="IC15">
        <f t="shared" si="238"/>
        <v>0.99155205536994395</v>
      </c>
      <c r="ID15">
        <f t="shared" si="239"/>
        <v>0.99165765467781963</v>
      </c>
      <c r="IE15">
        <f t="shared" si="240"/>
        <v>0.99176193399434687</v>
      </c>
      <c r="IF15">
        <f t="shared" si="241"/>
        <v>0.99186490981941755</v>
      </c>
      <c r="IG15">
        <f t="shared" si="242"/>
        <v>0.99196659844667479</v>
      </c>
      <c r="IH15">
        <f t="shared" si="243"/>
        <v>0.99206701596609137</v>
      </c>
      <c r="II15">
        <f t="shared" si="244"/>
        <v>0.99216617826651521</v>
      </c>
      <c r="IJ15">
        <f t="shared" si="245"/>
        <v>0.99226410103818374</v>
      </c>
      <c r="IK15">
        <f t="shared" si="246"/>
        <v>0.99236079977520641</v>
      </c>
      <c r="IL15">
        <f t="shared" si="247"/>
        <v>0.99245628977801637</v>
      </c>
      <c r="IM15">
        <f t="shared" si="248"/>
        <v>0.99255058615579117</v>
      </c>
      <c r="IN15">
        <f t="shared" si="249"/>
        <v>0.99264370382884382</v>
      </c>
      <c r="IO15">
        <f t="shared" si="250"/>
        <v>0.99273565753098325</v>
      </c>
      <c r="IP15">
        <f t="shared" si="251"/>
        <v>0.99282646181184597</v>
      </c>
      <c r="IQ15">
        <f t="shared" si="252"/>
        <v>0.99291613103919785</v>
      </c>
      <c r="IR15">
        <f t="shared" si="253"/>
        <v>0.99300467940120785</v>
      </c>
      <c r="IS15">
        <f t="shared" si="254"/>
        <v>0.9930921209086927</v>
      </c>
      <c r="IT15">
        <f t="shared" si="255"/>
        <v>0.99317846939733401</v>
      </c>
      <c r="IU15">
        <f t="shared" si="256"/>
        <v>0.99326373852986738</v>
      </c>
      <c r="IV15">
        <f t="shared" si="257"/>
        <v>0.99334794179824404</v>
      </c>
    </row>
    <row r="16" spans="1:256" x14ac:dyDescent="0.2">
      <c r="A16" t="s">
        <v>486</v>
      </c>
      <c r="B16">
        <f>$B$118</f>
        <v>0.36505893707275389</v>
      </c>
      <c r="C16">
        <f t="shared" si="4"/>
        <v>0.36879488738800204</v>
      </c>
      <c r="D16">
        <f t="shared" si="5"/>
        <v>0.37248413832430954</v>
      </c>
      <c r="E16">
        <f t="shared" si="6"/>
        <v>0.37612727362391324</v>
      </c>
      <c r="F16">
        <f t="shared" si="7"/>
        <v>0.37972486973227187</v>
      </c>
      <c r="G16">
        <f t="shared" si="8"/>
        <v>0.38327749588927601</v>
      </c>
      <c r="H16">
        <f t="shared" si="9"/>
        <v>0.38678571421931762</v>
      </c>
      <c r="I16">
        <f t="shared" si="10"/>
        <v>0.39025007982023369</v>
      </c>
      <c r="J16">
        <f t="shared" si="11"/>
        <v>0.3936711408511383</v>
      </c>
      <c r="K16">
        <f t="shared" si="12"/>
        <v>0.4012502515904991</v>
      </c>
      <c r="L16">
        <f t="shared" si="13"/>
        <v>0.40873462344561784</v>
      </c>
      <c r="M16">
        <f t="shared" si="14"/>
        <v>0.41612544065254764</v>
      </c>
      <c r="N16">
        <f t="shared" si="15"/>
        <v>0.4234238726443908</v>
      </c>
      <c r="O16">
        <f t="shared" si="16"/>
        <v>0.4306310742363359</v>
      </c>
      <c r="P16">
        <f t="shared" si="17"/>
        <v>0.43774818580838171</v>
      </c>
      <c r="Q16">
        <f t="shared" si="18"/>
        <v>0.44477633348577694</v>
      </c>
      <c r="R16">
        <f t="shared" si="19"/>
        <v>0.45171662931720474</v>
      </c>
      <c r="S16">
        <f t="shared" si="20"/>
        <v>0.45857017145073969</v>
      </c>
      <c r="T16">
        <f t="shared" si="21"/>
        <v>0.46533804430760545</v>
      </c>
      <c r="U16">
        <f t="shared" si="22"/>
        <v>0.47202131875376035</v>
      </c>
      <c r="V16">
        <f t="shared" si="23"/>
        <v>0.47862105226933838</v>
      </c>
      <c r="W16">
        <f t="shared" si="24"/>
        <v>0.48513828911597162</v>
      </c>
      <c r="X16">
        <f t="shared" si="25"/>
        <v>0.49157406050202196</v>
      </c>
      <c r="Y16">
        <f t="shared" si="26"/>
        <v>0.49792938474574666</v>
      </c>
      <c r="Z16">
        <f t="shared" si="27"/>
        <v>0.5042052674364248</v>
      </c>
      <c r="AA16">
        <f t="shared" si="28"/>
        <v>0.51040270159346945</v>
      </c>
      <c r="AB16">
        <f t="shared" si="29"/>
        <v>0.51652266782355105</v>
      </c>
      <c r="AC16">
        <f t="shared" si="30"/>
        <v>0.52256613447575662</v>
      </c>
      <c r="AD16">
        <f t="shared" si="31"/>
        <v>0.52853405779480966</v>
      </c>
      <c r="AE16">
        <f t="shared" si="32"/>
        <v>0.5344273820723745</v>
      </c>
      <c r="AF16">
        <f t="shared" si="33"/>
        <v>0.54024703979646982</v>
      </c>
      <c r="AG16">
        <f t="shared" si="34"/>
        <v>0.545993951799014</v>
      </c>
      <c r="AH16">
        <f t="shared" si="35"/>
        <v>0.55166902740152635</v>
      </c>
      <c r="AI16">
        <f t="shared" si="36"/>
        <v>0.55013585929930264</v>
      </c>
      <c r="AJ16">
        <f t="shared" si="37"/>
        <v>0.54862185579835676</v>
      </c>
      <c r="AK16">
        <f t="shared" si="38"/>
        <v>0.54712677734117277</v>
      </c>
      <c r="AL16">
        <f t="shared" si="39"/>
        <v>0.5456503873647035</v>
      </c>
      <c r="AM16">
        <f t="shared" si="40"/>
        <v>0.54419245226294011</v>
      </c>
      <c r="AN16">
        <f t="shared" si="41"/>
        <v>0.54275274134994878</v>
      </c>
      <c r="AO16">
        <f t="shared" si="42"/>
        <v>0.54133102682336987</v>
      </c>
      <c r="AP16">
        <f t="shared" si="43"/>
        <v>0.53992708372837317</v>
      </c>
      <c r="AQ16">
        <f t="shared" si="44"/>
        <v>0.54390338466235932</v>
      </c>
      <c r="AR16">
        <f t="shared" si="45"/>
        <v>0.54782998183467069</v>
      </c>
      <c r="AS16">
        <f t="shared" si="46"/>
        <v>0.55170749654232809</v>
      </c>
      <c r="AT16">
        <f t="shared" si="47"/>
        <v>0.5555365423161398</v>
      </c>
      <c r="AU16">
        <f t="shared" si="48"/>
        <v>0.55931772501777888</v>
      </c>
      <c r="AV16">
        <f t="shared" si="49"/>
        <v>0.56305164293564747</v>
      </c>
      <c r="AW16">
        <f t="shared" si="50"/>
        <v>0.56673888687954266</v>
      </c>
      <c r="AX16">
        <f t="shared" si="51"/>
        <v>0.57038004027413924</v>
      </c>
      <c r="AY16">
        <f t="shared" si="52"/>
        <v>0.57575028977071252</v>
      </c>
      <c r="AZ16">
        <f t="shared" si="53"/>
        <v>0.58105341114857856</v>
      </c>
      <c r="BA16">
        <f t="shared" si="54"/>
        <v>0.58629024350922132</v>
      </c>
      <c r="BB16">
        <f t="shared" si="55"/>
        <v>0.59146161546535603</v>
      </c>
      <c r="BC16">
        <f t="shared" si="56"/>
        <v>0.59656834527203906</v>
      </c>
      <c r="BD16">
        <f t="shared" si="57"/>
        <v>0.6016112409561386</v>
      </c>
      <c r="BE16">
        <f t="shared" si="58"/>
        <v>0.60659110044418685</v>
      </c>
      <c r="BF16">
        <f t="shared" si="59"/>
        <v>0.61150871168863452</v>
      </c>
      <c r="BG16">
        <f t="shared" si="60"/>
        <v>0.61636485279252662</v>
      </c>
      <c r="BH16">
        <f t="shared" si="61"/>
        <v>0.62116029213262003</v>
      </c>
      <c r="BI16">
        <f t="shared" si="62"/>
        <v>0.62589578848096228</v>
      </c>
      <c r="BJ16">
        <f t="shared" si="63"/>
        <v>0.63057209112495027</v>
      </c>
      <c r="BK16">
        <f t="shared" si="64"/>
        <v>0.63518993998588835</v>
      </c>
      <c r="BL16">
        <f t="shared" si="65"/>
        <v>0.63975006573606474</v>
      </c>
      <c r="BM16">
        <f t="shared" si="66"/>
        <v>0.64425318991436398</v>
      </c>
      <c r="BN16">
        <f t="shared" si="67"/>
        <v>0.64870002504043445</v>
      </c>
      <c r="BO16">
        <f t="shared" si="68"/>
        <v>0.65309127472742901</v>
      </c>
      <c r="BP16">
        <f t="shared" si="69"/>
        <v>0.65742763379333613</v>
      </c>
      <c r="BQ16">
        <f t="shared" si="70"/>
        <v>0.66170978837091943</v>
      </c>
      <c r="BR16">
        <f t="shared" si="71"/>
        <v>0.6659384160162829</v>
      </c>
      <c r="BS16">
        <f t="shared" si="72"/>
        <v>0.6701141858160794</v>
      </c>
      <c r="BT16">
        <f t="shared" si="73"/>
        <v>0.67423775849337841</v>
      </c>
      <c r="BU16">
        <f t="shared" si="74"/>
        <v>0.67830978651221119</v>
      </c>
      <c r="BV16">
        <f t="shared" si="75"/>
        <v>0.6823309141808086</v>
      </c>
      <c r="BW16">
        <f t="shared" si="76"/>
        <v>0.6863017777535485</v>
      </c>
      <c r="BX16">
        <f t="shared" si="77"/>
        <v>0.69022300553162919</v>
      </c>
      <c r="BY16">
        <f t="shared" si="78"/>
        <v>0.69409521796248386</v>
      </c>
      <c r="BZ16">
        <f t="shared" si="79"/>
        <v>0.69791902773795278</v>
      </c>
      <c r="CA16">
        <f t="shared" si="80"/>
        <v>0.70169503989122839</v>
      </c>
      <c r="CB16">
        <f t="shared" si="81"/>
        <v>0.70542385189258805</v>
      </c>
      <c r="CC16">
        <f t="shared" si="82"/>
        <v>0.70910605374393065</v>
      </c>
      <c r="CD16">
        <f t="shared" si="83"/>
        <v>0.7127422280721315</v>
      </c>
      <c r="CE16">
        <f t="shared" si="84"/>
        <v>0.71633295022122989</v>
      </c>
      <c r="CF16">
        <f t="shared" si="85"/>
        <v>0.71987878834346453</v>
      </c>
      <c r="CG16">
        <f t="shared" si="86"/>
        <v>0.72338030348917126</v>
      </c>
      <c r="CH16">
        <f t="shared" si="87"/>
        <v>0.72683804969555665</v>
      </c>
      <c r="CI16">
        <f t="shared" si="88"/>
        <v>0.73025257407436217</v>
      </c>
      <c r="CJ16">
        <f t="shared" si="89"/>
        <v>0.73362441689843261</v>
      </c>
      <c r="CK16">
        <f t="shared" si="90"/>
        <v>0.73695411168720215</v>
      </c>
      <c r="CL16">
        <f t="shared" si="91"/>
        <v>0.74024218529111208</v>
      </c>
      <c r="CM16">
        <f t="shared" si="92"/>
        <v>0.74348915797497317</v>
      </c>
      <c r="CN16">
        <f t="shared" si="93"/>
        <v>0.746695543500286</v>
      </c>
      <c r="CO16">
        <f t="shared" si="94"/>
        <v>0.74986184920653243</v>
      </c>
      <c r="CP16">
        <f t="shared" si="95"/>
        <v>0.75298857609145076</v>
      </c>
      <c r="CQ16">
        <f t="shared" si="96"/>
        <v>0.75607621889030763</v>
      </c>
      <c r="CR16">
        <f t="shared" si="97"/>
        <v>0.75912526615417875</v>
      </c>
      <c r="CS16">
        <f t="shared" si="98"/>
        <v>0.76213620032725149</v>
      </c>
      <c r="CT16">
        <f t="shared" si="99"/>
        <v>0.76510949782316084</v>
      </c>
      <c r="CU16">
        <f t="shared" si="100"/>
        <v>0.76804562910037133</v>
      </c>
      <c r="CV16">
        <f t="shared" si="101"/>
        <v>0.77094505873661667</v>
      </c>
      <c r="CW16">
        <f t="shared" si="102"/>
        <v>0.77380824550240901</v>
      </c>
      <c r="CX16">
        <f t="shared" si="103"/>
        <v>0.77663564243362893</v>
      </c>
      <c r="CY16">
        <f t="shared" si="104"/>
        <v>0.77942769690320857</v>
      </c>
      <c r="CZ16">
        <f t="shared" si="105"/>
        <v>0.78218485069191845</v>
      </c>
      <c r="DA16">
        <f t="shared" si="106"/>
        <v>0.78490754005826946</v>
      </c>
      <c r="DB16">
        <f t="shared" si="107"/>
        <v>0.78759619580754114</v>
      </c>
      <c r="DC16">
        <f t="shared" si="108"/>
        <v>0.7902512433599469</v>
      </c>
      <c r="DD16">
        <f t="shared" si="109"/>
        <v>0.79287310281794754</v>
      </c>
      <c r="DE16">
        <f t="shared" si="110"/>
        <v>0.79546218903272314</v>
      </c>
      <c r="DF16">
        <f t="shared" si="111"/>
        <v>0.79801891166981409</v>
      </c>
      <c r="DG16">
        <f t="shared" si="112"/>
        <v>0.80054367527394144</v>
      </c>
      <c r="DH16">
        <f t="shared" si="113"/>
        <v>0.80303687933301715</v>
      </c>
      <c r="DI16">
        <f t="shared" si="114"/>
        <v>0.80549891834135445</v>
      </c>
      <c r="DJ16">
        <f t="shared" si="115"/>
        <v>0.80793018186208754</v>
      </c>
      <c r="DK16">
        <f t="shared" si="116"/>
        <v>0.81033105458881149</v>
      </c>
      <c r="DL16">
        <f t="shared" si="117"/>
        <v>0.8127019164064514</v>
      </c>
      <c r="DM16">
        <f t="shared" si="118"/>
        <v>0.81504314245137077</v>
      </c>
      <c r="DN16">
        <f t="shared" si="119"/>
        <v>0.81735510317072868</v>
      </c>
      <c r="DO16">
        <f t="shared" si="120"/>
        <v>0.8196381643810946</v>
      </c>
      <c r="DP16">
        <f t="shared" si="121"/>
        <v>0.82189268732633092</v>
      </c>
      <c r="DQ16">
        <f t="shared" si="122"/>
        <v>0.82411902873475174</v>
      </c>
      <c r="DR16">
        <f t="shared" si="123"/>
        <v>0.8263175408755673</v>
      </c>
      <c r="DS16">
        <f t="shared" si="124"/>
        <v>0.82848857161462275</v>
      </c>
      <c r="DT16">
        <f t="shared" si="125"/>
        <v>0.83063246446943995</v>
      </c>
      <c r="DU16">
        <f t="shared" si="126"/>
        <v>0.83274955866357192</v>
      </c>
      <c r="DV16">
        <f t="shared" si="127"/>
        <v>0.83484018918027725</v>
      </c>
      <c r="DW16">
        <f t="shared" si="128"/>
        <v>0.83690468681552377</v>
      </c>
      <c r="DX16">
        <f t="shared" si="129"/>
        <v>0.83894337823032972</v>
      </c>
      <c r="DY16">
        <f t="shared" si="130"/>
        <v>0.8409565860024506</v>
      </c>
      <c r="DZ16">
        <f t="shared" si="131"/>
        <v>0.84294462867741993</v>
      </c>
      <c r="EA16">
        <f t="shared" si="132"/>
        <v>0.84490782081895222</v>
      </c>
      <c r="EB16">
        <f t="shared" si="133"/>
        <v>0.8468464730587153</v>
      </c>
      <c r="EC16">
        <f t="shared" si="134"/>
        <v>0.84876089214548134</v>
      </c>
      <c r="ED16">
        <f t="shared" si="135"/>
        <v>0.85065138099366278</v>
      </c>
      <c r="EE16">
        <f t="shared" si="136"/>
        <v>0.852518238731242</v>
      </c>
      <c r="EF16">
        <f t="shared" si="137"/>
        <v>0.85436176074710146</v>
      </c>
      <c r="EG16">
        <f t="shared" si="138"/>
        <v>0.85618223873776267</v>
      </c>
      <c r="EH16">
        <f t="shared" si="139"/>
        <v>0.85797996075354066</v>
      </c>
      <c r="EI16">
        <f t="shared" si="140"/>
        <v>0.85975521124412135</v>
      </c>
      <c r="EJ16">
        <f t="shared" si="141"/>
        <v>0.86150827110356987</v>
      </c>
      <c r="EK16">
        <f t="shared" si="142"/>
        <v>0.86323941771477519</v>
      </c>
      <c r="EL16">
        <f t="shared" si="143"/>
        <v>0.86494892499334053</v>
      </c>
      <c r="EM16">
        <f t="shared" si="144"/>
        <v>0.86663706343092373</v>
      </c>
      <c r="EN16">
        <f t="shared" si="145"/>
        <v>0.86830410013803716</v>
      </c>
      <c r="EO16">
        <f t="shared" si="146"/>
        <v>0.8699502988863117</v>
      </c>
      <c r="EP16">
        <f t="shared" si="147"/>
        <v>0.87157592015023277</v>
      </c>
      <c r="EQ16">
        <f t="shared" si="148"/>
        <v>0.87318122114835484</v>
      </c>
      <c r="ER16">
        <f t="shared" si="149"/>
        <v>0.87476645588400037</v>
      </c>
      <c r="ES16">
        <f t="shared" si="150"/>
        <v>0.87633187518545042</v>
      </c>
      <c r="ET16">
        <f t="shared" si="151"/>
        <v>0.87787772674563225</v>
      </c>
      <c r="EU16">
        <f t="shared" si="152"/>
        <v>0.87940425516131182</v>
      </c>
      <c r="EV16">
        <f t="shared" si="153"/>
        <v>0.88091170197179547</v>
      </c>
      <c r="EW16">
        <f t="shared" si="154"/>
        <v>0.882400305697148</v>
      </c>
      <c r="EX16">
        <f t="shared" si="155"/>
        <v>0.88387030187593363</v>
      </c>
      <c r="EY16">
        <f t="shared" si="156"/>
        <v>0.88532192310248448</v>
      </c>
      <c r="EZ16">
        <f t="shared" si="157"/>
        <v>0.88675539906370338</v>
      </c>
      <c r="FA16">
        <f t="shared" si="158"/>
        <v>0.88817095657540712</v>
      </c>
      <c r="FB16">
        <f t="shared" si="159"/>
        <v>0.88956881961821455</v>
      </c>
      <c r="FC16">
        <f t="shared" si="160"/>
        <v>0.89094920937298683</v>
      </c>
      <c r="FD16">
        <f t="shared" si="161"/>
        <v>0.89231234425582451</v>
      </c>
      <c r="FE16">
        <f t="shared" si="162"/>
        <v>0.89365843995262673</v>
      </c>
      <c r="FF16">
        <f t="shared" si="163"/>
        <v>0.89498770945321893</v>
      </c>
      <c r="FG16">
        <f t="shared" si="164"/>
        <v>0.89630036308505368</v>
      </c>
      <c r="FH16">
        <f t="shared" si="165"/>
        <v>0.89759660854649048</v>
      </c>
      <c r="FI16">
        <f t="shared" si="166"/>
        <v>0.89887665093965941</v>
      </c>
      <c r="FJ16">
        <f t="shared" si="167"/>
        <v>0.90014069280291364</v>
      </c>
      <c r="FK16">
        <f t="shared" si="168"/>
        <v>0.90138893414287724</v>
      </c>
      <c r="FL16">
        <f t="shared" si="169"/>
        <v>0.90262157246609132</v>
      </c>
      <c r="FM16">
        <f t="shared" si="170"/>
        <v>0.90383880281026518</v>
      </c>
      <c r="FN16">
        <f t="shared" si="171"/>
        <v>0.9050408177751369</v>
      </c>
      <c r="FO16">
        <f t="shared" si="172"/>
        <v>0.90622780755294774</v>
      </c>
      <c r="FP16">
        <f t="shared" si="173"/>
        <v>0.90739995995853584</v>
      </c>
      <c r="FQ16">
        <f t="shared" si="174"/>
        <v>0.90855746045905417</v>
      </c>
      <c r="FR16">
        <f t="shared" si="175"/>
        <v>0.90970049220331595</v>
      </c>
      <c r="FS16">
        <f t="shared" si="176"/>
        <v>0.91082923605077448</v>
      </c>
      <c r="FT16">
        <f t="shared" si="177"/>
        <v>0.91194387060013982</v>
      </c>
      <c r="FU16">
        <f t="shared" si="178"/>
        <v>0.91304457221763802</v>
      </c>
      <c r="FV16">
        <f t="shared" si="179"/>
        <v>0.91413151506491752</v>
      </c>
      <c r="FW16">
        <f t="shared" si="180"/>
        <v>0.91520487112660609</v>
      </c>
      <c r="FX16">
        <f t="shared" si="181"/>
        <v>0.91626481023752349</v>
      </c>
      <c r="FY16">
        <f t="shared" si="182"/>
        <v>0.91731150010955442</v>
      </c>
      <c r="FZ16">
        <f t="shared" si="183"/>
        <v>0.918345106358185</v>
      </c>
      <c r="GA16">
        <f t="shared" si="184"/>
        <v>0.91936579252870765</v>
      </c>
      <c r="GB16">
        <f t="shared" si="185"/>
        <v>0.92037372012209884</v>
      </c>
      <c r="GC16">
        <f t="shared" si="186"/>
        <v>0.92136904862057256</v>
      </c>
      <c r="GD16">
        <f t="shared" si="187"/>
        <v>0.92235193551281536</v>
      </c>
      <c r="GE16">
        <f t="shared" si="188"/>
        <v>0.92332253631890515</v>
      </c>
      <c r="GF16">
        <f t="shared" si="189"/>
        <v>0.9242810046149188</v>
      </c>
      <c r="GG16">
        <f t="shared" si="190"/>
        <v>0.92522749205723231</v>
      </c>
      <c r="GH16">
        <f t="shared" si="191"/>
        <v>0.92616214840651689</v>
      </c>
      <c r="GI16">
        <f t="shared" si="192"/>
        <v>0.92708512155143541</v>
      </c>
      <c r="GJ16">
        <f t="shared" si="193"/>
        <v>0.92799655753204247</v>
      </c>
      <c r="GK16">
        <f t="shared" si="194"/>
        <v>0.92889660056289192</v>
      </c>
      <c r="GL16">
        <f t="shared" si="195"/>
        <v>0.92978539305585572</v>
      </c>
      <c r="GM16">
        <f t="shared" si="196"/>
        <v>0.93066307564265749</v>
      </c>
      <c r="GN16">
        <f t="shared" si="197"/>
        <v>0.93152978719712431</v>
      </c>
      <c r="GO16">
        <f t="shared" si="198"/>
        <v>0.93238566485716023</v>
      </c>
      <c r="GP16">
        <f t="shared" si="199"/>
        <v>0.93323084404644574</v>
      </c>
      <c r="GQ16">
        <f t="shared" si="200"/>
        <v>0.9340654584958652</v>
      </c>
      <c r="GR16">
        <f t="shared" si="201"/>
        <v>0.93488964026466692</v>
      </c>
      <c r="GS16">
        <f t="shared" si="202"/>
        <v>0.93570351976135857</v>
      </c>
      <c r="GT16">
        <f t="shared" si="203"/>
        <v>0.93650722576434164</v>
      </c>
      <c r="GU16">
        <f t="shared" si="204"/>
        <v>0.9373008854422874</v>
      </c>
      <c r="GV16">
        <f t="shared" si="205"/>
        <v>0.93808462437425877</v>
      </c>
      <c r="GW16">
        <f t="shared" si="206"/>
        <v>0.93885856656958055</v>
      </c>
      <c r="GX16">
        <f t="shared" si="207"/>
        <v>0.93962283448746076</v>
      </c>
      <c r="GY16">
        <f t="shared" si="208"/>
        <v>0.9403775490563675</v>
      </c>
      <c r="GZ16">
        <f t="shared" si="209"/>
        <v>0.94112282969316285</v>
      </c>
      <c r="HA16">
        <f t="shared" si="210"/>
        <v>0.94185879432199837</v>
      </c>
      <c r="HB16">
        <f t="shared" si="211"/>
        <v>0.94258555939297339</v>
      </c>
      <c r="HC16">
        <f t="shared" si="212"/>
        <v>0.9433032399005612</v>
      </c>
      <c r="HD16">
        <f t="shared" si="213"/>
        <v>0.94401194940180422</v>
      </c>
      <c r="HE16">
        <f t="shared" si="214"/>
        <v>0.94471180003428168</v>
      </c>
      <c r="HF16">
        <f t="shared" si="215"/>
        <v>0.94540290253385317</v>
      </c>
      <c r="HG16">
        <f t="shared" si="216"/>
        <v>0.94608536625217998</v>
      </c>
      <c r="HH16">
        <f t="shared" si="217"/>
        <v>0.94675929917402768</v>
      </c>
      <c r="HI16">
        <f t="shared" si="218"/>
        <v>0.94742480793435235</v>
      </c>
      <c r="HJ16">
        <f t="shared" si="219"/>
        <v>0.948081997835173</v>
      </c>
      <c r="HK16">
        <f t="shared" si="220"/>
        <v>0.94873097286223329</v>
      </c>
      <c r="HL16">
        <f t="shared" si="221"/>
        <v>0.94937183570145534</v>
      </c>
      <c r="HM16">
        <f t="shared" si="222"/>
        <v>0.95000468775518709</v>
      </c>
      <c r="HN16">
        <f t="shared" si="223"/>
        <v>0.95062962915824722</v>
      </c>
      <c r="HO16">
        <f t="shared" si="224"/>
        <v>0.95124675879376919</v>
      </c>
      <c r="HP16">
        <f t="shared" si="225"/>
        <v>0.95185617430884706</v>
      </c>
      <c r="HQ16">
        <f t="shared" si="226"/>
        <v>0.95245797212998651</v>
      </c>
      <c r="HR16">
        <f t="shared" si="227"/>
        <v>0.9530522474783617</v>
      </c>
      <c r="HS16">
        <f t="shared" si="228"/>
        <v>0.95363909438488215</v>
      </c>
      <c r="HT16">
        <f t="shared" si="229"/>
        <v>0.95421860570507111</v>
      </c>
      <c r="HU16">
        <f t="shared" si="230"/>
        <v>0.95479087313375777</v>
      </c>
      <c r="HV16">
        <f t="shared" si="231"/>
        <v>0.95535598721958581</v>
      </c>
      <c r="HW16">
        <f t="shared" si="232"/>
        <v>0.955914037379341</v>
      </c>
      <c r="HX16">
        <f t="shared" si="233"/>
        <v>0.95646511191209926</v>
      </c>
      <c r="HY16">
        <f t="shared" si="234"/>
        <v>0.95700929801319801</v>
      </c>
      <c r="HZ16">
        <f t="shared" si="235"/>
        <v>0.95754668178803304</v>
      </c>
      <c r="IA16">
        <f t="shared" si="236"/>
        <v>0.95807734826568258</v>
      </c>
      <c r="IB16">
        <f t="shared" si="237"/>
        <v>0.95860138141236151</v>
      </c>
      <c r="IC16">
        <f t="shared" si="238"/>
        <v>0.95911886414470704</v>
      </c>
      <c r="ID16">
        <f t="shared" si="239"/>
        <v>0.95962987834289826</v>
      </c>
      <c r="IE16">
        <f t="shared" si="240"/>
        <v>0.96013450486361207</v>
      </c>
      <c r="IF16">
        <f t="shared" si="241"/>
        <v>0.96063282355281687</v>
      </c>
      <c r="IG16">
        <f t="shared" si="242"/>
        <v>0.96112491325840665</v>
      </c>
      <c r="IH16">
        <f t="shared" si="243"/>
        <v>0.96161085184267658</v>
      </c>
      <c r="II16">
        <f t="shared" si="244"/>
        <v>0.96209071619464315</v>
      </c>
      <c r="IJ16">
        <f t="shared" si="245"/>
        <v>0.96256458224221009</v>
      </c>
      <c r="IK16">
        <f t="shared" si="246"/>
        <v>0.96303252496418246</v>
      </c>
      <c r="IL16">
        <f t="shared" si="247"/>
        <v>0.96349461840213013</v>
      </c>
      <c r="IM16">
        <f t="shared" si="248"/>
        <v>0.96395093567210355</v>
      </c>
      <c r="IN16">
        <f t="shared" si="249"/>
        <v>0.96440154897620223</v>
      </c>
      <c r="IO16">
        <f t="shared" si="250"/>
        <v>0.96484652961399975</v>
      </c>
      <c r="IP16">
        <f t="shared" si="251"/>
        <v>0.96528594799382472</v>
      </c>
      <c r="IQ16">
        <f t="shared" si="252"/>
        <v>0.96571987364390188</v>
      </c>
      <c r="IR16">
        <f t="shared" si="253"/>
        <v>0.96614837522335306</v>
      </c>
      <c r="IS16">
        <f t="shared" si="254"/>
        <v>0.96657152053306117</v>
      </c>
      <c r="IT16">
        <f t="shared" si="255"/>
        <v>0.96698937652639794</v>
      </c>
      <c r="IU16">
        <f t="shared" si="256"/>
        <v>0.96740200931981801</v>
      </c>
      <c r="IV16">
        <f t="shared" si="257"/>
        <v>0.96780948420332025</v>
      </c>
    </row>
    <row r="17" spans="1:256" x14ac:dyDescent="0.2">
      <c r="A17" t="s">
        <v>487</v>
      </c>
      <c r="B17">
        <f>$B$119</f>
        <v>0.75303482055664062</v>
      </c>
      <c r="C17">
        <f t="shared" si="4"/>
        <v>0.75169790441625661</v>
      </c>
      <c r="D17">
        <f t="shared" si="5"/>
        <v>0.75037769972762736</v>
      </c>
      <c r="E17">
        <f t="shared" si="6"/>
        <v>0.74907399759760596</v>
      </c>
      <c r="F17">
        <f t="shared" si="7"/>
        <v>0.74778659174420992</v>
      </c>
      <c r="G17">
        <f t="shared" si="8"/>
        <v>0.74651527846398125</v>
      </c>
      <c r="H17">
        <f t="shared" si="9"/>
        <v>0.74525985659975547</v>
      </c>
      <c r="I17">
        <f t="shared" si="10"/>
        <v>0.74402012750883251</v>
      </c>
      <c r="J17">
        <f t="shared" si="11"/>
        <v>0.74279589503154608</v>
      </c>
      <c r="K17">
        <f t="shared" si="12"/>
        <v>0.74546487530321282</v>
      </c>
      <c r="L17">
        <f t="shared" si="13"/>
        <v>0.74810049332148376</v>
      </c>
      <c r="M17">
        <f t="shared" si="14"/>
        <v>0.75070316611452637</v>
      </c>
      <c r="N17">
        <f t="shared" si="15"/>
        <v>0.75327330549765592</v>
      </c>
      <c r="O17">
        <f t="shared" si="16"/>
        <v>0.75581131813849634</v>
      </c>
      <c r="P17">
        <f t="shared" si="17"/>
        <v>0.75831760562132622</v>
      </c>
      <c r="Q17">
        <f t="shared" si="18"/>
        <v>0.76079256451062072</v>
      </c>
      <c r="R17">
        <f t="shared" si="19"/>
        <v>0.7632365864137991</v>
      </c>
      <c r="S17">
        <f t="shared" si="20"/>
        <v>0.76138238589864371</v>
      </c>
      <c r="T17">
        <f t="shared" si="21"/>
        <v>0.75955136288992775</v>
      </c>
      <c r="U17">
        <f t="shared" si="22"/>
        <v>0.75774322766882074</v>
      </c>
      <c r="V17">
        <f t="shared" si="23"/>
        <v>0.75595769413797764</v>
      </c>
      <c r="W17">
        <f t="shared" si="24"/>
        <v>0.75419447977627008</v>
      </c>
      <c r="X17">
        <f t="shared" si="25"/>
        <v>0.75245330559408385</v>
      </c>
      <c r="Y17">
        <f t="shared" si="26"/>
        <v>0.75073389608917496</v>
      </c>
      <c r="Z17">
        <f t="shared" si="27"/>
        <v>0.74903597920307741</v>
      </c>
      <c r="AA17">
        <f t="shared" si="28"/>
        <v>0.75217302946303899</v>
      </c>
      <c r="AB17">
        <f t="shared" si="29"/>
        <v>0.75527086659475096</v>
      </c>
      <c r="AC17">
        <f t="shared" si="30"/>
        <v>0.75832998076231661</v>
      </c>
      <c r="AD17">
        <f t="shared" si="31"/>
        <v>0.76135085600278762</v>
      </c>
      <c r="AE17">
        <f t="shared" si="32"/>
        <v>0.76433397030275274</v>
      </c>
      <c r="AF17">
        <f t="shared" si="33"/>
        <v>0.76727979567396831</v>
      </c>
      <c r="AG17">
        <f t="shared" si="34"/>
        <v>0.77018879822804376</v>
      </c>
      <c r="AH17">
        <f t="shared" si="35"/>
        <v>0.77306143825019324</v>
      </c>
      <c r="AI17">
        <f t="shared" si="36"/>
        <v>0.76926955012436071</v>
      </c>
      <c r="AJ17">
        <f t="shared" si="37"/>
        <v>0.76552506060010117</v>
      </c>
      <c r="AK17">
        <f t="shared" si="38"/>
        <v>0.76182737719489479</v>
      </c>
      <c r="AL17">
        <f t="shared" si="39"/>
        <v>0.75817591483225355</v>
      </c>
      <c r="AM17">
        <f t="shared" si="40"/>
        <v>0.75457009574914535</v>
      </c>
      <c r="AN17">
        <f t="shared" si="41"/>
        <v>0.75100934940457598</v>
      </c>
      <c r="AO17">
        <f t="shared" si="42"/>
        <v>0.74749311238931371</v>
      </c>
      <c r="AP17">
        <f t="shared" si="43"/>
        <v>0.74402082833674221</v>
      </c>
      <c r="AQ17">
        <f t="shared" si="44"/>
        <v>0.74646332768712276</v>
      </c>
      <c r="AR17">
        <f t="shared" si="45"/>
        <v>0.74887529579562362</v>
      </c>
      <c r="AS17">
        <f t="shared" si="46"/>
        <v>0.7512571143027682</v>
      </c>
      <c r="AT17">
        <f t="shared" si="47"/>
        <v>0.75360916007857348</v>
      </c>
      <c r="AU17">
        <f t="shared" si="48"/>
        <v>0.75593180528218118</v>
      </c>
      <c r="AV17">
        <f t="shared" si="49"/>
        <v>0.75822541742074379</v>
      </c>
      <c r="AW17">
        <f t="shared" si="50"/>
        <v>0.76049035940757437</v>
      </c>
      <c r="AX17">
        <f t="shared" si="51"/>
        <v>0.76272698961956953</v>
      </c>
      <c r="AY17">
        <f t="shared" si="52"/>
        <v>0.76569290223133224</v>
      </c>
      <c r="AZ17">
        <f t="shared" si="53"/>
        <v>0.76862174093544799</v>
      </c>
      <c r="BA17">
        <f t="shared" si="54"/>
        <v>0.77151396915576231</v>
      </c>
      <c r="BB17">
        <f t="shared" si="55"/>
        <v>0.7743700445233227</v>
      </c>
      <c r="BC17">
        <f t="shared" si="56"/>
        <v>0.7771904189487886</v>
      </c>
      <c r="BD17">
        <f t="shared" si="57"/>
        <v>0.7799755386939361</v>
      </c>
      <c r="BE17">
        <f t="shared" si="58"/>
        <v>0.78272584444226934</v>
      </c>
      <c r="BF17">
        <f t="shared" si="59"/>
        <v>0.78544177136874838</v>
      </c>
      <c r="BG17">
        <f t="shared" si="60"/>
        <v>0.78812374920864636</v>
      </c>
      <c r="BH17">
        <f t="shared" si="61"/>
        <v>0.79077220232554568</v>
      </c>
      <c r="BI17">
        <f t="shared" si="62"/>
        <v>0.79338754977848369</v>
      </c>
      <c r="BJ17">
        <f t="shared" si="63"/>
        <v>0.79597020538826002</v>
      </c>
      <c r="BK17">
        <f t="shared" si="64"/>
        <v>0.79852057780291419</v>
      </c>
      <c r="BL17">
        <f t="shared" si="65"/>
        <v>0.8010390705623851</v>
      </c>
      <c r="BM17">
        <f t="shared" si="66"/>
        <v>0.80352608216236265</v>
      </c>
      <c r="BN17">
        <f t="shared" si="67"/>
        <v>0.8059820061173405</v>
      </c>
      <c r="BO17">
        <f t="shared" si="68"/>
        <v>0.80840723102288115</v>
      </c>
      <c r="BP17">
        <f t="shared" si="69"/>
        <v>0.81080214061710254</v>
      </c>
      <c r="BQ17">
        <f t="shared" si="70"/>
        <v>0.81316711384139617</v>
      </c>
      <c r="BR17">
        <f t="shared" si="71"/>
        <v>0.81550252490038611</v>
      </c>
      <c r="BS17">
        <f t="shared" si="72"/>
        <v>0.81780874332113862</v>
      </c>
      <c r="BT17">
        <f t="shared" si="73"/>
        <v>0.82008613401163177</v>
      </c>
      <c r="BU17">
        <f t="shared" si="74"/>
        <v>0.82233505731849377</v>
      </c>
      <c r="BV17">
        <f t="shared" si="75"/>
        <v>0.82455586908402001</v>
      </c>
      <c r="BW17">
        <f t="shared" si="76"/>
        <v>0.82674892070247719</v>
      </c>
      <c r="BX17">
        <f t="shared" si="77"/>
        <v>0.82891455917570356</v>
      </c>
      <c r="BY17">
        <f t="shared" si="78"/>
        <v>0.8310531271680146</v>
      </c>
      <c r="BZ17">
        <f t="shared" si="79"/>
        <v>0.83316496306042176</v>
      </c>
      <c r="CA17">
        <f t="shared" si="80"/>
        <v>0.83525040100417391</v>
      </c>
      <c r="CB17">
        <f t="shared" si="81"/>
        <v>0.83730977097362913</v>
      </c>
      <c r="CC17">
        <f t="shared" si="82"/>
        <v>0.8393433988184662</v>
      </c>
      <c r="CD17">
        <f t="shared" si="83"/>
        <v>0.84135160631524275</v>
      </c>
      <c r="CE17">
        <f t="shared" si="84"/>
        <v>0.84333471121830961</v>
      </c>
      <c r="CF17">
        <f t="shared" si="85"/>
        <v>0.84529302731008815</v>
      </c>
      <c r="CG17">
        <f t="shared" si="86"/>
        <v>0.84722686445071949</v>
      </c>
      <c r="CH17">
        <f t="shared" si="87"/>
        <v>0.84913652862709288</v>
      </c>
      <c r="CI17">
        <f t="shared" si="88"/>
        <v>0.8510223220012616</v>
      </c>
      <c r="CJ17">
        <f t="shared" si="89"/>
        <v>0.85288454295825322</v>
      </c>
      <c r="CK17">
        <f t="shared" si="90"/>
        <v>0.85472348615328242</v>
      </c>
      <c r="CL17">
        <f t="shared" si="91"/>
        <v>0.85653944255837378</v>
      </c>
      <c r="CM17">
        <f t="shared" si="92"/>
        <v>0.85833269950840152</v>
      </c>
      <c r="CN17">
        <f t="shared" si="93"/>
        <v>0.86010354074655393</v>
      </c>
      <c r="CO17">
        <f t="shared" si="94"/>
        <v>0.86185224646922942</v>
      </c>
      <c r="CP17">
        <f t="shared" si="95"/>
        <v>0.86357909337037142</v>
      </c>
      <c r="CQ17">
        <f t="shared" si="96"/>
        <v>0.86528435468524911</v>
      </c>
      <c r="CR17">
        <f t="shared" si="97"/>
        <v>0.86696830023369087</v>
      </c>
      <c r="CS17">
        <f t="shared" si="98"/>
        <v>0.86863119646277709</v>
      </c>
      <c r="CT17">
        <f t="shared" si="99"/>
        <v>0.87027330648899981</v>
      </c>
      <c r="CU17">
        <f t="shared" si="100"/>
        <v>0.87189489013989474</v>
      </c>
      <c r="CV17">
        <f t="shared" si="101"/>
        <v>0.87349620399515349</v>
      </c>
      <c r="CW17">
        <f t="shared" si="102"/>
        <v>0.8750775014272214</v>
      </c>
      <c r="CX17">
        <f t="shared" si="103"/>
        <v>0.87663903264138854</v>
      </c>
      <c r="CY17">
        <f t="shared" si="104"/>
        <v>0.87818104471537861</v>
      </c>
      <c r="CZ17">
        <f t="shared" si="105"/>
        <v>0.87970378163844376</v>
      </c>
      <c r="DA17">
        <f t="shared" si="106"/>
        <v>0.88120748434997065</v>
      </c>
      <c r="DB17">
        <f t="shared" si="107"/>
        <v>0.88269239077760342</v>
      </c>
      <c r="DC17">
        <f t="shared" si="108"/>
        <v>0.8841587358748908</v>
      </c>
      <c r="DD17">
        <f t="shared" si="109"/>
        <v>0.88560675165846203</v>
      </c>
      <c r="DE17">
        <f t="shared" si="110"/>
        <v>0.88703666724473862</v>
      </c>
      <c r="DF17">
        <f t="shared" si="111"/>
        <v>0.88844870888618677</v>
      </c>
      <c r="DG17">
        <f t="shared" si="112"/>
        <v>0.88984310000711686</v>
      </c>
      <c r="DH17">
        <f t="shared" si="113"/>
        <v>0.8912200612390353</v>
      </c>
      <c r="DI17">
        <f t="shared" si="114"/>
        <v>0.89257981045555479</v>
      </c>
      <c r="DJ17">
        <f t="shared" si="115"/>
        <v>0.89392256280686777</v>
      </c>
      <c r="DK17">
        <f t="shared" si="116"/>
        <v>0.8952485307537893</v>
      </c>
      <c r="DL17">
        <f t="shared" si="117"/>
        <v>0.89655792410137436</v>
      </c>
      <c r="DM17">
        <f t="shared" si="118"/>
        <v>0.89785095003211457</v>
      </c>
      <c r="DN17">
        <f t="shared" si="119"/>
        <v>0.89912781313872048</v>
      </c>
      <c r="DO17">
        <f t="shared" si="120"/>
        <v>0.9003887154564939</v>
      </c>
      <c r="DP17">
        <f t="shared" si="121"/>
        <v>0.90163385649529515</v>
      </c>
      <c r="DQ17">
        <f t="shared" si="122"/>
        <v>0.90286343327111129</v>
      </c>
      <c r="DR17">
        <f t="shared" si="123"/>
        <v>0.90407764033722982</v>
      </c>
      <c r="DS17">
        <f t="shared" si="124"/>
        <v>0.90527666981502186</v>
      </c>
      <c r="DT17">
        <f t="shared" si="125"/>
        <v>0.90646071142434148</v>
      </c>
      <c r="DU17">
        <f t="shared" si="126"/>
        <v>0.90762995251354461</v>
      </c>
      <c r="DV17">
        <f t="shared" si="127"/>
        <v>0.90878457808913271</v>
      </c>
      <c r="DW17">
        <f t="shared" si="128"/>
        <v>0.90992477084502599</v>
      </c>
      <c r="DX17">
        <f t="shared" si="129"/>
        <v>0.91105071119147052</v>
      </c>
      <c r="DY17">
        <f t="shared" si="130"/>
        <v>0.91216257728358452</v>
      </c>
      <c r="DZ17">
        <f t="shared" si="131"/>
        <v>0.91326054504954712</v>
      </c>
      <c r="EA17">
        <f t="shared" si="132"/>
        <v>0.91434478821843512</v>
      </c>
      <c r="EB17">
        <f t="shared" si="133"/>
        <v>0.91541547834771209</v>
      </c>
      <c r="EC17">
        <f t="shared" si="134"/>
        <v>0.91647278485037309</v>
      </c>
      <c r="ED17">
        <f t="shared" si="135"/>
        <v>0.91751687502175083</v>
      </c>
      <c r="EE17">
        <f t="shared" si="136"/>
        <v>0.91854791406598635</v>
      </c>
      <c r="EF17">
        <f t="shared" si="137"/>
        <v>0.91956606512216887</v>
      </c>
      <c r="EG17">
        <f t="shared" si="138"/>
        <v>0.92057148929014909</v>
      </c>
      <c r="EH17">
        <f t="shared" si="139"/>
        <v>0.92156434565602963</v>
      </c>
      <c r="EI17">
        <f t="shared" si="140"/>
        <v>0.92254479131733669</v>
      </c>
      <c r="EJ17">
        <f t="shared" si="141"/>
        <v>0.92351298140787741</v>
      </c>
      <c r="EK17">
        <f t="shared" si="142"/>
        <v>0.92446906912228632</v>
      </c>
      <c r="EL17">
        <f t="shared" si="143"/>
        <v>0.92541320574026509</v>
      </c>
      <c r="EM17">
        <f t="shared" si="144"/>
        <v>0.92634554065051911</v>
      </c>
      <c r="EN17">
        <f t="shared" si="145"/>
        <v>0.92726622137439496</v>
      </c>
      <c r="EO17">
        <f t="shared" si="146"/>
        <v>0.92817539358922241</v>
      </c>
      <c r="EP17">
        <f t="shared" si="147"/>
        <v>0.92907320115136449</v>
      </c>
      <c r="EQ17">
        <f t="shared" si="148"/>
        <v>0.92995978611897978</v>
      </c>
      <c r="ER17">
        <f t="shared" si="149"/>
        <v>0.93083528877449995</v>
      </c>
      <c r="ES17">
        <f t="shared" si="150"/>
        <v>0.93169984764682612</v>
      </c>
      <c r="ET17">
        <f t="shared" si="151"/>
        <v>0.93255359953324812</v>
      </c>
      <c r="EU17">
        <f t="shared" si="152"/>
        <v>0.93339667952108996</v>
      </c>
      <c r="EV17">
        <f t="shared" si="153"/>
        <v>0.93422922100908368</v>
      </c>
      <c r="EW17">
        <f t="shared" si="154"/>
        <v>0.93505135572847753</v>
      </c>
      <c r="EX17">
        <f t="shared" si="155"/>
        <v>0.93586321376387893</v>
      </c>
      <c r="EY17">
        <f t="shared" si="156"/>
        <v>0.93666492357383779</v>
      </c>
      <c r="EZ17">
        <f t="shared" si="157"/>
        <v>0.93745661201117225</v>
      </c>
      <c r="FA17">
        <f t="shared" si="158"/>
        <v>0.93823840434303996</v>
      </c>
      <c r="FB17">
        <f t="shared" si="159"/>
        <v>0.93901042427075931</v>
      </c>
      <c r="FC17">
        <f t="shared" si="160"/>
        <v>0.93977279394938218</v>
      </c>
      <c r="FD17">
        <f t="shared" si="161"/>
        <v>0.94052563400702227</v>
      </c>
      <c r="FE17">
        <f t="shared" si="162"/>
        <v>0.94126906356394191</v>
      </c>
      <c r="FF17">
        <f t="shared" si="163"/>
        <v>0.94200320025140005</v>
      </c>
      <c r="FG17">
        <f t="shared" si="164"/>
        <v>0.94272816023026496</v>
      </c>
      <c r="FH17">
        <f t="shared" si="165"/>
        <v>0.94344405820939403</v>
      </c>
      <c r="FI17">
        <f t="shared" si="166"/>
        <v>0.944151007463784</v>
      </c>
      <c r="FJ17">
        <f t="shared" si="167"/>
        <v>0.94484911985249409</v>
      </c>
      <c r="FK17">
        <f t="shared" si="168"/>
        <v>0.94553850583634524</v>
      </c>
      <c r="FL17">
        <f t="shared" si="169"/>
        <v>0.94621927449539833</v>
      </c>
      <c r="FM17">
        <f t="shared" si="170"/>
        <v>0.94689153354621325</v>
      </c>
      <c r="FN17">
        <f t="shared" si="171"/>
        <v>0.94755538935889294</v>
      </c>
      <c r="FO17">
        <f t="shared" si="172"/>
        <v>0.94821094697391417</v>
      </c>
      <c r="FP17">
        <f t="shared" si="173"/>
        <v>0.94885831011874766</v>
      </c>
      <c r="FQ17">
        <f t="shared" si="174"/>
        <v>0.94949758122427075</v>
      </c>
      <c r="FR17">
        <f t="shared" si="175"/>
        <v>0.95012886144097475</v>
      </c>
      <c r="FS17">
        <f t="shared" si="176"/>
        <v>0.95075225065496993</v>
      </c>
      <c r="FT17">
        <f t="shared" si="177"/>
        <v>0.95136784750379022</v>
      </c>
      <c r="FU17">
        <f t="shared" si="178"/>
        <v>0.95197574939200025</v>
      </c>
      <c r="FV17">
        <f t="shared" si="179"/>
        <v>0.9525760525066076</v>
      </c>
      <c r="FW17">
        <f t="shared" si="180"/>
        <v>0.95316885183228239</v>
      </c>
      <c r="FX17">
        <f t="shared" si="181"/>
        <v>0.9537542411663863</v>
      </c>
      <c r="FY17">
        <f t="shared" si="182"/>
        <v>0.95433231313381384</v>
      </c>
      <c r="FZ17">
        <f t="shared" si="183"/>
        <v>0.95490315920164859</v>
      </c>
      <c r="GA17">
        <f t="shared" si="184"/>
        <v>0.95546686969363537</v>
      </c>
      <c r="GB17">
        <f t="shared" si="185"/>
        <v>0.95602353380447236</v>
      </c>
      <c r="GC17">
        <f t="shared" si="186"/>
        <v>0.95657323961392382</v>
      </c>
      <c r="GD17">
        <f t="shared" si="187"/>
        <v>0.95711607410075716</v>
      </c>
      <c r="GE17">
        <f t="shared" si="188"/>
        <v>0.95765212315650505</v>
      </c>
      <c r="GF17">
        <f t="shared" si="189"/>
        <v>0.95818147159905609</v>
      </c>
      <c r="GG17">
        <f t="shared" si="190"/>
        <v>0.9587042031860753</v>
      </c>
      <c r="GH17">
        <f t="shared" si="191"/>
        <v>0.95922040062825675</v>
      </c>
      <c r="GI17">
        <f t="shared" si="192"/>
        <v>0.95973014560241088</v>
      </c>
      <c r="GJ17">
        <f t="shared" si="193"/>
        <v>0.96023351876438812</v>
      </c>
      <c r="GK17">
        <f t="shared" si="194"/>
        <v>0.96073059976184061</v>
      </c>
      <c r="GL17">
        <f t="shared" si="195"/>
        <v>0.961221467246825</v>
      </c>
      <c r="GM17">
        <f t="shared" si="196"/>
        <v>0.96170619888824704</v>
      </c>
      <c r="GN17">
        <f t="shared" si="197"/>
        <v>0.96218487138415132</v>
      </c>
      <c r="GO17">
        <f t="shared" si="198"/>
        <v>0.96265756047385675</v>
      </c>
      <c r="GP17">
        <f t="shared" si="199"/>
        <v>0.96312434094994093</v>
      </c>
      <c r="GQ17">
        <f t="shared" si="200"/>
        <v>0.96358528667007404</v>
      </c>
      <c r="GR17">
        <f t="shared" si="201"/>
        <v>0.96404047056870545</v>
      </c>
      <c r="GS17">
        <f t="shared" si="202"/>
        <v>0.96448996466860404</v>
      </c>
      <c r="GT17">
        <f t="shared" si="203"/>
        <v>0.96493384009225391</v>
      </c>
      <c r="GU17">
        <f t="shared" si="204"/>
        <v>0.96537216707310813</v>
      </c>
      <c r="GV17">
        <f t="shared" si="205"/>
        <v>0.96580501496670168</v>
      </c>
      <c r="GW17">
        <f t="shared" si="206"/>
        <v>0.96623245226162524</v>
      </c>
      <c r="GX17">
        <f t="shared" si="207"/>
        <v>0.96665454659036232</v>
      </c>
      <c r="GY17">
        <f t="shared" si="208"/>
        <v>0.96707136473999022</v>
      </c>
      <c r="GZ17">
        <f t="shared" si="209"/>
        <v>0.96748297266274774</v>
      </c>
      <c r="HA17">
        <f t="shared" si="210"/>
        <v>0.96788943548647077</v>
      </c>
      <c r="HB17">
        <f t="shared" si="211"/>
        <v>0.96829081752489732</v>
      </c>
      <c r="HC17">
        <f t="shared" si="212"/>
        <v>0.96868718228784345</v>
      </c>
      <c r="HD17">
        <f t="shared" si="213"/>
        <v>0.96907859249125283</v>
      </c>
      <c r="HE17">
        <f t="shared" si="214"/>
        <v>0.96946511006711955</v>
      </c>
      <c r="HF17">
        <f t="shared" si="215"/>
        <v>0.96984679617328795</v>
      </c>
      <c r="HG17">
        <f t="shared" si="216"/>
        <v>0.97022371120312922</v>
      </c>
      <c r="HH17">
        <f t="shared" si="217"/>
        <v>0.97059591479509755</v>
      </c>
      <c r="HI17">
        <f t="shared" si="218"/>
        <v>0.9709634658421662</v>
      </c>
      <c r="HJ17">
        <f t="shared" si="219"/>
        <v>0.97132642250114654</v>
      </c>
      <c r="HK17">
        <f t="shared" si="220"/>
        <v>0.97168484220188955</v>
      </c>
      <c r="HL17">
        <f t="shared" si="221"/>
        <v>0.97203878165637336</v>
      </c>
      <c r="HM17">
        <f t="shared" si="222"/>
        <v>0.97238829686767603</v>
      </c>
      <c r="HN17">
        <f t="shared" si="223"/>
        <v>0.97273344313883747</v>
      </c>
      <c r="HO17">
        <f t="shared" si="224"/>
        <v>0.97307427508160937</v>
      </c>
      <c r="HP17">
        <f t="shared" si="225"/>
        <v>0.97341084662509669</v>
      </c>
      <c r="HQ17">
        <f t="shared" si="226"/>
        <v>0.9737432110242904</v>
      </c>
      <c r="HR17">
        <f t="shared" si="227"/>
        <v>0.97407142086849419</v>
      </c>
      <c r="HS17">
        <f t="shared" si="228"/>
        <v>0.97439552808964536</v>
      </c>
      <c r="HT17">
        <f t="shared" si="229"/>
        <v>0.97471558397053215</v>
      </c>
      <c r="HU17">
        <f t="shared" si="230"/>
        <v>0.97503163915290791</v>
      </c>
      <c r="HV17">
        <f t="shared" si="231"/>
        <v>0.97534374364550391</v>
      </c>
      <c r="HW17">
        <f t="shared" si="232"/>
        <v>0.97565194683194245</v>
      </c>
      <c r="HX17">
        <f t="shared" si="233"/>
        <v>0.97595629747855051</v>
      </c>
      <c r="HY17">
        <f t="shared" si="234"/>
        <v>0.976256843742076</v>
      </c>
      <c r="HZ17">
        <f t="shared" si="235"/>
        <v>0.97655363317730748</v>
      </c>
      <c r="IA17">
        <f t="shared" si="236"/>
        <v>0.97684671274459856</v>
      </c>
      <c r="IB17">
        <f t="shared" si="237"/>
        <v>0.9771361288172985</v>
      </c>
      <c r="IC17">
        <f t="shared" si="238"/>
        <v>0.9774219271890896</v>
      </c>
      <c r="ID17">
        <f t="shared" si="239"/>
        <v>0.97770415308123337</v>
      </c>
      <c r="IE17">
        <f t="shared" si="240"/>
        <v>0.97798285114972539</v>
      </c>
      <c r="IF17">
        <f t="shared" si="241"/>
        <v>0.97825806549236116</v>
      </c>
      <c r="IG17">
        <f t="shared" si="242"/>
        <v>0.97852983965571405</v>
      </c>
      <c r="IH17">
        <f t="shared" si="243"/>
        <v>0.97879821664202504</v>
      </c>
      <c r="II17">
        <f t="shared" si="244"/>
        <v>0.97906323891600711</v>
      </c>
      <c r="IJ17">
        <f t="shared" si="245"/>
        <v>0.97932494841156437</v>
      </c>
      <c r="IK17">
        <f t="shared" si="246"/>
        <v>0.97958338653842725</v>
      </c>
      <c r="IL17">
        <f t="shared" si="247"/>
        <v>0.97983859418870434</v>
      </c>
      <c r="IM17">
        <f t="shared" si="248"/>
        <v>0.98009061174335288</v>
      </c>
      <c r="IN17">
        <f t="shared" si="249"/>
        <v>0.98033947907856833</v>
      </c>
      <c r="IO17">
        <f t="shared" si="250"/>
        <v>0.98058523557209365</v>
      </c>
      <c r="IP17">
        <f t="shared" si="251"/>
        <v>0.98082792010944986</v>
      </c>
      <c r="IQ17">
        <f t="shared" si="252"/>
        <v>0.98106757109008913</v>
      </c>
      <c r="IR17">
        <f t="shared" si="253"/>
        <v>0.98130422643347037</v>
      </c>
      <c r="IS17">
        <f t="shared" si="254"/>
        <v>0.98153792358505942</v>
      </c>
      <c r="IT17">
        <f t="shared" si="255"/>
        <v>0.98176869952225354</v>
      </c>
      <c r="IU17">
        <f t="shared" si="256"/>
        <v>0.98199659076023271</v>
      </c>
      <c r="IV17">
        <f t="shared" si="257"/>
        <v>0.98222163335773716</v>
      </c>
    </row>
    <row r="18" spans="1:256" x14ac:dyDescent="0.2">
      <c r="A18" t="s">
        <v>488</v>
      </c>
      <c r="B18">
        <f>$B$120</f>
        <v>0.51361991882324221</v>
      </c>
      <c r="C18">
        <f t="shared" si="4"/>
        <v>0.50728086355957469</v>
      </c>
      <c r="D18">
        <f t="shared" si="5"/>
        <v>0.50310192022174616</v>
      </c>
      <c r="E18">
        <f t="shared" si="6"/>
        <v>0.49906901522889691</v>
      </c>
      <c r="F18">
        <f t="shared" si="7"/>
        <v>0.49518005271120646</v>
      </c>
      <c r="G18">
        <f t="shared" si="8"/>
        <v>0.49143289629587789</v>
      </c>
      <c r="H18">
        <f t="shared" si="9"/>
        <v>0.48782537932175629</v>
      </c>
      <c r="I18">
        <f t="shared" si="10"/>
        <v>0.48435531450970498</v>
      </c>
      <c r="J18">
        <f t="shared" si="11"/>
        <v>0.4810205030868881</v>
      </c>
      <c r="K18">
        <f t="shared" si="12"/>
        <v>0.47660588991318087</v>
      </c>
      <c r="L18">
        <f t="shared" si="13"/>
        <v>0.47222036043034277</v>
      </c>
      <c r="M18">
        <f t="shared" si="14"/>
        <v>0.4678630117508083</v>
      </c>
      <c r="N18">
        <f t="shared" si="15"/>
        <v>0.46353301438516076</v>
      </c>
      <c r="O18">
        <f t="shared" si="16"/>
        <v>0.45922960948566555</v>
      </c>
      <c r="P18">
        <f t="shared" si="17"/>
        <v>0.45495210605373787</v>
      </c>
      <c r="Q18">
        <f t="shared" si="18"/>
        <v>0.45069987812177875</v>
      </c>
      <c r="R18">
        <f t="shared" si="19"/>
        <v>0.44647236191936962</v>
      </c>
      <c r="S18">
        <f t="shared" si="20"/>
        <v>0.44364664867132991</v>
      </c>
      <c r="T18">
        <f t="shared" si="21"/>
        <v>0.44080193296462011</v>
      </c>
      <c r="U18">
        <f t="shared" si="22"/>
        <v>0.43793953115121709</v>
      </c>
      <c r="V18">
        <f t="shared" si="23"/>
        <v>0.43506068733965414</v>
      </c>
      <c r="W18">
        <f t="shared" si="24"/>
        <v>0.43216657755936821</v>
      </c>
      <c r="X18">
        <f t="shared" si="25"/>
        <v>0.42925831384260721</v>
      </c>
      <c r="Y18">
        <f t="shared" si="26"/>
        <v>0.42633694821256629</v>
      </c>
      <c r="Z18">
        <f t="shared" si="27"/>
        <v>0.42340347656729754</v>
      </c>
      <c r="AA18">
        <f t="shared" si="28"/>
        <v>0.42135469611188153</v>
      </c>
      <c r="AB18">
        <f t="shared" si="29"/>
        <v>0.41925372197306265</v>
      </c>
      <c r="AC18">
        <f t="shared" si="30"/>
        <v>0.41710325822212707</v>
      </c>
      <c r="AD18">
        <f t="shared" si="31"/>
        <v>0.4149059074147875</v>
      </c>
      <c r="AE18">
        <f t="shared" si="32"/>
        <v>0.41266417464254634</v>
      </c>
      <c r="AF18">
        <f t="shared" si="33"/>
        <v>0.41038047142909773</v>
      </c>
      <c r="AG18">
        <f t="shared" si="34"/>
        <v>0.4080571194713255</v>
      </c>
      <c r="AH18">
        <f t="shared" si="35"/>
        <v>0.40569635422581019</v>
      </c>
      <c r="AI18">
        <f t="shared" si="36"/>
        <v>0.40734686197670877</v>
      </c>
      <c r="AJ18">
        <f t="shared" si="37"/>
        <v>0.40917279938516815</v>
      </c>
      <c r="AK18">
        <f t="shared" si="38"/>
        <v>0.41118351443498141</v>
      </c>
      <c r="AL18">
        <f t="shared" si="39"/>
        <v>0.41338914900089485</v>
      </c>
      <c r="AM18">
        <f t="shared" si="40"/>
        <v>0.41580071917760281</v>
      </c>
      <c r="AN18">
        <f t="shared" si="41"/>
        <v>0.41843020599961273</v>
      </c>
      <c r="AO18">
        <f t="shared" si="42"/>
        <v>0.42129065805280919</v>
      </c>
      <c r="AP18">
        <f t="shared" si="43"/>
        <v>0.42439630773466863</v>
      </c>
      <c r="AQ18">
        <f t="shared" si="44"/>
        <v>0.42033896476389221</v>
      </c>
      <c r="AR18">
        <f t="shared" si="45"/>
        <v>0.41635146481796809</v>
      </c>
      <c r="AS18">
        <f t="shared" si="46"/>
        <v>0.41243373563299979</v>
      </c>
      <c r="AT18">
        <f t="shared" si="47"/>
        <v>0.40858576658968815</v>
      </c>
      <c r="AU18">
        <f t="shared" si="48"/>
        <v>0.40480760807866289</v>
      </c>
      <c r="AV18">
        <f t="shared" si="49"/>
        <v>0.40109937121961703</v>
      </c>
      <c r="AW18">
        <f t="shared" si="50"/>
        <v>0.39746122794156513</v>
      </c>
      <c r="AX18">
        <f t="shared" si="51"/>
        <v>0.39389341143224538</v>
      </c>
      <c r="AY18">
        <f t="shared" si="52"/>
        <v>0.39039621696563026</v>
      </c>
      <c r="AZ18">
        <f t="shared" si="53"/>
        <v>0.38695270138749127</v>
      </c>
      <c r="BA18">
        <f t="shared" si="54"/>
        <v>0.38356595166036012</v>
      </c>
      <c r="BB18">
        <f t="shared" si="55"/>
        <v>0.38023915805116693</v>
      </c>
      <c r="BC18">
        <f t="shared" si="56"/>
        <v>0.37697564776397813</v>
      </c>
      <c r="BD18">
        <f t="shared" si="57"/>
        <v>0.37377892151538911</v>
      </c>
      <c r="BE18">
        <f t="shared" si="58"/>
        <v>0.3706526937243973</v>
      </c>
      <c r="BF18">
        <f t="shared" si="59"/>
        <v>0.36760093710028252</v>
      </c>
      <c r="BG18">
        <f t="shared" si="60"/>
        <v>0.3646279325493133</v>
      </c>
      <c r="BH18">
        <f t="shared" si="61"/>
        <v>0.36173644592131154</v>
      </c>
      <c r="BI18">
        <f t="shared" si="62"/>
        <v>0.35892947282859172</v>
      </c>
      <c r="BJ18">
        <f t="shared" si="63"/>
        <v>0.35621031108958928</v>
      </c>
      <c r="BK18">
        <f t="shared" si="64"/>
        <v>0.35358208320718104</v>
      </c>
      <c r="BL18">
        <f t="shared" si="65"/>
        <v>0.35104540765126946</v>
      </c>
      <c r="BM18">
        <f t="shared" si="66"/>
        <v>0.34860091056708886</v>
      </c>
      <c r="BN18">
        <f t="shared" si="67"/>
        <v>0.34624930644574364</v>
      </c>
      <c r="BO18">
        <f t="shared" si="68"/>
        <v>0.34399139941251428</v>
      </c>
      <c r="BP18">
        <f t="shared" si="69"/>
        <v>0.34182808451501839</v>
      </c>
      <c r="BQ18">
        <f t="shared" si="70"/>
        <v>0.3397603490173125</v>
      </c>
      <c r="BR18">
        <f t="shared" si="71"/>
        <v>0.3377892737053696</v>
      </c>
      <c r="BS18">
        <f t="shared" si="72"/>
        <v>0.33591603420874605</v>
      </c>
      <c r="BT18">
        <f t="shared" si="73"/>
        <v>0.33414190234265562</v>
      </c>
      <c r="BU18">
        <f t="shared" si="74"/>
        <v>0.33246824747410314</v>
      </c>
      <c r="BV18">
        <f t="shared" si="75"/>
        <v>0.3308965379151948</v>
      </c>
      <c r="BW18">
        <f t="shared" si="76"/>
        <v>0.32942834234623719</v>
      </c>
      <c r="BX18">
        <f t="shared" si="77"/>
        <v>0.32806533127076226</v>
      </c>
      <c r="BY18">
        <f t="shared" si="78"/>
        <v>0.32680927850417252</v>
      </c>
      <c r="BZ18">
        <f t="shared" si="79"/>
        <v>0.32566206265374348</v>
      </c>
      <c r="CA18">
        <f t="shared" si="80"/>
        <v>0.32462566857371455</v>
      </c>
      <c r="CB18">
        <f t="shared" si="81"/>
        <v>0.32370218884757612</v>
      </c>
      <c r="CC18">
        <f t="shared" si="82"/>
        <v>0.32289382529782035</v>
      </c>
      <c r="CD18">
        <f t="shared" si="83"/>
        <v>0.32220289052312928</v>
      </c>
      <c r="CE18">
        <f t="shared" si="84"/>
        <v>0.32163180946270525</v>
      </c>
      <c r="CF18">
        <f t="shared" si="85"/>
        <v>0.32118312098720697</v>
      </c>
      <c r="CG18">
        <f t="shared" si="86"/>
        <v>0.32085947951553384</v>
      </c>
      <c r="CH18">
        <f t="shared" si="87"/>
        <v>0.32066365665650703</v>
      </c>
      <c r="CI18">
        <f t="shared" si="88"/>
        <v>0.32059854287432044</v>
      </c>
      <c r="CJ18">
        <f t="shared" si="89"/>
        <v>0.32066447301734963</v>
      </c>
      <c r="CK18">
        <f t="shared" si="90"/>
        <v>0.32086177769418839</v>
      </c>
      <c r="CL18">
        <f t="shared" si="91"/>
        <v>0.32119078483372449</v>
      </c>
      <c r="CM18">
        <f t="shared" si="92"/>
        <v>0.32165181959249273</v>
      </c>
      <c r="CN18">
        <f t="shared" si="93"/>
        <v>0.32224520421063013</v>
      </c>
      <c r="CO18">
        <f t="shared" si="94"/>
        <v>0.32297125781900293</v>
      </c>
      <c r="CP18">
        <f t="shared" si="95"/>
        <v>0.32383029620015052</v>
      </c>
      <c r="CQ18">
        <f t="shared" si="96"/>
        <v>0.32482263150574986</v>
      </c>
      <c r="CR18">
        <f t="shared" si="97"/>
        <v>0.32594857193334498</v>
      </c>
      <c r="CS18">
        <f t="shared" si="98"/>
        <v>0.32720842136511352</v>
      </c>
      <c r="CT18">
        <f t="shared" si="99"/>
        <v>0.32860247897145473</v>
      </c>
      <c r="CU18">
        <f t="shared" si="100"/>
        <v>0.33013103878218336</v>
      </c>
      <c r="CV18">
        <f t="shared" si="101"/>
        <v>0.33179438922810323</v>
      </c>
      <c r="CW18">
        <f t="shared" si="102"/>
        <v>0.33359281265571095</v>
      </c>
      <c r="CX18">
        <f t="shared" si="103"/>
        <v>0.33552658481774889</v>
      </c>
      <c r="CY18">
        <f t="shared" si="104"/>
        <v>0.33759597434228622</v>
      </c>
      <c r="CZ18">
        <f t="shared" si="105"/>
        <v>0.33980124218295799</v>
      </c>
      <c r="DA18">
        <f t="shared" si="106"/>
        <v>0.34214264105293624</v>
      </c>
      <c r="DB18">
        <f t="shared" si="107"/>
        <v>0.34462041484514677</v>
      </c>
      <c r="DC18">
        <f t="shared" si="108"/>
        <v>0.3472347980411758</v>
      </c>
      <c r="DD18">
        <f t="shared" si="109"/>
        <v>0.3499860151112405</v>
      </c>
      <c r="DE18">
        <f t="shared" si="110"/>
        <v>0.35287427990752002</v>
      </c>
      <c r="DF18">
        <f t="shared" si="111"/>
        <v>0.35589979505306402</v>
      </c>
      <c r="DG18">
        <f t="shared" si="112"/>
        <v>0.35906275132841287</v>
      </c>
      <c r="DH18">
        <f t="shared" si="113"/>
        <v>0.36236332705797841</v>
      </c>
      <c r="DI18">
        <f t="shared" si="114"/>
        <v>0.36580168749814729</v>
      </c>
      <c r="DJ18">
        <f t="shared" si="115"/>
        <v>0.36937798422897927</v>
      </c>
      <c r="DK18">
        <f t="shared" si="116"/>
        <v>0.37309235455128459</v>
      </c>
      <c r="DL18">
        <f t="shared" si="117"/>
        <v>0.37694492089077297</v>
      </c>
      <c r="DM18">
        <f t="shared" si="118"/>
        <v>0.38093579021087653</v>
      </c>
      <c r="DN18">
        <f t="shared" si="119"/>
        <v>0.38506505343575903</v>
      </c>
      <c r="DO18">
        <f t="shared" si="120"/>
        <v>0.38933278488493267</v>
      </c>
      <c r="DP18">
        <f t="shared" si="121"/>
        <v>0.39373904172081481</v>
      </c>
      <c r="DQ18">
        <f t="shared" si="122"/>
        <v>0.39828386341046873</v>
      </c>
      <c r="DR18">
        <f t="shared" si="123"/>
        <v>0.40296727120268405</v>
      </c>
      <c r="DS18">
        <f t="shared" si="124"/>
        <v>0.40778926762146783</v>
      </c>
      <c r="DT18">
        <f t="shared" si="125"/>
        <v>0.41274983597693166</v>
      </c>
      <c r="DU18">
        <f t="shared" si="126"/>
        <v>0.41784893989447813</v>
      </c>
      <c r="DV18">
        <f t="shared" si="127"/>
        <v>0.42308652286310866</v>
      </c>
      <c r="DW18">
        <f t="shared" si="128"/>
        <v>0.4284625078035964</v>
      </c>
      <c r="DX18">
        <f t="shared" si="129"/>
        <v>0.43397679665719069</v>
      </c>
      <c r="DY18">
        <f t="shared" si="130"/>
        <v>0.43962926999544472</v>
      </c>
      <c r="DZ18">
        <f t="shared" si="131"/>
        <v>0.44541978665168735</v>
      </c>
      <c r="EA18">
        <f t="shared" si="132"/>
        <v>0.45134818337458771</v>
      </c>
      <c r="EB18">
        <f t="shared" si="133"/>
        <v>0.45741427450419631</v>
      </c>
      <c r="EC18">
        <f t="shared" si="134"/>
        <v>0.46361785167077962</v>
      </c>
      <c r="ED18">
        <f t="shared" si="135"/>
        <v>0.46995868351670333</v>
      </c>
      <c r="EE18">
        <f t="shared" si="136"/>
        <v>0.47643651544155918</v>
      </c>
      <c r="EF18">
        <f t="shared" si="137"/>
        <v>0.48298105899853971</v>
      </c>
      <c r="EG18">
        <f t="shared" si="138"/>
        <v>0.48944379576105795</v>
      </c>
      <c r="EH18">
        <f t="shared" si="139"/>
        <v>0.49582574831404475</v>
      </c>
      <c r="EI18">
        <f t="shared" si="140"/>
        <v>0.50212792646011917</v>
      </c>
      <c r="EJ18">
        <f t="shared" si="141"/>
        <v>0.50835132737936772</v>
      </c>
      <c r="EK18">
        <f t="shared" si="142"/>
        <v>0.51449693578712563</v>
      </c>
      <c r="EL18">
        <f t="shared" si="143"/>
        <v>0.52056572408978652</v>
      </c>
      <c r="EM18">
        <f t="shared" si="144"/>
        <v>0.52655865253866418</v>
      </c>
      <c r="EN18">
        <f t="shared" si="145"/>
        <v>0.53247666938193083</v>
      </c>
      <c r="EO18">
        <f t="shared" si="146"/>
        <v>0.53832071101465673</v>
      </c>
      <c r="EP18">
        <f t="shared" si="147"/>
        <v>0.54409170212697355</v>
      </c>
      <c r="EQ18">
        <f t="shared" si="148"/>
        <v>0.54979055585038639</v>
      </c>
      <c r="ER18">
        <f t="shared" si="149"/>
        <v>0.55541817390225656</v>
      </c>
      <c r="ES18">
        <f t="shared" si="150"/>
        <v>0.56097544672847832</v>
      </c>
      <c r="ET18">
        <f t="shared" si="151"/>
        <v>0.56646325364437233</v>
      </c>
      <c r="EU18">
        <f t="shared" si="152"/>
        <v>0.57188246297381773</v>
      </c>
      <c r="EV18">
        <f t="shared" si="153"/>
        <v>0.57723393218664498</v>
      </c>
      <c r="EW18">
        <f t="shared" si="154"/>
        <v>0.58251850803431193</v>
      </c>
      <c r="EX18">
        <f t="shared" si="155"/>
        <v>0.58773702668388306</v>
      </c>
      <c r="EY18">
        <f t="shared" si="156"/>
        <v>0.59289031385033453</v>
      </c>
      <c r="EZ18">
        <f t="shared" si="157"/>
        <v>0.59797918492720536</v>
      </c>
      <c r="FA18">
        <f t="shared" si="158"/>
        <v>0.60300444511561535</v>
      </c>
      <c r="FB18">
        <f t="shared" si="159"/>
        <v>0.60796688955167011</v>
      </c>
      <c r="FC18">
        <f t="shared" si="160"/>
        <v>0.61286730343227425</v>
      </c>
      <c r="FD18">
        <f t="shared" si="161"/>
        <v>0.61770646213937086</v>
      </c>
      <c r="FE18">
        <f t="shared" si="162"/>
        <v>0.62248513136262873</v>
      </c>
      <c r="FF18">
        <f t="shared" si="163"/>
        <v>0.62720406722059585</v>
      </c>
      <c r="FG18">
        <f t="shared" si="164"/>
        <v>0.6318640163803384</v>
      </c>
      <c r="FH18">
        <f t="shared" si="165"/>
        <v>0.63646571617558412</v>
      </c>
      <c r="FI18">
        <f t="shared" si="166"/>
        <v>0.64100989472338932</v>
      </c>
      <c r="FJ18">
        <f t="shared" si="167"/>
        <v>0.64549727103934695</v>
      </c>
      <c r="FK18">
        <f t="shared" si="168"/>
        <v>0.64992855515135517</v>
      </c>
      <c r="FL18">
        <f t="shared" si="169"/>
        <v>0.65430444821196321</v>
      </c>
      <c r="FM18">
        <f t="shared" si="170"/>
        <v>0.65862564260931367</v>
      </c>
      <c r="FN18">
        <f t="shared" si="171"/>
        <v>0.6628928220766972</v>
      </c>
      <c r="FO18">
        <f t="shared" si="172"/>
        <v>0.66710666180073852</v>
      </c>
      <c r="FP18">
        <f t="shared" si="173"/>
        <v>0.6712678285282293</v>
      </c>
      <c r="FQ18">
        <f t="shared" si="174"/>
        <v>0.67537698067162644</v>
      </c>
      <c r="FR18">
        <f t="shared" si="175"/>
        <v>0.67943476841323114</v>
      </c>
      <c r="FS18">
        <f t="shared" si="176"/>
        <v>0.68344183380806578</v>
      </c>
      <c r="FT18">
        <f t="shared" si="177"/>
        <v>0.68739881088546495</v>
      </c>
      <c r="FU18">
        <f t="shared" si="178"/>
        <v>0.69130632574939666</v>
      </c>
      <c r="FV18">
        <f t="shared" si="179"/>
        <v>0.69516499667752918</v>
      </c>
      <c r="FW18">
        <f t="shared" si="180"/>
        <v>0.69897543421906005</v>
      </c>
      <c r="FX18">
        <f t="shared" si="181"/>
        <v>0.70273824129132179</v>
      </c>
      <c r="FY18">
        <f t="shared" si="182"/>
        <v>0.70645401327518031</v>
      </c>
      <c r="FZ18">
        <f t="shared" si="183"/>
        <v>0.71012333810924055</v>
      </c>
      <c r="GA18">
        <f t="shared" si="184"/>
        <v>0.71374679638287508</v>
      </c>
      <c r="GB18">
        <f t="shared" si="185"/>
        <v>0.7173249614280891</v>
      </c>
      <c r="GC18">
        <f t="shared" si="186"/>
        <v>0.72085839941023799</v>
      </c>
      <c r="GD18">
        <f t="shared" si="187"/>
        <v>0.72434766941760997</v>
      </c>
      <c r="GE18">
        <f t="shared" si="188"/>
        <v>0.7277933235498899</v>
      </c>
      <c r="GF18">
        <f t="shared" si="189"/>
        <v>0.73119590700551629</v>
      </c>
      <c r="GG18">
        <f t="shared" si="190"/>
        <v>0.73455595816794739</v>
      </c>
      <c r="GH18">
        <f t="shared" si="191"/>
        <v>0.73787400869084807</v>
      </c>
      <c r="GI18">
        <f t="shared" si="192"/>
        <v>0.74115058358221242</v>
      </c>
      <c r="GJ18">
        <f t="shared" si="193"/>
        <v>0.74438620128743471</v>
      </c>
      <c r="GK18">
        <f t="shared" si="194"/>
        <v>0.74758137377134182</v>
      </c>
      <c r="GL18">
        <f t="shared" si="195"/>
        <v>0.75073660659920005</v>
      </c>
      <c r="GM18">
        <f t="shared" si="196"/>
        <v>0.75385239901671008</v>
      </c>
      <c r="GN18">
        <f t="shared" si="197"/>
        <v>0.75692924402900119</v>
      </c>
      <c r="GO18">
        <f t="shared" si="198"/>
        <v>0.75996762847863863</v>
      </c>
      <c r="GP18">
        <f t="shared" si="199"/>
        <v>0.7629680331226556</v>
      </c>
      <c r="GQ18">
        <f t="shared" si="200"/>
        <v>0.76593093270862245</v>
      </c>
      <c r="GR18">
        <f t="shared" si="201"/>
        <v>0.76885679604976465</v>
      </c>
      <c r="GS18">
        <f t="shared" si="202"/>
        <v>0.77174608609914264</v>
      </c>
      <c r="GT18">
        <f t="shared" si="203"/>
        <v>0.77459926002290336</v>
      </c>
      <c r="GU18">
        <f t="shared" si="204"/>
        <v>0.77741676927261705</v>
      </c>
      <c r="GV18">
        <f t="shared" si="205"/>
        <v>0.78019905965670933</v>
      </c>
      <c r="GW18">
        <f t="shared" si="206"/>
        <v>0.78294657141100044</v>
      </c>
      <c r="GX18">
        <f t="shared" si="207"/>
        <v>0.78565973926836297</v>
      </c>
      <c r="GY18">
        <f t="shared" si="208"/>
        <v>0.78833899252750839</v>
      </c>
      <c r="GZ18">
        <f t="shared" si="209"/>
        <v>0.79098475512091448</v>
      </c>
      <c r="HA18">
        <f t="shared" si="210"/>
        <v>0.79359744568190305</v>
      </c>
      <c r="HB18">
        <f t="shared" si="211"/>
        <v>0.7961774776108792</v>
      </c>
      <c r="HC18">
        <f t="shared" si="212"/>
        <v>0.79872525914074322</v>
      </c>
      <c r="HD18">
        <f t="shared" si="213"/>
        <v>0.80124119340148392</v>
      </c>
      <c r="HE18">
        <f t="shared" si="214"/>
        <v>0.80372567848396537</v>
      </c>
      <c r="HF18">
        <f t="shared" si="215"/>
        <v>0.80617910750291577</v>
      </c>
      <c r="HG18">
        <f t="shared" si="216"/>
        <v>0.80860186865912931</v>
      </c>
      <c r="HH18">
        <f t="shared" si="217"/>
        <v>0.81099434530089021</v>
      </c>
      <c r="HI18">
        <f t="shared" si="218"/>
        <v>0.81335691598462911</v>
      </c>
      <c r="HJ18">
        <f t="shared" si="219"/>
        <v>0.81568995453482129</v>
      </c>
      <c r="HK18">
        <f t="shared" si="220"/>
        <v>0.81799383010313598</v>
      </c>
      <c r="HL18">
        <f t="shared" si="221"/>
        <v>0.82026890722684676</v>
      </c>
      <c r="HM18">
        <f t="shared" si="222"/>
        <v>0.82251554588651121</v>
      </c>
      <c r="HN18">
        <f t="shared" si="223"/>
        <v>0.82473410156292981</v>
      </c>
      <c r="HO18">
        <f t="shared" si="224"/>
        <v>0.82692492529339323</v>
      </c>
      <c r="HP18">
        <f t="shared" si="225"/>
        <v>0.82908836372722583</v>
      </c>
      <c r="HQ18">
        <f t="shared" si="226"/>
        <v>0.83122475918063554</v>
      </c>
      <c r="HR18">
        <f t="shared" si="227"/>
        <v>0.83333444969087755</v>
      </c>
      <c r="HS18">
        <f t="shared" si="228"/>
        <v>0.83541776906974163</v>
      </c>
      <c r="HT18">
        <f t="shared" si="229"/>
        <v>0.83747504695636987</v>
      </c>
      <c r="HU18">
        <f t="shared" si="230"/>
        <v>0.83950660886941519</v>
      </c>
      <c r="HV18">
        <f t="shared" si="231"/>
        <v>0.84151277625854748</v>
      </c>
      <c r="HW18">
        <f t="shared" si="232"/>
        <v>0.84349386655531566</v>
      </c>
      <c r="HX18">
        <f t="shared" si="233"/>
        <v>0.84545019322337422</v>
      </c>
      <c r="HY18">
        <f t="shared" si="234"/>
        <v>0.84738206580808206</v>
      </c>
      <c r="HZ18">
        <f t="shared" si="235"/>
        <v>0.84928978998548099</v>
      </c>
      <c r="IA18">
        <f t="shared" si="236"/>
        <v>0.85117366761066249</v>
      </c>
      <c r="IB18">
        <f t="shared" si="237"/>
        <v>0.85303399676552916</v>
      </c>
      <c r="IC18">
        <f t="shared" si="238"/>
        <v>0.85487107180596</v>
      </c>
      <c r="ID18">
        <f t="shared" si="239"/>
        <v>0.85668518340838551</v>
      </c>
      <c r="IE18">
        <f t="shared" si="240"/>
        <v>0.85847661861578073</v>
      </c>
      <c r="IF18">
        <f t="shared" si="241"/>
        <v>0.86024566088308352</v>
      </c>
      <c r="IG18">
        <f t="shared" si="242"/>
        <v>0.86199259012204499</v>
      </c>
      <c r="IH18">
        <f t="shared" si="243"/>
        <v>0.86371768274551941</v>
      </c>
      <c r="II18">
        <f t="shared" si="244"/>
        <v>0.86542121171120046</v>
      </c>
      <c r="IJ18">
        <f t="shared" si="245"/>
        <v>0.86710344656481042</v>
      </c>
      <c r="IK18">
        <f t="shared" si="246"/>
        <v>0.86876465348275034</v>
      </c>
      <c r="IL18">
        <f t="shared" si="247"/>
        <v>0.87040509531421595</v>
      </c>
      <c r="IM18">
        <f t="shared" si="248"/>
        <v>0.87202503162278822</v>
      </c>
      <c r="IN18">
        <f t="shared" si="249"/>
        <v>0.87362471872750336</v>
      </c>
      <c r="IO18">
        <f t="shared" si="250"/>
        <v>0.87520440974340952</v>
      </c>
      <c r="IP18">
        <f t="shared" si="251"/>
        <v>0.87676435462161695</v>
      </c>
      <c r="IQ18">
        <f t="shared" si="252"/>
        <v>0.87830480018884671</v>
      </c>
      <c r="IR18">
        <f t="shared" si="253"/>
        <v>0.87982599018648611</v>
      </c>
      <c r="IS18">
        <f t="shared" si="254"/>
        <v>0.88132816530915503</v>
      </c>
      <c r="IT18">
        <f t="shared" si="255"/>
        <v>0.88281156324279064</v>
      </c>
      <c r="IU18">
        <f t="shared" si="256"/>
        <v>0.88427641870225571</v>
      </c>
      <c r="IV18">
        <f t="shared" si="257"/>
        <v>0.88572296346847756</v>
      </c>
    </row>
    <row r="19" spans="1:256" x14ac:dyDescent="0.2">
      <c r="A19" t="s">
        <v>489</v>
      </c>
      <c r="B19">
        <f>$B$121</f>
        <v>0.50487140655517582</v>
      </c>
      <c r="C19">
        <f t="shared" si="4"/>
        <v>0.50423533240245799</v>
      </c>
      <c r="D19">
        <f t="shared" si="5"/>
        <v>0.50360720917664914</v>
      </c>
      <c r="E19">
        <f t="shared" si="6"/>
        <v>0.50298693749116286</v>
      </c>
      <c r="F19">
        <f t="shared" si="7"/>
        <v>0.50237441920174519</v>
      </c>
      <c r="G19">
        <f t="shared" si="8"/>
        <v>0.5017695573909452</v>
      </c>
      <c r="H19">
        <f t="shared" si="9"/>
        <v>0.50117225635278029</v>
      </c>
      <c r="I19">
        <f t="shared" si="10"/>
        <v>0.50058242157759236</v>
      </c>
      <c r="J19">
        <f t="shared" si="11"/>
        <v>0.49999995973709432</v>
      </c>
      <c r="K19">
        <f t="shared" si="12"/>
        <v>0.4999999556100711</v>
      </c>
      <c r="L19">
        <f t="shared" si="13"/>
        <v>0.49999995153463567</v>
      </c>
      <c r="M19">
        <f t="shared" si="14"/>
        <v>0.49999994751014321</v>
      </c>
      <c r="N19">
        <f t="shared" si="15"/>
        <v>0.49999994353595689</v>
      </c>
      <c r="O19">
        <f t="shared" si="16"/>
        <v>0.4999999396114479</v>
      </c>
      <c r="P19">
        <f t="shared" si="17"/>
        <v>0.49999993573599527</v>
      </c>
      <c r="Q19">
        <f t="shared" si="18"/>
        <v>0.49999993190898584</v>
      </c>
      <c r="R19">
        <f t="shared" si="19"/>
        <v>0.49999992812981398</v>
      </c>
      <c r="S19">
        <f t="shared" si="20"/>
        <v>0.49999992640019392</v>
      </c>
      <c r="T19">
        <f t="shared" si="21"/>
        <v>0.49999992469219406</v>
      </c>
      <c r="U19">
        <f t="shared" si="22"/>
        <v>0.49999992300554424</v>
      </c>
      <c r="V19">
        <f t="shared" si="23"/>
        <v>0.49999992133997756</v>
      </c>
      <c r="W19">
        <f t="shared" si="24"/>
        <v>0.49999991969523044</v>
      </c>
      <c r="X19">
        <f t="shared" si="25"/>
        <v>0.49999991807104266</v>
      </c>
      <c r="Y19">
        <f t="shared" si="26"/>
        <v>0.49999991646715719</v>
      </c>
      <c r="Z19">
        <f t="shared" si="27"/>
        <v>0.4999999148833203</v>
      </c>
      <c r="AA19">
        <f t="shared" si="28"/>
        <v>0.49499991594727877</v>
      </c>
      <c r="AB19">
        <f t="shared" si="29"/>
        <v>0.49006241699793779</v>
      </c>
      <c r="AC19">
        <f t="shared" si="30"/>
        <v>0.48518663678546359</v>
      </c>
      <c r="AD19">
        <f t="shared" si="31"/>
        <v>0.48037180382564532</v>
      </c>
      <c r="AE19">
        <f t="shared" si="32"/>
        <v>0.47561715627782475</v>
      </c>
      <c r="AF19">
        <f t="shared" si="33"/>
        <v>0.47092194182435193</v>
      </c>
      <c r="AG19">
        <f t="shared" si="34"/>
        <v>0.46628541755154751</v>
      </c>
      <c r="AH19">
        <f t="shared" si="35"/>
        <v>0.46170684983215315</v>
      </c>
      <c r="AI19">
        <f t="shared" si="36"/>
        <v>0.46240284704921708</v>
      </c>
      <c r="AJ19">
        <f t="shared" si="37"/>
        <v>0.46309014430106771</v>
      </c>
      <c r="AK19">
        <f t="shared" si="38"/>
        <v>0.46376885033727017</v>
      </c>
      <c r="AL19">
        <f t="shared" si="39"/>
        <v>0.46443907254802008</v>
      </c>
      <c r="AM19">
        <f t="shared" si="40"/>
        <v>0.46510091698113565</v>
      </c>
      <c r="AN19">
        <f t="shared" si="41"/>
        <v>0.46575448835883726</v>
      </c>
      <c r="AO19">
        <f t="shared" si="42"/>
        <v>0.46639989009431759</v>
      </c>
      <c r="AP19">
        <f t="shared" si="43"/>
        <v>0.46703722430810446</v>
      </c>
      <c r="AQ19">
        <f t="shared" si="44"/>
        <v>0.46244925900425315</v>
      </c>
      <c r="AR19">
        <f t="shared" si="45"/>
        <v>0.45791864326670001</v>
      </c>
      <c r="AS19">
        <f t="shared" si="46"/>
        <v>0.45344466022586627</v>
      </c>
      <c r="AT19">
        <f t="shared" si="47"/>
        <v>0.44902660197304295</v>
      </c>
      <c r="AU19">
        <f t="shared" si="48"/>
        <v>0.44466376944837993</v>
      </c>
      <c r="AV19">
        <f t="shared" si="49"/>
        <v>0.44035547233027517</v>
      </c>
      <c r="AW19">
        <f t="shared" si="50"/>
        <v>0.43610102892614672</v>
      </c>
      <c r="AX19">
        <f t="shared" si="51"/>
        <v>0.43189976606456987</v>
      </c>
      <c r="AY19">
        <f t="shared" si="52"/>
        <v>0.42775101898876272</v>
      </c>
      <c r="AZ19">
        <f t="shared" si="53"/>
        <v>0.42365413125140317</v>
      </c>
      <c r="BA19">
        <f t="shared" si="54"/>
        <v>0.41960845461076063</v>
      </c>
      <c r="BB19">
        <f t="shared" si="55"/>
        <v>0.41561334892812613</v>
      </c>
      <c r="BC19">
        <f t="shared" si="56"/>
        <v>0.41166818206652456</v>
      </c>
      <c r="BD19">
        <f t="shared" si="57"/>
        <v>0.407772329790693</v>
      </c>
      <c r="BE19">
        <f t="shared" si="58"/>
        <v>0.40392517566830932</v>
      </c>
      <c r="BF19">
        <f t="shared" si="59"/>
        <v>0.40012611097245543</v>
      </c>
      <c r="BG19">
        <f t="shared" si="60"/>
        <v>0.39637453458529975</v>
      </c>
      <c r="BH19">
        <f t="shared" si="61"/>
        <v>0.39266985290298351</v>
      </c>
      <c r="BI19">
        <f t="shared" si="62"/>
        <v>0.3890114797416962</v>
      </c>
      <c r="BJ19">
        <f t="shared" si="63"/>
        <v>0.38539883624492499</v>
      </c>
      <c r="BK19">
        <f t="shared" si="64"/>
        <v>0.38183135079186342</v>
      </c>
      <c r="BL19">
        <f t="shared" si="65"/>
        <v>0.37830845890696513</v>
      </c>
      <c r="BM19">
        <f t="shared" si="66"/>
        <v>0.37482960317062808</v>
      </c>
      <c r="BN19">
        <f t="shared" si="67"/>
        <v>0.37139423313099523</v>
      </c>
      <c r="BO19">
        <f t="shared" si="68"/>
        <v>0.36800180521685777</v>
      </c>
      <c r="BP19">
        <f t="shared" si="69"/>
        <v>0.36465178265164705</v>
      </c>
      <c r="BQ19">
        <f t="shared" si="70"/>
        <v>0.36134363536850145</v>
      </c>
      <c r="BR19">
        <f t="shared" si="71"/>
        <v>0.35807683992639516</v>
      </c>
      <c r="BS19">
        <f t="shared" si="72"/>
        <v>0.35485087942731525</v>
      </c>
      <c r="BT19">
        <f t="shared" si="73"/>
        <v>0.35166524343447381</v>
      </c>
      <c r="BU19">
        <f t="shared" si="74"/>
        <v>0.34851942789154289</v>
      </c>
      <c r="BV19">
        <f t="shared" si="75"/>
        <v>0.34541293504289861</v>
      </c>
      <c r="BW19">
        <f t="shared" si="76"/>
        <v>0.34234527335486237</v>
      </c>
      <c r="BX19">
        <f t="shared" si="77"/>
        <v>0.33931595743792659</v>
      </c>
      <c r="BY19">
        <f t="shared" si="78"/>
        <v>0.3363245079699525</v>
      </c>
      <c r="BZ19">
        <f t="shared" si="79"/>
        <v>0.33337045162032808</v>
      </c>
      <c r="CA19">
        <f t="shared" si="80"/>
        <v>0.33045332097507396</v>
      </c>
      <c r="CB19">
        <f t="shared" si="81"/>
        <v>0.32757265446288553</v>
      </c>
      <c r="CC19">
        <f t="shared" si="82"/>
        <v>0.32472799628209947</v>
      </c>
      <c r="CD19">
        <f t="shared" si="83"/>
        <v>0.32191889632857323</v>
      </c>
      <c r="CE19">
        <f t="shared" si="84"/>
        <v>0.31914491012446605</v>
      </c>
      <c r="CF19">
        <f t="shared" si="85"/>
        <v>0.31640559874791024</v>
      </c>
      <c r="CG19">
        <f t="shared" si="86"/>
        <v>0.31370052876356136</v>
      </c>
      <c r="CH19">
        <f t="shared" si="87"/>
        <v>0.31102927215401682</v>
      </c>
      <c r="CI19">
        <f t="shared" si="88"/>
        <v>0.3083914062520916</v>
      </c>
      <c r="CJ19">
        <f t="shared" si="89"/>
        <v>0.30578651367394044</v>
      </c>
      <c r="CK19">
        <f t="shared" si="90"/>
        <v>0.30321418225301616</v>
      </c>
      <c r="CL19">
        <f t="shared" si="91"/>
        <v>0.30067400497485347</v>
      </c>
      <c r="CM19">
        <f t="shared" si="92"/>
        <v>0.29816557991266779</v>
      </c>
      <c r="CN19">
        <f t="shared" si="93"/>
        <v>0.29568851016375947</v>
      </c>
      <c r="CO19">
        <f t="shared" si="94"/>
        <v>0.29324240378671246</v>
      </c>
      <c r="CP19">
        <f t="shared" si="95"/>
        <v>0.29082687373937854</v>
      </c>
      <c r="CQ19">
        <f t="shared" si="96"/>
        <v>0.28844153781763632</v>
      </c>
      <c r="CR19">
        <f t="shared" si="97"/>
        <v>0.28608601859491589</v>
      </c>
      <c r="CS19">
        <f t="shared" si="98"/>
        <v>0.28375994336247945</v>
      </c>
      <c r="CT19">
        <f t="shared" si="99"/>
        <v>0.28146294407044847</v>
      </c>
      <c r="CU19">
        <f t="shared" si="100"/>
        <v>0.27919465726956788</v>
      </c>
      <c r="CV19">
        <f t="shared" si="101"/>
        <v>0.27695472405369831</v>
      </c>
      <c r="CW19">
        <f t="shared" si="102"/>
        <v>0.27474279000302709</v>
      </c>
      <c r="CX19">
        <f t="shared" si="103"/>
        <v>0.27255850512798924</v>
      </c>
      <c r="CY19">
        <f t="shared" si="104"/>
        <v>0.27040152381388938</v>
      </c>
      <c r="CZ19">
        <f t="shared" si="105"/>
        <v>0.26827150476621575</v>
      </c>
      <c r="DA19">
        <f t="shared" si="106"/>
        <v>0.26616811095663806</v>
      </c>
      <c r="DB19">
        <f t="shared" si="107"/>
        <v>0.26409100956968007</v>
      </c>
      <c r="DC19">
        <f t="shared" si="108"/>
        <v>0.26203987195005907</v>
      </c>
      <c r="DD19">
        <f t="shared" si="109"/>
        <v>0.26001437355068335</v>
      </c>
      <c r="DE19">
        <f t="shared" si="110"/>
        <v>0.25801419388129981</v>
      </c>
      <c r="DF19">
        <f t="shared" si="111"/>
        <v>0.25603901645778354</v>
      </c>
      <c r="DG19">
        <f t="shared" si="112"/>
        <v>0.25408852875206123</v>
      </c>
      <c r="DH19">
        <f t="shared" si="113"/>
        <v>0.25216242214266044</v>
      </c>
      <c r="DI19">
        <f t="shared" si="114"/>
        <v>0.25026039186587717</v>
      </c>
      <c r="DJ19">
        <f t="shared" si="115"/>
        <v>0.24838213696755371</v>
      </c>
      <c r="DK19">
        <f t="shared" si="116"/>
        <v>0.24652736025545929</v>
      </c>
      <c r="DL19">
        <f t="shared" si="117"/>
        <v>0.24469576825226605</v>
      </c>
      <c r="DM19">
        <f t="shared" si="118"/>
        <v>0.24288707114911273</v>
      </c>
      <c r="DN19">
        <f t="shared" si="119"/>
        <v>0.24110098275974881</v>
      </c>
      <c r="DO19">
        <f t="shared" si="120"/>
        <v>0.23933722047525194</v>
      </c>
      <c r="DP19">
        <f t="shared" si="121"/>
        <v>0.23759550521931128</v>
      </c>
      <c r="DQ19">
        <f t="shared" si="122"/>
        <v>0.23587556140406987</v>
      </c>
      <c r="DR19">
        <f t="shared" si="123"/>
        <v>0.23417711688651899</v>
      </c>
      <c r="DS19">
        <f t="shared" si="124"/>
        <v>0.23249990292543751</v>
      </c>
      <c r="DT19">
        <f t="shared" si="125"/>
        <v>0.23084365413886954</v>
      </c>
      <c r="DU19">
        <f t="shared" si="126"/>
        <v>0.22920810846213366</v>
      </c>
      <c r="DV19">
        <f t="shared" si="127"/>
        <v>0.22759300710635699</v>
      </c>
      <c r="DW19">
        <f t="shared" si="128"/>
        <v>0.22599809451752753</v>
      </c>
      <c r="DX19">
        <f t="shared" si="129"/>
        <v>0.22442311833605844</v>
      </c>
      <c r="DY19">
        <f t="shared" si="130"/>
        <v>0.2228678293568577</v>
      </c>
      <c r="DZ19">
        <f t="shared" si="131"/>
        <v>0.22133198148989697</v>
      </c>
      <c r="EA19">
        <f t="shared" si="132"/>
        <v>0.21981533172127327</v>
      </c>
      <c r="EB19">
        <f t="shared" si="133"/>
        <v>0.21831764007475735</v>
      </c>
      <c r="EC19">
        <f t="shared" si="134"/>
        <v>0.21683866957382289</v>
      </c>
      <c r="ED19">
        <f t="shared" si="135"/>
        <v>0.21537818620415011</v>
      </c>
      <c r="EE19">
        <f t="shared" si="136"/>
        <v>0.21393595887659825</v>
      </c>
      <c r="EF19">
        <f t="shared" si="137"/>
        <v>0.21251175939064076</v>
      </c>
      <c r="EG19">
        <f t="shared" si="138"/>
        <v>0.21110536239825775</v>
      </c>
      <c r="EH19">
        <f t="shared" si="139"/>
        <v>0.20971654536827952</v>
      </c>
      <c r="EI19">
        <f t="shared" si="140"/>
        <v>0.20834508855117603</v>
      </c>
      <c r="EJ19">
        <f t="shared" si="141"/>
        <v>0.20699077494428633</v>
      </c>
      <c r="EK19">
        <f t="shared" si="142"/>
        <v>0.20565339025748275</v>
      </c>
      <c r="EL19">
        <f t="shared" si="143"/>
        <v>0.20433272287926421</v>
      </c>
      <c r="EM19">
        <f t="shared" si="144"/>
        <v>0.20302856384327342</v>
      </c>
      <c r="EN19">
        <f t="shared" si="145"/>
        <v>0.20174070679523251</v>
      </c>
      <c r="EO19">
        <f t="shared" si="146"/>
        <v>0.2004689479602921</v>
      </c>
      <c r="EP19">
        <f t="shared" si="147"/>
        <v>0.19921308611078845</v>
      </c>
      <c r="EQ19">
        <f t="shared" si="148"/>
        <v>0.1979729225344036</v>
      </c>
      <c r="ER19">
        <f t="shared" si="149"/>
        <v>0.19674826100272355</v>
      </c>
      <c r="ES19">
        <f t="shared" si="150"/>
        <v>0.1955389077401895</v>
      </c>
      <c r="ET19">
        <f t="shared" si="151"/>
        <v>0.19434467139343714</v>
      </c>
      <c r="EU19">
        <f t="shared" si="152"/>
        <v>0.19316536300101916</v>
      </c>
      <c r="EV19">
        <f t="shared" si="153"/>
        <v>0.19200079596350642</v>
      </c>
      <c r="EW19">
        <f t="shared" si="154"/>
        <v>0.19085078601396258</v>
      </c>
      <c r="EX19">
        <f t="shared" si="155"/>
        <v>0.18971515118878804</v>
      </c>
      <c r="EY19">
        <f t="shared" si="156"/>
        <v>0.1885937117989282</v>
      </c>
      <c r="EZ19">
        <f t="shared" si="157"/>
        <v>0.1874862904014416</v>
      </c>
      <c r="FA19">
        <f t="shared" si="158"/>
        <v>0.18639271177142358</v>
      </c>
      <c r="FB19">
        <f t="shared" si="159"/>
        <v>0.18531280287428079</v>
      </c>
      <c r="FC19">
        <f t="shared" si="160"/>
        <v>0.18424639283835229</v>
      </c>
      <c r="FD19">
        <f t="shared" si="161"/>
        <v>0.18319331292787289</v>
      </c>
      <c r="FE19">
        <f t="shared" si="162"/>
        <v>0.18215339651627446</v>
      </c>
      <c r="FF19">
        <f t="shared" si="163"/>
        <v>0.18112647905982104</v>
      </c>
      <c r="FG19">
        <f t="shared" si="164"/>
        <v>0.18011239807157328</v>
      </c>
      <c r="FH19">
        <f t="shared" si="165"/>
        <v>0.17911099309567863</v>
      </c>
      <c r="FI19">
        <f t="shared" si="166"/>
        <v>0.17812210568198264</v>
      </c>
      <c r="FJ19">
        <f t="shared" si="167"/>
        <v>0.17714557936095784</v>
      </c>
      <c r="FK19">
        <f t="shared" si="168"/>
        <v>0.17618125961894587</v>
      </c>
      <c r="FL19">
        <f t="shared" si="169"/>
        <v>0.17522899387370905</v>
      </c>
      <c r="FM19">
        <f t="shared" si="170"/>
        <v>0.1742886314502877</v>
      </c>
      <c r="FN19">
        <f t="shared" si="171"/>
        <v>0.1733600235571591</v>
      </c>
      <c r="FO19">
        <f t="shared" si="172"/>
        <v>0.17244302326269462</v>
      </c>
      <c r="FP19">
        <f t="shared" si="173"/>
        <v>0.17153748547191094</v>
      </c>
      <c r="FQ19">
        <f t="shared" si="174"/>
        <v>0.17064326690351206</v>
      </c>
      <c r="FR19">
        <f t="shared" si="175"/>
        <v>0.16976022606721816</v>
      </c>
      <c r="FS19">
        <f t="shared" si="176"/>
        <v>0.16888822324137792</v>
      </c>
      <c r="FT19">
        <f t="shared" si="177"/>
        <v>0.16802712045086068</v>
      </c>
      <c r="FU19">
        <f t="shared" si="178"/>
        <v>0.16717678144522494</v>
      </c>
      <c r="FV19">
        <f t="shared" si="179"/>
        <v>0.16633707167715964</v>
      </c>
      <c r="FW19">
        <f t="shared" si="180"/>
        <v>0.16550785828119513</v>
      </c>
      <c r="FX19">
        <f t="shared" si="181"/>
        <v>0.16468901005268019</v>
      </c>
      <c r="FY19">
        <f t="shared" si="182"/>
        <v>0.16388039742702168</v>
      </c>
      <c r="FZ19">
        <f t="shared" si="183"/>
        <v>0.16308189245918392</v>
      </c>
      <c r="GA19">
        <f t="shared" si="184"/>
        <v>0.16229336880344411</v>
      </c>
      <c r="GB19">
        <f t="shared" si="185"/>
        <v>0.16151470169340107</v>
      </c>
      <c r="GC19">
        <f t="shared" si="186"/>
        <v>0.16074576792223355</v>
      </c>
      <c r="GD19">
        <f t="shared" si="187"/>
        <v>0.15998644582320562</v>
      </c>
      <c r="GE19">
        <f t="shared" si="188"/>
        <v>0.15923661525041555</v>
      </c>
      <c r="GF19">
        <f t="shared" si="189"/>
        <v>0.15849615755978536</v>
      </c>
      <c r="GG19">
        <f t="shared" si="190"/>
        <v>0.15776495559028803</v>
      </c>
      <c r="GH19">
        <f t="shared" si="191"/>
        <v>0.15704289364540944</v>
      </c>
      <c r="GI19">
        <f t="shared" si="192"/>
        <v>0.15632985747484182</v>
      </c>
      <c r="GJ19">
        <f t="shared" si="193"/>
        <v>0.1556257342564063</v>
      </c>
      <c r="GK19">
        <f t="shared" si="194"/>
        <v>0.15493041257820123</v>
      </c>
      <c r="GL19">
        <f t="shared" si="195"/>
        <v>0.15424378242097372</v>
      </c>
      <c r="GM19">
        <f t="shared" si="196"/>
        <v>0.15356573514071156</v>
      </c>
      <c r="GN19">
        <f t="shared" si="197"/>
        <v>0.15289616345145265</v>
      </c>
      <c r="GO19">
        <f t="shared" si="198"/>
        <v>0.1522349614083095</v>
      </c>
      <c r="GP19">
        <f t="shared" si="199"/>
        <v>0.15158202439070564</v>
      </c>
      <c r="GQ19">
        <f t="shared" si="200"/>
        <v>0.15093724908582182</v>
      </c>
      <c r="GR19">
        <f t="shared" si="201"/>
        <v>0.15030053347224903</v>
      </c>
      <c r="GS19">
        <f t="shared" si="202"/>
        <v>0.14967177680384591</v>
      </c>
      <c r="GT19">
        <f t="shared" si="203"/>
        <v>0.14905087959379784</v>
      </c>
      <c r="GU19">
        <f t="shared" si="204"/>
        <v>0.14843774359887538</v>
      </c>
      <c r="GV19">
        <f t="shared" si="205"/>
        <v>0.14783227180388944</v>
      </c>
      <c r="GW19">
        <f t="shared" si="206"/>
        <v>0.14723436840634083</v>
      </c>
      <c r="GX19">
        <f t="shared" si="207"/>
        <v>0.14664393880126156</v>
      </c>
      <c r="GY19">
        <f t="shared" si="208"/>
        <v>0.1460608895662458</v>
      </c>
      <c r="GZ19">
        <f t="shared" si="209"/>
        <v>0.14548512844666772</v>
      </c>
      <c r="HA19">
        <f t="shared" si="210"/>
        <v>0.14491656434108438</v>
      </c>
      <c r="HB19">
        <f t="shared" si="211"/>
        <v>0.14435510728682083</v>
      </c>
      <c r="HC19">
        <f t="shared" si="212"/>
        <v>0.14380066844573558</v>
      </c>
      <c r="HD19">
        <f t="shared" si="213"/>
        <v>0.14325316009016389</v>
      </c>
      <c r="HE19">
        <f t="shared" si="214"/>
        <v>0.14271249558903684</v>
      </c>
      <c r="HF19">
        <f t="shared" si="215"/>
        <v>0.14217858939417388</v>
      </c>
      <c r="HG19">
        <f t="shared" si="216"/>
        <v>0.14165135702674672</v>
      </c>
      <c r="HH19">
        <f t="shared" si="217"/>
        <v>0.14113071506391239</v>
      </c>
      <c r="HI19">
        <f t="shared" si="218"/>
        <v>0.14061658112561348</v>
      </c>
      <c r="HJ19">
        <f t="shared" si="219"/>
        <v>0.1401088738615433</v>
      </c>
      <c r="HK19">
        <f t="shared" si="220"/>
        <v>0.139607512938274</v>
      </c>
      <c r="HL19">
        <f t="shared" si="221"/>
        <v>0.13911241902654559</v>
      </c>
      <c r="HM19">
        <f t="shared" si="222"/>
        <v>0.13862351378871376</v>
      </c>
      <c r="HN19">
        <f t="shared" si="223"/>
        <v>0.13814071986635484</v>
      </c>
      <c r="HO19">
        <f t="shared" si="224"/>
        <v>0.1376639608680254</v>
      </c>
      <c r="HP19">
        <f t="shared" si="225"/>
        <v>0.13719316135717508</v>
      </c>
      <c r="HQ19">
        <f t="shared" si="226"/>
        <v>0.1367282468402104</v>
      </c>
      <c r="HR19">
        <f t="shared" si="227"/>
        <v>0.13626914375470778</v>
      </c>
      <c r="HS19">
        <f t="shared" si="228"/>
        <v>0.13581577945777393</v>
      </c>
      <c r="HT19">
        <f t="shared" si="229"/>
        <v>0.13536808221455177</v>
      </c>
      <c r="HU19">
        <f t="shared" si="230"/>
        <v>0.13492598118686988</v>
      </c>
      <c r="HV19">
        <f t="shared" si="231"/>
        <v>0.134489406422034</v>
      </c>
      <c r="HW19">
        <f t="shared" si="232"/>
        <v>0.13405828884175858</v>
      </c>
      <c r="HX19">
        <f t="shared" si="233"/>
        <v>0.1336325602312366</v>
      </c>
      <c r="HY19">
        <f t="shared" si="234"/>
        <v>0.13321215322834615</v>
      </c>
      <c r="HZ19">
        <f t="shared" si="235"/>
        <v>0.13279700131299182</v>
      </c>
      <c r="IA19">
        <f t="shared" si="236"/>
        <v>0.13238703879657943</v>
      </c>
      <c r="IB19">
        <f t="shared" si="237"/>
        <v>0.13198220081162218</v>
      </c>
      <c r="IC19">
        <f t="shared" si="238"/>
        <v>0.1315824233014769</v>
      </c>
      <c r="ID19">
        <f t="shared" si="239"/>
        <v>0.13118764301020844</v>
      </c>
      <c r="IE19">
        <f t="shared" si="240"/>
        <v>0.13079779747258083</v>
      </c>
      <c r="IF19">
        <f t="shared" si="241"/>
        <v>0.13041282500417356</v>
      </c>
      <c r="IG19">
        <f t="shared" si="242"/>
        <v>0.13003266469162139</v>
      </c>
      <c r="IH19">
        <f t="shared" si="243"/>
        <v>0.12965725638297612</v>
      </c>
      <c r="II19">
        <f t="shared" si="244"/>
        <v>0.12928654067818893</v>
      </c>
      <c r="IJ19">
        <f t="shared" si="245"/>
        <v>0.12892045891971157</v>
      </c>
      <c r="IK19">
        <f t="shared" si="246"/>
        <v>0.12855895318321517</v>
      </c>
      <c r="IL19">
        <f t="shared" si="247"/>
        <v>0.12820196626842498</v>
      </c>
      <c r="IM19">
        <f t="shared" si="248"/>
        <v>0.12784944169006968</v>
      </c>
      <c r="IN19">
        <f t="shared" si="249"/>
        <v>0.12750132366894382</v>
      </c>
      <c r="IO19">
        <f t="shared" si="250"/>
        <v>0.12715755712308202</v>
      </c>
      <c r="IP19">
        <f t="shared" si="251"/>
        <v>0.12681808765904348</v>
      </c>
      <c r="IQ19">
        <f t="shared" si="252"/>
        <v>0.12648286156330543</v>
      </c>
      <c r="IR19">
        <f t="shared" si="253"/>
        <v>0.12615182579376411</v>
      </c>
      <c r="IS19">
        <f t="shared" si="254"/>
        <v>0.12582492797134207</v>
      </c>
      <c r="IT19">
        <f t="shared" si="255"/>
        <v>0.12550211637170028</v>
      </c>
      <c r="IU19">
        <f t="shared" si="256"/>
        <v>0.12518333991705402</v>
      </c>
      <c r="IV19">
        <f t="shared" si="257"/>
        <v>0.12486854816809084</v>
      </c>
    </row>
    <row r="20" spans="1:256" x14ac:dyDescent="0.2">
      <c r="A20" t="s">
        <v>491</v>
      </c>
      <c r="B20">
        <f t="shared" ref="B20:B36" si="258">(B71-B3)/B54</f>
        <v>-4.9124185686959303E-2</v>
      </c>
      <c r="C20">
        <f t="shared" ref="C20:C36" si="259">(C71-C3)/C54</f>
        <v>-3.8724218769419075E-2</v>
      </c>
      <c r="D20">
        <f t="shared" ref="D20:D36" si="260">(D71-D3)/D54</f>
        <v>-3.7737550480054539E-2</v>
      </c>
      <c r="E20">
        <f t="shared" ref="E20:E36" si="261">(E71-E3)/E54</f>
        <v>-3.6764416088249686E-2</v>
      </c>
      <c r="F20">
        <f t="shared" ref="F20:F36" si="262">(F71-F3)/F54</f>
        <v>-3.5805224003621697E-2</v>
      </c>
      <c r="G20">
        <f t="shared" ref="G20:G36" si="263">(G71-G3)/G54</f>
        <v>-3.4860330931064262E-2</v>
      </c>
      <c r="H20">
        <f t="shared" ref="H20:H36" si="264">(H71-H3)/H54</f>
        <v>-3.3930045077709442E-2</v>
      </c>
      <c r="I20">
        <f t="shared" ref="I20:I36" si="265">(I71-I3)/I54</f>
        <v>-3.3014629198464283E-2</v>
      </c>
      <c r="J20">
        <f t="shared" ref="J20:J36" si="266">(J71-J3)/J54</f>
        <v>-3.2114303485658531E-2</v>
      </c>
      <c r="K20">
        <f t="shared" ref="K20:K36" si="267">(K71-K3)/K54</f>
        <v>-3.2193973508660143E-2</v>
      </c>
      <c r="L20">
        <f t="shared" ref="L20:L36" si="268">(L71-L3)/L54</f>
        <v>-3.2259561033770909E-2</v>
      </c>
      <c r="M20">
        <f t="shared" ref="M20:M36" si="269">(M71-M3)/M54</f>
        <v>-3.2311325378914194E-2</v>
      </c>
      <c r="N20">
        <f t="shared" ref="N20:N36" si="270">(N71-N3)/N54</f>
        <v>-3.2349544563550658E-2</v>
      </c>
      <c r="O20">
        <f t="shared" ref="O20:O36" si="271">(O71-O3)/O54</f>
        <v>-3.2374512961708117E-2</v>
      </c>
      <c r="P20">
        <f t="shared" ref="P20:P36" si="272">(P71-P3)/P54</f>
        <v>-3.2386539127525413E-2</v>
      </c>
      <c r="Q20">
        <f t="shared" ref="Q20:Q36" si="273">(Q71-Q3)/Q54</f>
        <v>-3.2385943781634827E-2</v>
      </c>
      <c r="R20">
        <f t="shared" ref="R20:R36" si="274">(R71-R3)/R54</f>
        <v>-3.2373057947590655E-2</v>
      </c>
      <c r="S20">
        <f t="shared" ref="S20:S36" si="275">(S71-S3)/S54</f>
        <v>-3.2256004325702886E-2</v>
      </c>
      <c r="T20">
        <f t="shared" ref="T20:T36" si="276">(T71-T3)/T54</f>
        <v>-3.213518484605974E-2</v>
      </c>
      <c r="U20">
        <f t="shared" ref="U20:U36" si="277">(U71-U3)/U54</f>
        <v>-3.2010524715524104E-2</v>
      </c>
      <c r="V20">
        <f t="shared" ref="V20:V36" si="278">(V71-V3)/V54</f>
        <v>-3.1881971956544942E-2</v>
      </c>
      <c r="W20">
        <f t="shared" ref="W20:W36" si="279">(W71-W3)/W54</f>
        <v>-3.1749495377209738E-2</v>
      </c>
      <c r="X20">
        <f t="shared" ref="X20:X36" si="280">(X71-X3)/X54</f>
        <v>-3.161308268152635E-2</v>
      </c>
      <c r="Y20">
        <f t="shared" ref="Y20:Y36" si="281">(Y71-Y3)/Y54</f>
        <v>-3.1472738710781475E-2</v>
      </c>
      <c r="Z20">
        <f t="shared" ref="Z20:Z36" si="282">(Z71-Z3)/Z54</f>
        <v>-3.1328483807527938E-2</v>
      </c>
      <c r="AA20">
        <f t="shared" ref="AA20:AA36" si="283">(AA71-AA3)/AA54</f>
        <v>-3.1065618243368766E-2</v>
      </c>
      <c r="AB20">
        <f t="shared" ref="AB20:AB36" si="284">(AB71-AB3)/AB54</f>
        <v>-3.0805279567328221E-2</v>
      </c>
      <c r="AC20">
        <f t="shared" ref="AC20:AC36" si="285">(AC71-AC3)/AC54</f>
        <v>-3.0547363490728036E-2</v>
      </c>
      <c r="AD20">
        <f t="shared" ref="AD20:AD36" si="286">(AD71-AD3)/AD54</f>
        <v>-3.0291774385991215E-2</v>
      </c>
      <c r="AE20">
        <f t="shared" ref="AE20:AE36" si="287">(AE71-AE3)/AE54</f>
        <v>-3.0038424433601545E-2</v>
      </c>
      <c r="AF20">
        <f t="shared" ref="AF20:AF36" si="288">(AF71-AF3)/AF54</f>
        <v>-2.9787232857662251E-2</v>
      </c>
      <c r="AG20">
        <f t="shared" ref="AG20:AG36" si="289">(AG71-AG3)/AG54</f>
        <v>-2.9538125241602441E-2</v>
      </c>
      <c r="AH20">
        <f t="shared" ref="AH20:AH36" si="290">(AH71-AH3)/AH54</f>
        <v>2.7570908756755007E-2</v>
      </c>
      <c r="AI20">
        <f t="shared" ref="AI20:AI36" si="291">(AI71-AI3)/AI54</f>
        <v>2.9139058595296762E-2</v>
      </c>
      <c r="AJ20">
        <f t="shared" ref="AJ20:AJ36" si="292">(AJ71-AJ3)/AJ54</f>
        <v>3.0782342494260199E-2</v>
      </c>
      <c r="AK20">
        <f t="shared" ref="AK20:AK36" si="293">(AK71-AK3)/AK54</f>
        <v>3.2506936540343867E-2</v>
      </c>
      <c r="AL20">
        <f t="shared" ref="AL20:AL36" si="294">(AL71-AL3)/AL54</f>
        <v>3.4319523829587251E-2</v>
      </c>
      <c r="AM20">
        <f t="shared" ref="AM20:AM36" si="295">(AM71-AM3)/AM54</f>
        <v>3.6227358144424245E-2</v>
      </c>
      <c r="AN20">
        <f t="shared" ref="AN20:AN36" si="296">(AN71-AN3)/AN54</f>
        <v>3.8238335454095898E-2</v>
      </c>
      <c r="AO20">
        <f t="shared" ref="AO20:AO36" si="297">(AO71-AO3)/AO54</f>
        <v>4.0361074498078603E-2</v>
      </c>
      <c r="AP20">
        <f t="shared" ref="AP20:AP36" si="298">(AP71-AP3)/AP54</f>
        <v>6.0525449175211701E-2</v>
      </c>
      <c r="AQ20">
        <f t="shared" ref="AQ20:AQ36" si="299">(AQ71-AQ3)/AQ54</f>
        <v>5.9768881060521542E-2</v>
      </c>
      <c r="AR20">
        <f t="shared" ref="AR20:AR36" si="300">(AR71-AR3)/AR54</f>
        <v>5.9021770047265033E-2</v>
      </c>
      <c r="AS20">
        <f t="shared" ref="AS20:AS36" si="301">(AS71-AS3)/AS54</f>
        <v>5.8283997921674213E-2</v>
      </c>
      <c r="AT20">
        <f t="shared" ref="AT20:AT36" si="302">(AT71-AT3)/AT54</f>
        <v>5.7555447947653285E-2</v>
      </c>
      <c r="AU20">
        <f t="shared" ref="AU20:AU36" si="303">(AU71-AU3)/AU54</f>
        <v>5.6836004848307621E-2</v>
      </c>
      <c r="AV20">
        <f t="shared" ref="AV20:AV36" si="304">(AV71-AV3)/AV54</f>
        <v>5.6125554787703778E-2</v>
      </c>
      <c r="AW20">
        <f t="shared" ref="AW20:AW36" si="305">(AW71-AW3)/AW54</f>
        <v>5.5423985352857474E-2</v>
      </c>
      <c r="AX20">
        <f t="shared" ref="AX20:AX36" si="306">(AX71-AX3)/AX54</f>
        <v>3.1285044018358674E-2</v>
      </c>
      <c r="AY20">
        <f t="shared" ref="AY20:AY36" si="307">(AY71-AY3)/AY54</f>
        <v>3.2779621977418433E-2</v>
      </c>
      <c r="AZ20">
        <f t="shared" ref="AZ20:AZ36" si="308">(AZ71-AZ3)/AZ54</f>
        <v>3.4345215708441519E-2</v>
      </c>
      <c r="BA20">
        <f t="shared" ref="BA20:BA36" si="309">(BA71-BA3)/BA54</f>
        <v>3.5988963098431068E-2</v>
      </c>
      <c r="BB20">
        <f t="shared" ref="BB20:BB36" si="310">(BB71-BB3)/BB54</f>
        <v>3.7718373885247077E-2</v>
      </c>
      <c r="BC20">
        <f t="shared" ref="BC20:BC36" si="311">(BC71-BC3)/BC54</f>
        <v>3.9541399555963246E-2</v>
      </c>
      <c r="BD20">
        <f t="shared" ref="BD20:BD36" si="312">(BD71-BD3)/BD54</f>
        <v>4.1466508280602769E-2</v>
      </c>
      <c r="BE20">
        <f t="shared" ref="BE20:BE36" si="313">(BE71-BE3)/BE54</f>
        <v>4.350276617976534E-2</v>
      </c>
      <c r="BF20">
        <f t="shared" ref="BF20:BF36" si="314">(BF71-BF3)/BF54</f>
        <v>4.5659926356304538E-2</v>
      </c>
      <c r="BG20">
        <f t="shared" ref="BG20:BG36" si="315">(BG71-BG3)/BG54</f>
        <v>4.7838680940617988E-2</v>
      </c>
      <c r="BH20">
        <f t="shared" ref="BH20:BH36" si="316">(BH71-BH3)/BH54</f>
        <v>4.9854604285932379E-2</v>
      </c>
      <c r="BI20">
        <f t="shared" ref="BI20:BI36" si="317">(BI71-BI3)/BI54</f>
        <v>4.9231421732358227E-2</v>
      </c>
      <c r="BJ20">
        <f t="shared" ref="BJ20:BJ36" si="318">(BJ71-BJ3)/BJ54</f>
        <v>4.8616028960703751E-2</v>
      </c>
      <c r="BK20">
        <f t="shared" ref="BK20:BK36" si="319">(BK71-BK3)/BK54</f>
        <v>4.8008328598694951E-2</v>
      </c>
      <c r="BL20">
        <f t="shared" ref="BL20:BL36" si="320">(BL71-BL3)/BL54</f>
        <v>4.7408224491211258E-2</v>
      </c>
      <c r="BM20">
        <f t="shared" ref="BM20:BM36" si="321">(BM71-BM3)/BM54</f>
        <v>4.681562168507112E-2</v>
      </c>
      <c r="BN20">
        <f t="shared" ref="BN20:BN36" si="322">(BN71-BN3)/BN54</f>
        <v>4.6230426414007729E-2</v>
      </c>
      <c r="BO20">
        <f t="shared" ref="BO20:BO36" si="323">(BO71-BO3)/BO54</f>
        <v>4.5652546083832637E-2</v>
      </c>
      <c r="BP20">
        <f t="shared" ref="BP20:BP36" si="324">(BP71-BP3)/BP54</f>
        <v>4.5081889257784724E-2</v>
      </c>
      <c r="BQ20">
        <f t="shared" ref="BQ20:BQ36" si="325">(BQ71-BQ3)/BQ54</f>
        <v>4.4518365642062421E-2</v>
      </c>
      <c r="BR20">
        <f t="shared" ref="BR20:BR36" si="326">(BR71-BR3)/BR54</f>
        <v>4.3961886071536636E-2</v>
      </c>
      <c r="BS20">
        <f t="shared" ref="BS20:BS36" si="327">(BS71-BS3)/BS54</f>
        <v>4.3412362495642433E-2</v>
      </c>
      <c r="BT20">
        <f t="shared" ref="BT20:BT36" si="328">(BT71-BT3)/BT54</f>
        <v>4.2869707964446904E-2</v>
      </c>
      <c r="BU20">
        <f t="shared" ref="BU20:BU36" si="329">(BU71-BU3)/BU54</f>
        <v>4.2333836614891318E-2</v>
      </c>
      <c r="BV20">
        <f t="shared" ref="BV20:BV36" si="330">(BV71-BV3)/BV54</f>
        <v>4.1804663657205178E-2</v>
      </c>
      <c r="BW20">
        <f t="shared" ref="BW20:BW36" si="331">(BW71-BW3)/BW54</f>
        <v>4.1282105361490108E-2</v>
      </c>
      <c r="BX20">
        <f t="shared" ref="BX20:BX36" si="332">(BX71-BX3)/BX54</f>
        <v>4.0766079044471479E-2</v>
      </c>
      <c r="BY20">
        <f t="shared" ref="BY20:BY36" si="333">(BY71-BY3)/BY54</f>
        <v>4.0256503056415593E-2</v>
      </c>
      <c r="BZ20">
        <f t="shared" ref="BZ20:BZ36" si="334">(BZ71-BZ3)/BZ54</f>
        <v>3.9753296768210399E-2</v>
      </c>
      <c r="CA20">
        <f t="shared" ref="CA20:CA36" si="335">(CA71-CA3)/CA54</f>
        <v>3.9256380558607772E-2</v>
      </c>
      <c r="CB20">
        <f t="shared" ref="CB20:CB36" si="336">(CB71-CB3)/CB54</f>
        <v>3.8765675801625175E-2</v>
      </c>
      <c r="CC20">
        <f t="shared" ref="CC20:CC36" si="337">(CC71-CC3)/CC54</f>
        <v>3.8281104854104867E-2</v>
      </c>
      <c r="CD20">
        <f t="shared" ref="CD20:CD36" si="338">(CD71-CD3)/CD54</f>
        <v>3.7802591043428556E-2</v>
      </c>
      <c r="CE20">
        <f t="shared" ref="CE20:CE36" si="339">(CE71-CE3)/CE54</f>
        <v>3.7330058655385703E-2</v>
      </c>
      <c r="CF20">
        <f t="shared" ref="CF20:CF36" si="340">(CF71-CF3)/CF54</f>
        <v>3.6863432922193386E-2</v>
      </c>
      <c r="CG20">
        <f t="shared" ref="CG20:CG36" si="341">(CG71-CG3)/CG54</f>
        <v>3.6402640010665968E-2</v>
      </c>
      <c r="CH20">
        <f t="shared" ref="CH20:CH36" si="342">(CH71-CH3)/CH54</f>
        <v>3.5947607010532644E-2</v>
      </c>
      <c r="CI20">
        <f t="shared" ref="CI20:CI36" si="343">(CI71-CI3)/CI54</f>
        <v>3.5498261922900988E-2</v>
      </c>
      <c r="CJ20">
        <f t="shared" ref="CJ20:CJ36" si="344">(CJ71-CJ3)/CJ54</f>
        <v>3.5054533648864725E-2</v>
      </c>
      <c r="CK20">
        <f t="shared" ref="CK20:CK36" si="345">(CK71-CK3)/CK54</f>
        <v>3.4616351978253926E-2</v>
      </c>
      <c r="CL20">
        <f t="shared" ref="CL20:CL36" si="346">(CL71-CL3)/CL54</f>
        <v>3.4183647578525746E-2</v>
      </c>
      <c r="CM20">
        <f t="shared" ref="CM20:CM36" si="347">(CM71-CM3)/CM54</f>
        <v>3.3756351983794175E-2</v>
      </c>
      <c r="CN20">
        <f t="shared" ref="CN20:CN36" si="348">(CN71-CN3)/CN54</f>
        <v>3.3334397583996742E-2</v>
      </c>
      <c r="CO20">
        <f t="shared" ref="CO20:CO36" si="349">(CO71-CO3)/CO54</f>
        <v>3.2917717614196783E-2</v>
      </c>
      <c r="CP20">
        <f t="shared" ref="CP20:CP36" si="350">(CP71-CP3)/CP54</f>
        <v>3.2506246144019327E-2</v>
      </c>
      <c r="CQ20">
        <f t="shared" ref="CQ20:CQ36" si="351">(CQ71-CQ3)/CQ54</f>
        <v>3.2099918067219083E-2</v>
      </c>
      <c r="CR20">
        <f t="shared" ref="CR20:CR36" si="352">(CR71-CR3)/CR54</f>
        <v>3.1698669091378841E-2</v>
      </c>
      <c r="CS20">
        <f t="shared" ref="CS20:CS36" si="353">(CS71-CS3)/CS54</f>
        <v>3.1302435727736597E-2</v>
      </c>
      <c r="CT20">
        <f t="shared" ref="CT20:CT36" si="354">(CT71-CT3)/CT54</f>
        <v>3.0911155281139892E-2</v>
      </c>
      <c r="CU20">
        <f t="shared" ref="CU20:CU36" si="355">(CU71-CU3)/CU54</f>
        <v>3.0524765840125645E-2</v>
      </c>
      <c r="CV20">
        <f t="shared" ref="CV20:CV36" si="356">(CV71-CV3)/CV54</f>
        <v>3.0143206267124079E-2</v>
      </c>
      <c r="CW20">
        <f t="shared" ref="CW20:CW36" si="357">(CW71-CW3)/CW54</f>
        <v>2.9766416188785026E-2</v>
      </c>
      <c r="CX20">
        <f t="shared" ref="CX20:CX36" si="358">(CX71-CX3)/CX54</f>
        <v>2.9394335986425213E-2</v>
      </c>
      <c r="CY20">
        <f t="shared" ref="CY20:CY36" si="359">(CY71-CY3)/CY54</f>
        <v>2.9026906786594898E-2</v>
      </c>
      <c r="CZ20">
        <f t="shared" ref="CZ20:CZ36" si="360">(CZ71-CZ3)/CZ54</f>
        <v>2.8664070451762457E-2</v>
      </c>
      <c r="DA20">
        <f t="shared" ref="DA20:DA36" si="361">(DA71-DA3)/DA54</f>
        <v>2.8305769571115424E-2</v>
      </c>
      <c r="DB20">
        <f t="shared" ref="DB20:DB36" si="362">(DB71-DB3)/DB54</f>
        <v>2.7951947451476479E-2</v>
      </c>
      <c r="DC20">
        <f t="shared" ref="DC20:DC36" si="363">(DC71-DC3)/DC54</f>
        <v>2.7602548108333024E-2</v>
      </c>
      <c r="DD20">
        <f t="shared" ref="DD20:DD36" si="364">(DD71-DD3)/DD54</f>
        <v>2.7257516256978864E-2</v>
      </c>
      <c r="DE20">
        <f t="shared" ref="DE20:DE36" si="365">(DE71-DE3)/DE54</f>
        <v>2.6916797303766626E-2</v>
      </c>
      <c r="DF20">
        <f t="shared" ref="DF20:DF36" si="366">(DF71-DF3)/DF54</f>
        <v>2.6580337337469541E-2</v>
      </c>
      <c r="DG20">
        <f t="shared" ref="DG20:DG36" si="367">(DG71-DG3)/DG54</f>
        <v>2.6248083120751175E-2</v>
      </c>
      <c r="DH20">
        <f t="shared" ref="DH20:DH36" si="368">(DH71-DH3)/DH54</f>
        <v>2.5919982081741788E-2</v>
      </c>
      <c r="DI20">
        <f t="shared" ref="DI20:DI36" si="369">(DI71-DI3)/DI54</f>
        <v>2.5595982305720012E-2</v>
      </c>
      <c r="DJ20">
        <f t="shared" ref="DJ20:DJ36" si="370">(DJ71-DJ3)/DJ54</f>
        <v>2.5276032526898508E-2</v>
      </c>
      <c r="DK20">
        <f t="shared" ref="DK20:DK36" si="371">(DK71-DK3)/DK54</f>
        <v>2.4960082120312276E-2</v>
      </c>
      <c r="DL20">
        <f t="shared" ref="DL20:DL36" si="372">(DL71-DL3)/DL54</f>
        <v>2.4648081093808373E-2</v>
      </c>
      <c r="DM20">
        <f t="shared" ref="DM20:DM36" si="373">(DM71-DM3)/DM54</f>
        <v>2.433998008013577E-2</v>
      </c>
      <c r="DN20">
        <f t="shared" ref="DN20:DN36" si="374">(DN71-DN3)/DN54</f>
        <v>2.4035730329134076E-2</v>
      </c>
      <c r="DO20">
        <f t="shared" ref="DO20:DO36" si="375">(DO71-DO3)/DO54</f>
        <v>2.3735283700019906E-2</v>
      </c>
      <c r="DP20">
        <f t="shared" ref="DP20:DP36" si="376">(DP71-DP3)/DP54</f>
        <v>2.3438592653769651E-2</v>
      </c>
      <c r="DQ20">
        <f t="shared" ref="DQ20:DQ36" si="377">(DQ71-DQ3)/DQ54</f>
        <v>2.3145610245597536E-2</v>
      </c>
      <c r="DR20">
        <f t="shared" ref="DR20:DR36" si="378">(DR71-DR3)/DR54</f>
        <v>2.2856290117527565E-2</v>
      </c>
      <c r="DS20">
        <f t="shared" ref="DS20:DS36" si="379">(DS71-DS3)/DS54</f>
        <v>2.2570586491058475E-2</v>
      </c>
      <c r="DT20">
        <f t="shared" ref="DT20:DT36" si="380">(DT71-DT3)/DT54</f>
        <v>2.2288454159920246E-2</v>
      </c>
      <c r="DU20">
        <f t="shared" ref="DU20:DU36" si="381">(DU71-DU3)/DU54</f>
        <v>2.2009848482921247E-2</v>
      </c>
      <c r="DV20">
        <f t="shared" ref="DV20:DV36" si="382">(DV71-DV3)/DV54</f>
        <v>2.1734725376884735E-2</v>
      </c>
      <c r="DW20">
        <f t="shared" ref="DW20:DW36" si="383">(DW71-DW3)/DW54</f>
        <v>2.1463041309673671E-2</v>
      </c>
      <c r="DX20">
        <f t="shared" ref="DX20:DX36" si="384">(DX71-DX3)/DX54</f>
        <v>2.1194753293302747E-2</v>
      </c>
      <c r="DY20">
        <f t="shared" ref="DY20:DY36" si="385">(DY71-DY3)/DY54</f>
        <v>2.0929818877136463E-2</v>
      </c>
      <c r="DZ20">
        <f t="shared" ref="DZ20:DZ36" si="386">(DZ71-DZ3)/DZ54</f>
        <v>2.0668196141172258E-2</v>
      </c>
      <c r="EA20">
        <f t="shared" ref="EA20:EA36" si="387">(EA71-EA3)/EA54</f>
        <v>2.0409843689407604E-2</v>
      </c>
      <c r="EB20">
        <f t="shared" ref="EB20:EB36" si="388">(EB71-EB3)/EB54</f>
        <v>2.0154720643290002E-2</v>
      </c>
      <c r="EC20">
        <f t="shared" ref="EC20:EC36" si="389">(EC71-EC3)/EC54</f>
        <v>1.990278663524888E-2</v>
      </c>
      <c r="ED20">
        <f t="shared" ref="ED20:ED36" si="390">(ED71-ED3)/ED54</f>
        <v>1.9654001802308273E-2</v>
      </c>
      <c r="EE20">
        <f t="shared" ref="EE20:EE36" si="391">(EE71-EE3)/EE54</f>
        <v>1.9408326779779418E-2</v>
      </c>
      <c r="EF20">
        <f t="shared" ref="EF20:EF36" si="392">(EF71-EF3)/EF54</f>
        <v>1.9165722695032174E-2</v>
      </c>
      <c r="EG20">
        <f t="shared" ref="EG20:EG36" si="393">(EG71-EG3)/EG54</f>
        <v>1.8926151161344273E-2</v>
      </c>
      <c r="EH20">
        <f t="shared" ref="EH20:EH36" si="394">(EH71-EH3)/EH54</f>
        <v>1.8689574271827471E-2</v>
      </c>
      <c r="EI20">
        <f t="shared" ref="EI20:EI36" si="395">(EI71-EI3)/EI54</f>
        <v>1.8455954593429625E-2</v>
      </c>
      <c r="EJ20">
        <f t="shared" ref="EJ20:EJ36" si="396">(EJ71-EJ3)/EJ54</f>
        <v>1.8225255161011755E-2</v>
      </c>
      <c r="EK20">
        <f t="shared" ref="EK20:EK36" si="397">(EK71-EK3)/EK54</f>
        <v>1.7997439471499111E-2</v>
      </c>
      <c r="EL20">
        <f t="shared" ref="EL20:EL36" si="398">(EL71-EL3)/EL54</f>
        <v>1.7772471478105366E-2</v>
      </c>
      <c r="EM20">
        <f t="shared" ref="EM20:EM36" si="399">(EM71-EM3)/EM54</f>
        <v>1.755031558462905E-2</v>
      </c>
      <c r="EN20">
        <f t="shared" ref="EN20:EN36" si="400">(EN71-EN3)/EN54</f>
        <v>1.7330936639821194E-2</v>
      </c>
      <c r="EO20">
        <f t="shared" ref="EO20:EO36" si="401">(EO71-EO3)/EO54</f>
        <v>1.711429993182343E-2</v>
      </c>
      <c r="EP20">
        <f t="shared" ref="EP20:EP36" si="402">(EP71-EP3)/EP54</f>
        <v>1.6900371182675632E-2</v>
      </c>
      <c r="EQ20">
        <f t="shared" ref="EQ20:EQ36" si="403">(EQ71-EQ3)/EQ54</f>
        <v>1.668911654289219E-2</v>
      </c>
      <c r="ER20">
        <f t="shared" ref="ER20:ER36" si="404">(ER71-ER3)/ER54</f>
        <v>1.648050258610604E-2</v>
      </c>
      <c r="ES20">
        <f t="shared" ref="ES20:ES36" si="405">(ES71-ES3)/ES54</f>
        <v>1.6274496303779716E-2</v>
      </c>
      <c r="ET20">
        <f t="shared" ref="ET20:ET36" si="406">(ET71-ET3)/ET54</f>
        <v>1.6071065099982473E-2</v>
      </c>
      <c r="EU20">
        <f t="shared" ref="EU20:EU36" si="407">(EU71-EU3)/EU54</f>
        <v>1.5870176786232693E-2</v>
      </c>
      <c r="EV20">
        <f t="shared" ref="EV20:EV36" si="408">(EV71-EV3)/EV54</f>
        <v>1.5671799576404789E-2</v>
      </c>
      <c r="EW20">
        <f t="shared" ref="EW20:EW36" si="409">(EW71-EW3)/EW54</f>
        <v>1.5475902081699733E-2</v>
      </c>
      <c r="EX20">
        <f t="shared" ref="EX20:EX36" si="410">(EX71-EX3)/EX54</f>
        <v>1.5282453305678489E-2</v>
      </c>
      <c r="EY20">
        <f t="shared" ref="EY20:EY36" si="411">(EY71-EY3)/EY54</f>
        <v>1.509142263935751E-2</v>
      </c>
      <c r="EZ20">
        <f t="shared" ref="EZ20:EZ36" si="412">(EZ71-EZ3)/EZ54</f>
        <v>1.4902779856365544E-2</v>
      </c>
      <c r="FA20">
        <f t="shared" ref="FA20:FA36" si="413">(FA71-FA3)/FA54</f>
        <v>1.4716495108160976E-2</v>
      </c>
      <c r="FB20">
        <f t="shared" ref="FB20:FB36" si="414">(FB71-FB3)/FB54</f>
        <v>1.4532538919308969E-2</v>
      </c>
      <c r="FC20">
        <f t="shared" ref="FC20:FC36" si="415">(FC71-FC3)/FC54</f>
        <v>1.4350882182817604E-2</v>
      </c>
      <c r="FD20">
        <f t="shared" ref="FD20:FD36" si="416">(FD71-FD3)/FD54</f>
        <v>1.4171496155532381E-2</v>
      </c>
      <c r="FE20">
        <f t="shared" ref="FE20:FE36" si="417">(FE71-FE3)/FE54</f>
        <v>1.3994352453588221E-2</v>
      </c>
      <c r="FF20">
        <f t="shared" ref="FF20:FF36" si="418">(FF71-FF3)/FF54</f>
        <v>1.3819423047918366E-2</v>
      </c>
      <c r="FG20">
        <f t="shared" ref="FG20:FG36" si="419">(FG71-FG3)/FG54</f>
        <v>1.3646680259819388E-2</v>
      </c>
      <c r="FH20">
        <f t="shared" ref="FH20:FH36" si="420">(FH71-FH3)/FH54</f>
        <v>1.3476096756571642E-2</v>
      </c>
      <c r="FI20">
        <f t="shared" ref="FI20:FI36" si="421">(FI71-FI3)/FI54</f>
        <v>1.3307645547114499E-2</v>
      </c>
      <c r="FJ20">
        <f t="shared" ref="FJ20:FJ36" si="422">(FJ71-FJ3)/FJ54</f>
        <v>1.3141299977775567E-2</v>
      </c>
      <c r="FK20">
        <f t="shared" ref="FK20:FK36" si="423">(FK71-FK3)/FK54</f>
        <v>1.2977033728053377E-2</v>
      </c>
      <c r="FL20">
        <f t="shared" ref="FL20:FL36" si="424">(FL71-FL3)/FL54</f>
        <v>1.281482080645271E-2</v>
      </c>
      <c r="FM20">
        <f t="shared" ref="FM20:FM36" si="425">(FM71-FM3)/FM54</f>
        <v>1.2654635546372051E-2</v>
      </c>
      <c r="FN20">
        <f t="shared" ref="FN20:FN36" si="426">(FN71-FN3)/FN54</f>
        <v>1.2496452602042397E-2</v>
      </c>
      <c r="FO20">
        <f t="shared" ref="FO20:FO36" si="427">(FO71-FO3)/FO54</f>
        <v>1.2340246944516863E-2</v>
      </c>
      <c r="FP20">
        <f t="shared" ref="FP20:FP36" si="428">(FP71-FP3)/FP54</f>
        <v>1.2185993857710398E-2</v>
      </c>
      <c r="FQ20">
        <f t="shared" ref="FQ20:FQ36" si="429">(FQ71-FQ3)/FQ54</f>
        <v>1.2033668934489017E-2</v>
      </c>
      <c r="FR20">
        <f t="shared" ref="FR20:FR36" si="430">(FR71-FR3)/FR54</f>
        <v>1.1883248072807906E-2</v>
      </c>
      <c r="FS20">
        <f t="shared" ref="FS20:FS36" si="431">(FS71-FS3)/FS54</f>
        <v>1.1734707471897809E-2</v>
      </c>
      <c r="FT20">
        <f t="shared" ref="FT20:FT36" si="432">(FT71-FT3)/FT54</f>
        <v>1.1588023628499089E-2</v>
      </c>
      <c r="FU20">
        <f t="shared" ref="FU20:FU36" si="433">(FU71-FU3)/FU54</f>
        <v>1.1443173333142853E-2</v>
      </c>
      <c r="FV20">
        <f t="shared" ref="FV20:FV36" si="434">(FV71-FV3)/FV54</f>
        <v>1.1300133666478562E-2</v>
      </c>
      <c r="FW20">
        <f t="shared" ref="FW20:FW36" si="435">(FW71-FW3)/FW54</f>
        <v>1.1158881995647584E-2</v>
      </c>
      <c r="FX20">
        <f t="shared" ref="FX20:FX36" si="436">(FX71-FX3)/FX54</f>
        <v>1.1019395970701996E-2</v>
      </c>
      <c r="FY20">
        <f t="shared" ref="FY20:FY36" si="437">(FY71-FY3)/FY54</f>
        <v>1.0881653521068225E-2</v>
      </c>
      <c r="FZ20">
        <f t="shared" ref="FZ20:FZ36" si="438">(FZ71-FZ3)/FZ54</f>
        <v>1.0745632852054876E-2</v>
      </c>
      <c r="GA20">
        <f t="shared" ref="GA20:GA36" si="439">(GA71-GA3)/GA54</f>
        <v>1.0611312441404185E-2</v>
      </c>
      <c r="GB20">
        <f t="shared" ref="GB20:GB36" si="440">(GB71-GB3)/GB54</f>
        <v>1.0478671035886632E-2</v>
      </c>
      <c r="GC20">
        <f t="shared" ref="GC20:GC36" si="441">(GC71-GC3)/GC54</f>
        <v>1.0347687647938053E-2</v>
      </c>
      <c r="GD20">
        <f t="shared" ref="GD20:GD36" si="442">(GD71-GD3)/GD54</f>
        <v>1.0218341552338828E-2</v>
      </c>
      <c r="GE20">
        <f t="shared" ref="GE20:GE36" si="443">(GE71-GE3)/GE54</f>
        <v>1.0090612282934596E-2</v>
      </c>
      <c r="GF20">
        <f t="shared" ref="GF20:GF36" si="444">(GF71-GF3)/GF54</f>
        <v>9.9644796293979158E-3</v>
      </c>
      <c r="GG20">
        <f t="shared" ref="GG20:GG36" si="445">(GG71-GG3)/GG54</f>
        <v>9.8399236340304449E-3</v>
      </c>
      <c r="GH20">
        <f t="shared" ref="GH20:GH36" si="446">(GH71-GH3)/GH54</f>
        <v>9.7169245886050692E-3</v>
      </c>
      <c r="GI20">
        <f t="shared" ref="GI20:GI36" si="447">(GI71-GI3)/GI54</f>
        <v>9.5954630312475083E-3</v>
      </c>
      <c r="GJ20">
        <f t="shared" ref="GJ20:GJ36" si="448">(GJ71-GJ3)/GJ54</f>
        <v>9.4755197433569194E-3</v>
      </c>
      <c r="GK20">
        <f t="shared" ref="GK20:GK36" si="449">(GK71-GK3)/GK54</f>
        <v>9.3570757465649586E-3</v>
      </c>
      <c r="GL20">
        <f t="shared" ref="GL20:GL36" si="450">(GL71-GL3)/GL54</f>
        <v>9.2401122997328947E-3</v>
      </c>
      <c r="GM20">
        <f t="shared" ref="GM20:GM36" si="451">(GM71-GM3)/GM54</f>
        <v>9.1246108959862297E-3</v>
      </c>
      <c r="GN20">
        <f t="shared" ref="GN20:GN36" si="452">(GN71-GN3)/GN54</f>
        <v>9.0105532597864017E-3</v>
      </c>
      <c r="GO20">
        <f t="shared" ref="GO20:GO36" si="453">(GO71-GO3)/GO54</f>
        <v>8.8979213440390729E-3</v>
      </c>
      <c r="GP20">
        <f t="shared" ref="GP20:GP36" si="454">(GP71-GP3)/GP54</f>
        <v>8.7866973272385795E-3</v>
      </c>
      <c r="GQ20">
        <f t="shared" ref="GQ20:GQ36" si="455">(GQ71-GQ3)/GQ54</f>
        <v>8.6768636106480997E-3</v>
      </c>
      <c r="GR20">
        <f t="shared" ref="GR20:GR36" si="456">(GR71-GR3)/GR54</f>
        <v>8.5684028155149968E-3</v>
      </c>
      <c r="GS20">
        <f t="shared" ref="GS20:GS36" si="457">(GS71-GS3)/GS54</f>
        <v>8.4612977803210643E-3</v>
      </c>
      <c r="GT20">
        <f t="shared" ref="GT20:GT36" si="458">(GT71-GT3)/GT54</f>
        <v>8.3555315580670537E-3</v>
      </c>
      <c r="GU20">
        <f t="shared" ref="GU20:GU36" si="459">(GU71-GU3)/GU54</f>
        <v>8.2510874135912175E-3</v>
      </c>
      <c r="GV20">
        <f t="shared" ref="GV20:GV36" si="460">(GV71-GV3)/GV54</f>
        <v>8.1479488209213243E-3</v>
      </c>
      <c r="GW20">
        <f t="shared" ref="GW20:GW36" si="461">(GW71-GW3)/GW54</f>
        <v>8.0460994606598064E-3</v>
      </c>
      <c r="GX20">
        <f t="shared" ref="GX20:GX36" si="462">(GX71-GX3)/GX54</f>
        <v>7.9455232174015615E-3</v>
      </c>
      <c r="GY20">
        <f t="shared" ref="GY20:GY36" si="463">(GY71-GY3)/GY54</f>
        <v>7.8462041771840459E-3</v>
      </c>
      <c r="GZ20">
        <f t="shared" ref="GZ20:GZ36" si="464">(GZ71-GZ3)/GZ54</f>
        <v>7.7481266249692423E-3</v>
      </c>
      <c r="HA20">
        <f t="shared" ref="HA20:HA36" si="465">(HA71-HA3)/HA54</f>
        <v>7.6512750421571241E-3</v>
      </c>
      <c r="HB20">
        <f t="shared" ref="HB20:HB36" si="466">(HB71-HB3)/HB54</f>
        <v>7.5556341041301597E-3</v>
      </c>
      <c r="HC20">
        <f t="shared" ref="HC20:HC36" si="467">(HC71-HC3)/HC54</f>
        <v>7.4611886778285343E-3</v>
      </c>
      <c r="HD20">
        <f t="shared" ref="HD20:HD36" si="468">(HD71-HD3)/HD54</f>
        <v>7.3679238193556816E-3</v>
      </c>
      <c r="HE20">
        <f t="shared" ref="HE20:HE36" si="469">(HE71-HE3)/HE54</f>
        <v>7.2758247716137366E-3</v>
      </c>
      <c r="HF20">
        <f t="shared" ref="HF20:HF36" si="470">(HF71-HF3)/HF54</f>
        <v>7.1848769619685671E-3</v>
      </c>
      <c r="HG20">
        <f t="shared" ref="HG20:HG36" si="471">(HG71-HG3)/HG54</f>
        <v>7.0950659999439612E-3</v>
      </c>
      <c r="HH20">
        <f t="shared" ref="HH20:HH36" si="472">(HH71-HH3)/HH54</f>
        <v>7.0063776749446638E-3</v>
      </c>
      <c r="HI20">
        <f t="shared" ref="HI20:HI36" si="473">(HI71-HI3)/HI54</f>
        <v>6.9187979540078605E-3</v>
      </c>
      <c r="HJ20">
        <f t="shared" ref="HJ20:HJ36" si="474">(HJ71-HJ3)/HJ54</f>
        <v>6.8323129795827666E-3</v>
      </c>
      <c r="HK20">
        <f t="shared" ref="HK20:HK36" si="475">(HK71-HK3)/HK54</f>
        <v>6.7469090673379804E-3</v>
      </c>
      <c r="HL20">
        <f t="shared" ref="HL20:HL36" si="476">(HL71-HL3)/HL54</f>
        <v>6.6625727039962609E-3</v>
      </c>
      <c r="HM20">
        <f t="shared" ref="HM20:HM36" si="477">(HM71-HM3)/HM54</f>
        <v>6.5792905451963037E-3</v>
      </c>
      <c r="HN20">
        <f t="shared" ref="HN20:HN36" si="478">(HN71-HN3)/HN54</f>
        <v>6.4970494133813504E-3</v>
      </c>
      <c r="HO20">
        <f t="shared" ref="HO20:HO36" si="479">(HO71-HO3)/HO54</f>
        <v>6.4158362957140837E-3</v>
      </c>
      <c r="HP20">
        <f t="shared" ref="HP20:HP36" si="480">(HP71-HP3)/HP54</f>
        <v>6.3356383420176575E-3</v>
      </c>
      <c r="HQ20">
        <f t="shared" ref="HQ20:HQ36" si="481">(HQ71-HQ3)/HQ54</f>
        <v>6.2564428627424392E-3</v>
      </c>
      <c r="HR20">
        <f t="shared" ref="HR20:HR36" si="482">(HR71-HR3)/HR54</f>
        <v>6.1782373269581581E-3</v>
      </c>
      <c r="HS20">
        <f t="shared" ref="HS20:HS36" si="483">(HS71-HS3)/HS54</f>
        <v>6.1010093603711792E-3</v>
      </c>
      <c r="HT20">
        <f t="shared" ref="HT20:HT36" si="484">(HT71-HT3)/HT54</f>
        <v>6.0247467433665377E-3</v>
      </c>
      <c r="HU20">
        <f t="shared" ref="HU20:HU36" si="485">(HU71-HU3)/HU54</f>
        <v>5.9494374090744541E-3</v>
      </c>
      <c r="HV20">
        <f t="shared" ref="HV20:HV36" si="486">(HV71-HV3)/HV54</f>
        <v>5.8750694414610224E-3</v>
      </c>
      <c r="HW20">
        <f t="shared" ref="HW20:HW36" si="487">(HW71-HW3)/HW54</f>
        <v>5.8016310734427586E-3</v>
      </c>
      <c r="HX20">
        <f t="shared" ref="HX20:HX36" si="488">(HX71-HX3)/HX54</f>
        <v>5.7291106850247296E-3</v>
      </c>
      <c r="HY20">
        <f t="shared" ref="HY20:HY36" si="489">(HY71-HY3)/HY54</f>
        <v>5.6574968014619252E-3</v>
      </c>
      <c r="HZ20">
        <f t="shared" ref="HZ20:HZ36" si="490">(HZ71-HZ3)/HZ54</f>
        <v>5.5867780914436562E-3</v>
      </c>
      <c r="IA20">
        <f t="shared" ref="IA20:IA36" si="491">(IA71-IA3)/IA54</f>
        <v>5.5169433653006082E-3</v>
      </c>
      <c r="IB20">
        <f t="shared" ref="IB20:IB36" si="492">(IB71-IB3)/IB54</f>
        <v>5.4479815732343508E-3</v>
      </c>
      <c r="IC20">
        <f t="shared" ref="IC20:IC36" si="493">(IC71-IC3)/IC54</f>
        <v>5.3798818035689202E-3</v>
      </c>
      <c r="ID20">
        <f t="shared" ref="ID20:ID36" si="494">(ID71-ID3)/ID54</f>
        <v>5.3126332810243034E-3</v>
      </c>
      <c r="IE20">
        <f t="shared" ref="IE20:IE36" si="495">(IE71-IE3)/IE54</f>
        <v>5.246225365011503E-3</v>
      </c>
      <c r="IF20">
        <f t="shared" ref="IF20:IF36" si="496">(IF71-IF3)/IF54</f>
        <v>5.1806475479488582E-3</v>
      </c>
      <c r="IG20">
        <f t="shared" ref="IG20:IG36" si="497">(IG71-IG3)/IG54</f>
        <v>5.1158894535994984E-3</v>
      </c>
      <c r="IH20">
        <f t="shared" ref="IH20:IH36" si="498">(IH71-IH3)/IH54</f>
        <v>5.0519408354295029E-3</v>
      </c>
      <c r="II20">
        <f t="shared" ref="II20:II36" si="499">(II71-II3)/II54</f>
        <v>4.9887915749866289E-3</v>
      </c>
      <c r="IJ20">
        <f t="shared" ref="IJ20:IJ36" si="500">(IJ71-IJ3)/IJ54</f>
        <v>4.9264316802992928E-3</v>
      </c>
      <c r="IK20">
        <f t="shared" ref="IK20:IK36" si="501">(IK71-IK3)/IK54</f>
        <v>4.8648512842955462E-3</v>
      </c>
      <c r="IL20">
        <f t="shared" ref="IL20:IL36" si="502">(IL71-IL3)/IL54</f>
        <v>4.8040406432418468E-3</v>
      </c>
      <c r="IM20">
        <f t="shared" ref="IM20:IM36" si="503">(IM71-IM3)/IM54</f>
        <v>4.7439901352013258E-3</v>
      </c>
      <c r="IN20">
        <f t="shared" ref="IN20:IN36" si="504">(IN71-IN3)/IN54</f>
        <v>4.6846902585113035E-3</v>
      </c>
      <c r="IO20">
        <f t="shared" ref="IO20:IO36" si="505">(IO71-IO3)/IO54</f>
        <v>4.6261316302799171E-3</v>
      </c>
      <c r="IP20">
        <f t="shared" ref="IP20:IP36" si="506">(IP71-IP3)/IP54</f>
        <v>4.568304984901417E-3</v>
      </c>
      <c r="IQ20">
        <f t="shared" ref="IQ20:IQ36" si="507">(IQ71-IQ3)/IQ54</f>
        <v>4.5112011725901516E-3</v>
      </c>
      <c r="IR20">
        <f t="shared" ref="IR20:IR36" si="508">(IR71-IR3)/IR54</f>
        <v>4.4548111579327697E-3</v>
      </c>
      <c r="IS20">
        <f t="shared" ref="IS20:IS36" si="509">(IS71-IS3)/IS54</f>
        <v>4.3991260184586102E-3</v>
      </c>
      <c r="IT20">
        <f t="shared" ref="IT20:IT36" si="510">(IT71-IT3)/IT54</f>
        <v>4.3441369432278719E-3</v>
      </c>
      <c r="IU20">
        <f t="shared" ref="IU20:IU36" si="511">(IU71-IU3)/IU54</f>
        <v>4.2898352314375224E-3</v>
      </c>
      <c r="IV20">
        <f t="shared" ref="IV20:IV36" si="512">(IV71-IV3)/IV54</f>
        <v>4.2362122910445501E-3</v>
      </c>
    </row>
    <row r="21" spans="1:256" x14ac:dyDescent="0.2">
      <c r="A21" t="s">
        <v>492</v>
      </c>
      <c r="B21">
        <f t="shared" si="258"/>
        <v>2.234912399644079E-3</v>
      </c>
      <c r="C21">
        <f t="shared" si="259"/>
        <v>7.5742388386607186E-3</v>
      </c>
      <c r="D21">
        <f t="shared" si="260"/>
        <v>7.8474150274591929E-3</v>
      </c>
      <c r="E21">
        <f t="shared" si="261"/>
        <v>8.1302088376314537E-3</v>
      </c>
      <c r="F21">
        <f t="shared" si="262"/>
        <v>8.4214705932773685E-3</v>
      </c>
      <c r="G21">
        <f t="shared" si="263"/>
        <v>8.7201899734513644E-3</v>
      </c>
      <c r="H21">
        <f t="shared" si="264"/>
        <v>9.0254769868513777E-3</v>
      </c>
      <c r="I21">
        <f t="shared" si="265"/>
        <v>9.3365460974135783E-3</v>
      </c>
      <c r="J21">
        <f t="shared" si="266"/>
        <v>3.5862491784205419E-3</v>
      </c>
      <c r="K21">
        <f t="shared" si="267"/>
        <v>2.8148476295120962E-3</v>
      </c>
      <c r="L21">
        <f t="shared" si="268"/>
        <v>2.0676670137166841E-3</v>
      </c>
      <c r="M21">
        <f t="shared" si="269"/>
        <v>1.3440248192334637E-3</v>
      </c>
      <c r="N21">
        <f t="shared" si="270"/>
        <v>6.4325985947295545E-4</v>
      </c>
      <c r="O21">
        <f t="shared" si="271"/>
        <v>-3.5268528480336683E-5</v>
      </c>
      <c r="P21">
        <f t="shared" si="272"/>
        <v>-6.9218124873398625E-4</v>
      </c>
      <c r="Q21">
        <f t="shared" si="273"/>
        <v>-1.3280801767770912E-3</v>
      </c>
      <c r="R21">
        <f t="shared" si="274"/>
        <v>1.7539393850903945E-2</v>
      </c>
      <c r="S21">
        <f t="shared" si="275"/>
        <v>1.6493073336086111E-2</v>
      </c>
      <c r="T21">
        <f t="shared" si="276"/>
        <v>1.5475669577682266E-2</v>
      </c>
      <c r="U21">
        <f t="shared" si="277"/>
        <v>1.4486432875075917E-2</v>
      </c>
      <c r="V21">
        <f t="shared" si="278"/>
        <v>1.3524635148185948E-2</v>
      </c>
      <c r="W21">
        <f t="shared" si="279"/>
        <v>1.2589569187379824E-2</v>
      </c>
      <c r="X21">
        <f t="shared" si="280"/>
        <v>1.1680547935177726E-2</v>
      </c>
      <c r="Y21">
        <f t="shared" si="281"/>
        <v>1.0796903798138103E-2</v>
      </c>
      <c r="Z21">
        <f t="shared" si="282"/>
        <v>5.1234379048076081E-2</v>
      </c>
      <c r="AA21">
        <f t="shared" si="283"/>
        <v>5.0593949309975128E-2</v>
      </c>
      <c r="AB21">
        <f t="shared" si="284"/>
        <v>4.9961524943600441E-2</v>
      </c>
      <c r="AC21">
        <f t="shared" si="285"/>
        <v>4.9337005881805437E-2</v>
      </c>
      <c r="AD21">
        <f t="shared" si="286"/>
        <v>4.8720293308282869E-2</v>
      </c>
      <c r="AE21">
        <f t="shared" si="287"/>
        <v>4.8111289641929331E-2</v>
      </c>
      <c r="AF21">
        <f t="shared" si="288"/>
        <v>4.7509898521405212E-2</v>
      </c>
      <c r="AG21">
        <f t="shared" si="289"/>
        <v>4.6916024789887642E-2</v>
      </c>
      <c r="AH21">
        <f t="shared" si="290"/>
        <v>-2.4299626018764019E-2</v>
      </c>
      <c r="AI21">
        <f t="shared" si="291"/>
        <v>-2.3767590536022464E-2</v>
      </c>
      <c r="AJ21">
        <f t="shared" si="292"/>
        <v>-2.3235149940341815E-2</v>
      </c>
      <c r="AK21">
        <f t="shared" si="293"/>
        <v>-2.2702464352357843E-2</v>
      </c>
      <c r="AL21">
        <f t="shared" si="294"/>
        <v>-2.216967297166119E-2</v>
      </c>
      <c r="AM21">
        <f t="shared" si="295"/>
        <v>-2.1636895988402721E-2</v>
      </c>
      <c r="AN21">
        <f t="shared" si="296"/>
        <v>-2.1104236274222605E-2</v>
      </c>
      <c r="AO21">
        <f t="shared" si="297"/>
        <v>-2.0571780880771367E-2</v>
      </c>
      <c r="AP21">
        <f t="shared" si="298"/>
        <v>1.1347628068026083E-2</v>
      </c>
      <c r="AQ21">
        <f t="shared" si="299"/>
        <v>1.1481601095682914E-2</v>
      </c>
      <c r="AR21">
        <f t="shared" si="300"/>
        <v>1.1622739667303806E-2</v>
      </c>
      <c r="AS21">
        <f t="shared" si="301"/>
        <v>1.1770215520907578E-2</v>
      </c>
      <c r="AT21">
        <f t="shared" si="302"/>
        <v>1.1923298919995473E-2</v>
      </c>
      <c r="AU21">
        <f t="shared" si="303"/>
        <v>1.2081347779191254E-2</v>
      </c>
      <c r="AV21">
        <f t="shared" si="304"/>
        <v>1.2243798362172232E-2</v>
      </c>
      <c r="AW21">
        <f t="shared" si="305"/>
        <v>1.2410157290495504E-2</v>
      </c>
      <c r="AX21">
        <f t="shared" si="306"/>
        <v>2.6172820655549534E-2</v>
      </c>
      <c r="AY21">
        <f t="shared" si="307"/>
        <v>2.6517836749757294E-2</v>
      </c>
      <c r="AZ21">
        <f t="shared" si="308"/>
        <v>2.6880931574966505E-2</v>
      </c>
      <c r="BA21">
        <f t="shared" si="309"/>
        <v>2.7261054366175631E-2</v>
      </c>
      <c r="BB21">
        <f t="shared" si="310"/>
        <v>2.765734523384138E-2</v>
      </c>
      <c r="BC21">
        <f t="shared" si="311"/>
        <v>2.8069107469670961E-2</v>
      </c>
      <c r="BD21">
        <f t="shared" si="312"/>
        <v>2.8495784694039173E-2</v>
      </c>
      <c r="BE21">
        <f t="shared" si="313"/>
        <v>2.8936941872453957E-2</v>
      </c>
      <c r="BF21">
        <f t="shared" si="314"/>
        <v>2.939224944854113E-2</v>
      </c>
      <c r="BG21">
        <f t="shared" si="315"/>
        <v>2.9861470006012813E-2</v>
      </c>
      <c r="BH21">
        <f t="shared" si="316"/>
        <v>3.0344446996946384E-2</v>
      </c>
      <c r="BI21">
        <f t="shared" si="317"/>
        <v>3.0841095169006148E-2</v>
      </c>
      <c r="BJ21">
        <f t="shared" si="318"/>
        <v>3.1351389762600615E-2</v>
      </c>
      <c r="BK21">
        <f t="shared" si="319"/>
        <v>3.1875139795386441E-2</v>
      </c>
      <c r="BL21">
        <f t="shared" si="320"/>
        <v>3.2412017003838133E-2</v>
      </c>
      <c r="BM21">
        <f t="shared" si="321"/>
        <v>3.2961750405351577E-2</v>
      </c>
      <c r="BN21">
        <f t="shared" si="322"/>
        <v>3.3524118592201259E-2</v>
      </c>
      <c r="BO21">
        <f t="shared" si="323"/>
        <v>3.4098943554727701E-2</v>
      </c>
      <c r="BP21">
        <f t="shared" si="324"/>
        <v>3.4686085285185311E-2</v>
      </c>
      <c r="BQ21">
        <f t="shared" si="325"/>
        <v>3.5285437051111167E-2</v>
      </c>
      <c r="BR21">
        <f t="shared" si="326"/>
        <v>3.5896921245912296E-2</v>
      </c>
      <c r="BS21">
        <f t="shared" si="327"/>
        <v>3.6520485739581519E-2</v>
      </c>
      <c r="BT21">
        <f t="shared" si="328"/>
        <v>3.7156100664791102E-2</v>
      </c>
      <c r="BU21">
        <f t="shared" si="329"/>
        <v>3.7803755583669073E-2</v>
      </c>
      <c r="BV21">
        <f t="shared" si="330"/>
        <v>3.7962116996732201E-2</v>
      </c>
      <c r="BW21">
        <f t="shared" si="331"/>
        <v>3.7487590534273044E-2</v>
      </c>
      <c r="BX21">
        <f t="shared" si="332"/>
        <v>3.701899565259463E-2</v>
      </c>
      <c r="BY21">
        <f t="shared" si="333"/>
        <v>3.6556258206937198E-2</v>
      </c>
      <c r="BZ21">
        <f t="shared" si="334"/>
        <v>3.6099304979350474E-2</v>
      </c>
      <c r="CA21">
        <f t="shared" si="335"/>
        <v>3.5648063667108598E-2</v>
      </c>
      <c r="CB21">
        <f t="shared" si="336"/>
        <v>3.5202462871269734E-2</v>
      </c>
      <c r="CC21">
        <f t="shared" si="337"/>
        <v>3.476243208537886E-2</v>
      </c>
      <c r="CD21">
        <f t="shared" si="338"/>
        <v>3.4327901684311622E-2</v>
      </c>
      <c r="CE21">
        <f t="shared" si="339"/>
        <v>3.3898802913257732E-2</v>
      </c>
      <c r="CF21">
        <f t="shared" si="340"/>
        <v>3.3475067876842013E-2</v>
      </c>
      <c r="CG21">
        <f t="shared" si="341"/>
        <v>3.3056629528381488E-2</v>
      </c>
      <c r="CH21">
        <f t="shared" si="342"/>
        <v>3.2643421659276715E-2</v>
      </c>
      <c r="CI21">
        <f t="shared" si="343"/>
        <v>3.2235378888535761E-2</v>
      </c>
      <c r="CJ21">
        <f t="shared" si="344"/>
        <v>3.1832436652429061E-2</v>
      </c>
      <c r="CK21">
        <f t="shared" si="345"/>
        <v>3.1434531194273696E-2</v>
      </c>
      <c r="CL21">
        <f t="shared" si="346"/>
        <v>3.1041599554345278E-2</v>
      </c>
      <c r="CM21">
        <f t="shared" si="347"/>
        <v>3.0653579559915968E-2</v>
      </c>
      <c r="CN21">
        <f t="shared" si="348"/>
        <v>3.027040981541702E-2</v>
      </c>
      <c r="CO21">
        <f t="shared" si="349"/>
        <v>2.9892029692724309E-2</v>
      </c>
      <c r="CP21">
        <f t="shared" si="350"/>
        <v>2.9518379321565258E-2</v>
      </c>
      <c r="CQ21">
        <f t="shared" si="351"/>
        <v>2.9149399580045688E-2</v>
      </c>
      <c r="CR21">
        <f t="shared" si="352"/>
        <v>2.8785032085295113E-2</v>
      </c>
      <c r="CS21">
        <f t="shared" si="353"/>
        <v>2.8425219184228922E-2</v>
      </c>
      <c r="CT21">
        <f t="shared" si="354"/>
        <v>2.8069903944426055E-2</v>
      </c>
      <c r="CU21">
        <f t="shared" si="355"/>
        <v>2.7719030145120727E-2</v>
      </c>
      <c r="CV21">
        <f t="shared" si="356"/>
        <v>2.737254226830672E-2</v>
      </c>
      <c r="CW21">
        <f t="shared" si="357"/>
        <v>2.7030385489952891E-2</v>
      </c>
      <c r="CX21">
        <f t="shared" si="358"/>
        <v>2.6692505671328481E-2</v>
      </c>
      <c r="CY21">
        <f t="shared" si="359"/>
        <v>2.6358849350436874E-2</v>
      </c>
      <c r="CZ21">
        <f t="shared" si="360"/>
        <v>2.602936373355641E-2</v>
      </c>
      <c r="DA21">
        <f t="shared" si="361"/>
        <v>2.5703996686886953E-2</v>
      </c>
      <c r="DB21">
        <f t="shared" si="362"/>
        <v>2.5382696728300867E-2</v>
      </c>
      <c r="DC21">
        <f t="shared" si="363"/>
        <v>2.5065413019197104E-2</v>
      </c>
      <c r="DD21">
        <f t="shared" si="364"/>
        <v>2.4752095356457136E-2</v>
      </c>
      <c r="DE21">
        <f t="shared" si="365"/>
        <v>2.444269416450142E-2</v>
      </c>
      <c r="DF21">
        <f t="shared" si="366"/>
        <v>2.4137160487445151E-2</v>
      </c>
      <c r="DG21">
        <f t="shared" si="367"/>
        <v>2.3835445981352087E-2</v>
      </c>
      <c r="DH21">
        <f t="shared" si="368"/>
        <v>2.3537502906585184E-2</v>
      </c>
      <c r="DI21">
        <f t="shared" si="369"/>
        <v>2.3243284120252873E-2</v>
      </c>
      <c r="DJ21">
        <f t="shared" si="370"/>
        <v>2.2952743068749715E-2</v>
      </c>
      <c r="DK21">
        <f t="shared" si="371"/>
        <v>2.2665833780390342E-2</v>
      </c>
      <c r="DL21">
        <f t="shared" si="372"/>
        <v>2.2382510858135463E-2</v>
      </c>
      <c r="DM21">
        <f t="shared" si="373"/>
        <v>2.2102729472408766E-2</v>
      </c>
      <c r="DN21">
        <f t="shared" si="374"/>
        <v>2.1826445354003653E-2</v>
      </c>
      <c r="DO21">
        <f t="shared" si="375"/>
        <v>2.1553614787078613E-2</v>
      </c>
      <c r="DP21">
        <f t="shared" si="376"/>
        <v>2.1284194602240125E-2</v>
      </c>
      <c r="DQ21">
        <f t="shared" si="377"/>
        <v>2.101814216971213E-2</v>
      </c>
      <c r="DR21">
        <f t="shared" si="378"/>
        <v>2.0755415392590727E-2</v>
      </c>
      <c r="DS21">
        <f t="shared" si="379"/>
        <v>2.049597270018334E-2</v>
      </c>
      <c r="DT21">
        <f t="shared" si="380"/>
        <v>2.0239773041431052E-2</v>
      </c>
      <c r="DU21">
        <f t="shared" si="381"/>
        <v>1.9986775878413167E-2</v>
      </c>
      <c r="DV21">
        <f t="shared" si="382"/>
        <v>1.9736941179933E-2</v>
      </c>
      <c r="DW21">
        <f t="shared" si="383"/>
        <v>1.9490229415183837E-2</v>
      </c>
      <c r="DX21">
        <f t="shared" si="384"/>
        <v>1.9246601547494035E-2</v>
      </c>
      <c r="DY21">
        <f t="shared" si="385"/>
        <v>1.9006019028150356E-2</v>
      </c>
      <c r="DZ21">
        <f t="shared" si="386"/>
        <v>1.8768443790298472E-2</v>
      </c>
      <c r="EA21">
        <f t="shared" si="387"/>
        <v>1.8533838242919744E-2</v>
      </c>
      <c r="EB21">
        <f t="shared" si="388"/>
        <v>1.8302165264883243E-2</v>
      </c>
      <c r="EC21">
        <f t="shared" si="389"/>
        <v>1.8073388199072206E-2</v>
      </c>
      <c r="ED21">
        <f t="shared" si="390"/>
        <v>1.78474708465838E-2</v>
      </c>
      <c r="EE21">
        <f t="shared" si="391"/>
        <v>1.7624377461001504E-2</v>
      </c>
      <c r="EF21">
        <f t="shared" si="392"/>
        <v>1.7404072742738984E-2</v>
      </c>
      <c r="EG21">
        <f t="shared" si="393"/>
        <v>1.7186521833454749E-2</v>
      </c>
      <c r="EH21">
        <f t="shared" si="394"/>
        <v>1.697169031053657E-2</v>
      </c>
      <c r="EI21">
        <f t="shared" si="395"/>
        <v>1.6759544181654863E-2</v>
      </c>
      <c r="EJ21">
        <f t="shared" si="396"/>
        <v>1.6550049879384177E-2</v>
      </c>
      <c r="EK21">
        <f t="shared" si="397"/>
        <v>1.6343174255891879E-2</v>
      </c>
      <c r="EL21">
        <f t="shared" si="398"/>
        <v>1.6138884577693236E-2</v>
      </c>
      <c r="EM21">
        <f t="shared" si="399"/>
        <v>1.5937148520472066E-2</v>
      </c>
      <c r="EN21">
        <f t="shared" si="400"/>
        <v>1.5737934163966162E-2</v>
      </c>
      <c r="EO21">
        <f t="shared" si="401"/>
        <v>1.5541209986916582E-2</v>
      </c>
      <c r="EP21">
        <f t="shared" si="402"/>
        <v>1.5346944862080126E-2</v>
      </c>
      <c r="EQ21">
        <f t="shared" si="403"/>
        <v>1.5155108051304123E-2</v>
      </c>
      <c r="ER21">
        <f t="shared" si="404"/>
        <v>1.4965669200662824E-2</v>
      </c>
      <c r="ES21">
        <f t="shared" si="405"/>
        <v>1.4778598335654536E-2</v>
      </c>
      <c r="ET21">
        <f t="shared" si="406"/>
        <v>1.4593865856458854E-2</v>
      </c>
      <c r="EU21">
        <f t="shared" si="407"/>
        <v>1.4411442533253115E-2</v>
      </c>
      <c r="EV21">
        <f t="shared" si="408"/>
        <v>1.4231299501587446E-2</v>
      </c>
      <c r="EW21">
        <f t="shared" si="409"/>
        <v>1.40534082578176E-2</v>
      </c>
      <c r="EX21">
        <f t="shared" si="410"/>
        <v>1.3877740654594883E-2</v>
      </c>
      <c r="EY21">
        <f t="shared" si="411"/>
        <v>1.3704268896412453E-2</v>
      </c>
      <c r="EZ21">
        <f t="shared" si="412"/>
        <v>1.3532965535207298E-2</v>
      </c>
      <c r="FA21">
        <f t="shared" si="413"/>
        <v>1.336380346601721E-2</v>
      </c>
      <c r="FB21">
        <f t="shared" si="414"/>
        <v>1.3196755922691993E-2</v>
      </c>
      <c r="FC21">
        <f t="shared" si="415"/>
        <v>1.3031796473658342E-2</v>
      </c>
      <c r="FD21">
        <f t="shared" si="416"/>
        <v>1.2868899017737611E-2</v>
      </c>
      <c r="FE21">
        <f t="shared" si="417"/>
        <v>1.2708037780015891E-2</v>
      </c>
      <c r="FF21">
        <f t="shared" si="418"/>
        <v>1.2549187307765696E-2</v>
      </c>
      <c r="FG21">
        <f t="shared" si="419"/>
        <v>1.2392322466418627E-2</v>
      </c>
      <c r="FH21">
        <f t="shared" si="420"/>
        <v>1.2237418435588399E-2</v>
      </c>
      <c r="FI21">
        <f t="shared" si="421"/>
        <v>1.2084450705143546E-2</v>
      </c>
      <c r="FJ21">
        <f t="shared" si="422"/>
        <v>1.1933395071329256E-2</v>
      </c>
      <c r="FK21">
        <f t="shared" si="423"/>
        <v>1.1784227632937638E-2</v>
      </c>
      <c r="FL21">
        <f t="shared" si="424"/>
        <v>1.1636924787525916E-2</v>
      </c>
      <c r="FM21">
        <f t="shared" si="425"/>
        <v>1.1491463227681843E-2</v>
      </c>
      <c r="FN21">
        <f t="shared" si="426"/>
        <v>1.1347819937335824E-2</v>
      </c>
      <c r="FO21">
        <f t="shared" si="427"/>
        <v>1.1205972188119129E-2</v>
      </c>
      <c r="FP21">
        <f t="shared" si="428"/>
        <v>1.1065897535767644E-2</v>
      </c>
      <c r="FQ21">
        <f t="shared" si="429"/>
        <v>1.0927573816570547E-2</v>
      </c>
      <c r="FR21">
        <f t="shared" si="430"/>
        <v>1.079097914386341E-2</v>
      </c>
      <c r="FS21">
        <f t="shared" si="431"/>
        <v>1.0656091904565113E-2</v>
      </c>
      <c r="FT21">
        <f t="shared" si="432"/>
        <v>1.0522890755758052E-2</v>
      </c>
      <c r="FU21">
        <f t="shared" si="433"/>
        <v>1.0391354621311077E-2</v>
      </c>
      <c r="FV21">
        <f t="shared" si="434"/>
        <v>1.0261462688544687E-2</v>
      </c>
      <c r="FW21">
        <f t="shared" si="435"/>
        <v>1.0133194404937873E-2</v>
      </c>
      <c r="FX21">
        <f t="shared" si="436"/>
        <v>1.0006529474876147E-2</v>
      </c>
      <c r="FY21">
        <f t="shared" si="437"/>
        <v>9.8814478564401946E-3</v>
      </c>
      <c r="FZ21">
        <f t="shared" si="438"/>
        <v>9.7579297582346958E-3</v>
      </c>
      <c r="GA21">
        <f t="shared" si="439"/>
        <v>9.6359556362567659E-3</v>
      </c>
      <c r="GB21">
        <f t="shared" si="440"/>
        <v>9.5155061908035569E-3</v>
      </c>
      <c r="GC21">
        <f t="shared" si="441"/>
        <v>9.3965623634185147E-3</v>
      </c>
      <c r="GD21">
        <f t="shared" si="442"/>
        <v>9.2791053338757805E-3</v>
      </c>
      <c r="GE21">
        <f t="shared" si="443"/>
        <v>9.1631165172023302E-3</v>
      </c>
      <c r="GF21">
        <f t="shared" si="444"/>
        <v>9.0485775607373024E-3</v>
      </c>
      <c r="GG21">
        <f t="shared" si="445"/>
        <v>8.9354703412280918E-3</v>
      </c>
      <c r="GH21">
        <f t="shared" si="446"/>
        <v>8.8237769619627371E-3</v>
      </c>
      <c r="GI21">
        <f t="shared" si="447"/>
        <v>8.7134797499382015E-3</v>
      </c>
      <c r="GJ21">
        <f t="shared" si="448"/>
        <v>8.6045612530639692E-3</v>
      </c>
      <c r="GK21">
        <f t="shared" si="449"/>
        <v>8.4970042374006745E-3</v>
      </c>
      <c r="GL21">
        <f t="shared" si="450"/>
        <v>8.3907916844331628E-3</v>
      </c>
      <c r="GM21">
        <f t="shared" si="451"/>
        <v>8.2859067883777511E-3</v>
      </c>
      <c r="GN21">
        <f t="shared" si="452"/>
        <v>8.1823329535230301E-3</v>
      </c>
      <c r="GO21">
        <f t="shared" si="453"/>
        <v>8.0800537916039909E-3</v>
      </c>
      <c r="GP21">
        <f t="shared" si="454"/>
        <v>7.9790531192089446E-3</v>
      </c>
      <c r="GQ21">
        <f t="shared" si="455"/>
        <v>7.8793149552188295E-3</v>
      </c>
      <c r="GR21">
        <f t="shared" si="456"/>
        <v>7.7808235182785903E-3</v>
      </c>
      <c r="GS21">
        <f t="shared" si="457"/>
        <v>7.6835632243001054E-3</v>
      </c>
      <c r="GT21">
        <f t="shared" si="458"/>
        <v>7.5875186839963523E-3</v>
      </c>
      <c r="GU21">
        <f t="shared" si="459"/>
        <v>7.4926747004464E-3</v>
      </c>
      <c r="GV21">
        <f t="shared" si="460"/>
        <v>7.3990162666908166E-3</v>
      </c>
      <c r="GW21">
        <f t="shared" si="461"/>
        <v>7.3065285633571843E-3</v>
      </c>
      <c r="GX21">
        <f t="shared" si="462"/>
        <v>7.2151969563152172E-3</v>
      </c>
      <c r="GY21">
        <f t="shared" si="463"/>
        <v>7.1250069943612823E-3</v>
      </c>
      <c r="GZ21">
        <f t="shared" si="464"/>
        <v>7.035944406931771E-3</v>
      </c>
      <c r="HA21">
        <f t="shared" si="465"/>
        <v>6.947995101845128E-3</v>
      </c>
      <c r="HB21">
        <f t="shared" si="466"/>
        <v>6.8611451630720688E-3</v>
      </c>
      <c r="HC21">
        <f t="shared" si="467"/>
        <v>6.7753808485336627E-3</v>
      </c>
      <c r="HD21">
        <f t="shared" si="468"/>
        <v>6.6906885879269963E-3</v>
      </c>
      <c r="HE21">
        <f t="shared" si="469"/>
        <v>6.607054980577909E-3</v>
      </c>
      <c r="HF21">
        <f t="shared" si="470"/>
        <v>6.5244667933206822E-3</v>
      </c>
      <c r="HG21">
        <f t="shared" si="471"/>
        <v>6.442910958404169E-3</v>
      </c>
      <c r="HH21">
        <f t="shared" si="472"/>
        <v>6.3623745714241117E-3</v>
      </c>
      <c r="HI21">
        <f t="shared" si="473"/>
        <v>6.2828448892813136E-3</v>
      </c>
      <c r="HJ21">
        <f t="shared" si="474"/>
        <v>6.204309328165303E-3</v>
      </c>
      <c r="HK21">
        <f t="shared" si="475"/>
        <v>6.1267554615632384E-3</v>
      </c>
      <c r="HL21">
        <f t="shared" si="476"/>
        <v>6.050171018293693E-3</v>
      </c>
      <c r="HM21">
        <f t="shared" si="477"/>
        <v>5.9745438805650199E-3</v>
      </c>
      <c r="HN21">
        <f t="shared" si="478"/>
        <v>5.8998620820579608E-3</v>
      </c>
      <c r="HO21">
        <f t="shared" si="479"/>
        <v>5.82611380603224E-3</v>
      </c>
      <c r="HP21">
        <f t="shared" si="480"/>
        <v>5.7532873834568402E-3</v>
      </c>
      <c r="HQ21">
        <f t="shared" si="481"/>
        <v>5.6813712911636281E-3</v>
      </c>
      <c r="HR21">
        <f t="shared" si="482"/>
        <v>5.6103541500240883E-3</v>
      </c>
      <c r="HS21">
        <f t="shared" si="483"/>
        <v>5.5402247231487898E-3</v>
      </c>
      <c r="HT21">
        <f t="shared" si="484"/>
        <v>5.4709719141094347E-3</v>
      </c>
      <c r="HU21">
        <f t="shared" si="485"/>
        <v>5.4025847651830716E-3</v>
      </c>
      <c r="HV21">
        <f t="shared" si="486"/>
        <v>5.3350524556182834E-3</v>
      </c>
      <c r="HW21">
        <f t="shared" si="487"/>
        <v>5.2683642999230562E-3</v>
      </c>
      <c r="HX21">
        <f t="shared" si="488"/>
        <v>5.202509746174022E-3</v>
      </c>
      <c r="HY21">
        <f t="shared" si="489"/>
        <v>5.1374783743468487E-3</v>
      </c>
      <c r="HZ21">
        <f t="shared" si="490"/>
        <v>5.0732598946675147E-3</v>
      </c>
      <c r="IA21">
        <f t="shared" si="491"/>
        <v>5.009844145984166E-3</v>
      </c>
      <c r="IB21">
        <f t="shared" si="492"/>
        <v>4.9472210941593599E-3</v>
      </c>
      <c r="IC21">
        <f t="shared" si="493"/>
        <v>4.8853808304823668E-3</v>
      </c>
      <c r="ID21">
        <f t="shared" si="494"/>
        <v>4.8243135701013353E-3</v>
      </c>
      <c r="IE21">
        <f t="shared" si="495"/>
        <v>4.7640096504750649E-3</v>
      </c>
      <c r="IF21">
        <f t="shared" si="496"/>
        <v>4.7044595298441298E-3</v>
      </c>
      <c r="IG21">
        <f t="shared" si="497"/>
        <v>4.6456537857210824E-3</v>
      </c>
      <c r="IH21">
        <f t="shared" si="498"/>
        <v>4.5875831133995737E-3</v>
      </c>
      <c r="II21">
        <f t="shared" si="499"/>
        <v>4.5302383244820834E-3</v>
      </c>
      <c r="IJ21">
        <f t="shared" si="500"/>
        <v>4.4736103454260604E-3</v>
      </c>
      <c r="IK21">
        <f t="shared" si="501"/>
        <v>4.4176902161082391E-3</v>
      </c>
      <c r="IL21">
        <f t="shared" si="502"/>
        <v>4.3624690884068841E-3</v>
      </c>
      <c r="IM21">
        <f t="shared" si="503"/>
        <v>4.3079382248017994E-3</v>
      </c>
      <c r="IN21">
        <f t="shared" si="504"/>
        <v>4.2540889969917787E-3</v>
      </c>
      <c r="IO21">
        <f t="shared" si="505"/>
        <v>4.200912884529384E-3</v>
      </c>
      <c r="IP21">
        <f t="shared" si="506"/>
        <v>4.1484014734727622E-3</v>
      </c>
      <c r="IQ21">
        <f t="shared" si="507"/>
        <v>4.0965464550543505E-3</v>
      </c>
      <c r="IR21">
        <f t="shared" si="508"/>
        <v>4.0453396243661736E-3</v>
      </c>
      <c r="IS21">
        <f t="shared" si="509"/>
        <v>3.9947728790615923E-3</v>
      </c>
      <c r="IT21">
        <f t="shared" si="510"/>
        <v>3.9448382180733207E-3</v>
      </c>
      <c r="IU21">
        <f t="shared" si="511"/>
        <v>3.8955277403474042E-3</v>
      </c>
      <c r="IV21">
        <f t="shared" si="512"/>
        <v>3.8468336435930617E-3</v>
      </c>
    </row>
    <row r="22" spans="1:256" x14ac:dyDescent="0.2">
      <c r="A22" t="s">
        <v>493</v>
      </c>
      <c r="B22">
        <f t="shared" si="258"/>
        <v>-1.6400924849218828E-2</v>
      </c>
      <c r="C22">
        <f t="shared" si="259"/>
        <v>7.2643934442695318E-2</v>
      </c>
      <c r="D22">
        <f t="shared" si="260"/>
        <v>7.1735885262161611E-2</v>
      </c>
      <c r="E22">
        <f t="shared" si="261"/>
        <v>7.0839186696384601E-2</v>
      </c>
      <c r="F22">
        <f t="shared" si="262"/>
        <v>6.9953696862679798E-2</v>
      </c>
      <c r="G22">
        <f t="shared" si="263"/>
        <v>6.9079275651896282E-2</v>
      </c>
      <c r="H22">
        <f t="shared" si="264"/>
        <v>6.821578470624759E-2</v>
      </c>
      <c r="I22">
        <f t="shared" si="265"/>
        <v>6.7363087397419502E-2</v>
      </c>
      <c r="J22">
        <f t="shared" si="266"/>
        <v>-2.0539381425329333E-2</v>
      </c>
      <c r="K22">
        <f t="shared" si="267"/>
        <v>-2.0505638081425158E-2</v>
      </c>
      <c r="L22">
        <f t="shared" si="268"/>
        <v>-2.0471493234476813E-2</v>
      </c>
      <c r="M22">
        <f t="shared" si="269"/>
        <v>-2.0436758060697106E-2</v>
      </c>
      <c r="N22">
        <f t="shared" si="270"/>
        <v>-2.040126004119272E-2</v>
      </c>
      <c r="O22">
        <f t="shared" si="271"/>
        <v>-2.0364842048743743E-2</v>
      </c>
      <c r="P22">
        <f t="shared" si="272"/>
        <v>-2.0327361476602974E-2</v>
      </c>
      <c r="Q22">
        <f t="shared" si="273"/>
        <v>-2.0288689407705802E-2</v>
      </c>
      <c r="R22">
        <f t="shared" si="274"/>
        <v>-2.0248709822716478E-2</v>
      </c>
      <c r="S22">
        <f t="shared" si="275"/>
        <v>-2.0183241660714776E-2</v>
      </c>
      <c r="T22">
        <f t="shared" si="276"/>
        <v>-2.0118095073954716E-2</v>
      </c>
      <c r="U22">
        <f t="shared" si="277"/>
        <v>-2.0053068804490461E-2</v>
      </c>
      <c r="V22">
        <f t="shared" si="278"/>
        <v>-1.9987979972484585E-2</v>
      </c>
      <c r="W22">
        <f t="shared" si="279"/>
        <v>-1.9922662852432022E-2</v>
      </c>
      <c r="X22">
        <f t="shared" si="280"/>
        <v>-1.9856967724349105E-2</v>
      </c>
      <c r="Y22">
        <f t="shared" si="281"/>
        <v>-1.9790759795315159E-2</v>
      </c>
      <c r="Z22">
        <f t="shared" si="282"/>
        <v>-1.0012596547585651E-2</v>
      </c>
      <c r="AA22">
        <f t="shared" si="283"/>
        <v>-9.9786560203474119E-3</v>
      </c>
      <c r="AB22">
        <f t="shared" si="284"/>
        <v>-9.9494498191879353E-3</v>
      </c>
      <c r="AC22">
        <f t="shared" si="285"/>
        <v>-9.9246305938122774E-3</v>
      </c>
      <c r="AD22">
        <f t="shared" si="286"/>
        <v>-9.9038695095363897E-3</v>
      </c>
      <c r="AE22">
        <f t="shared" si="287"/>
        <v>-9.8868553419383699E-3</v>
      </c>
      <c r="AF22">
        <f t="shared" si="288"/>
        <v>-9.873293615732609E-3</v>
      </c>
      <c r="AG22">
        <f t="shared" si="289"/>
        <v>-9.8629057856364499E-3</v>
      </c>
      <c r="AH22">
        <f t="shared" si="290"/>
        <v>2.2871155836914302E-2</v>
      </c>
      <c r="AI22">
        <f t="shared" si="291"/>
        <v>2.2674286206832504E-2</v>
      </c>
      <c r="AJ22">
        <f t="shared" si="292"/>
        <v>2.2503280648642848E-2</v>
      </c>
      <c r="AK22">
        <f t="shared" si="293"/>
        <v>2.2357410337810378E-2</v>
      </c>
      <c r="AL22">
        <f t="shared" si="294"/>
        <v>2.2236022188794769E-2</v>
      </c>
      <c r="AM22">
        <f t="shared" si="295"/>
        <v>2.2138533203111273E-2</v>
      </c>
      <c r="AN22">
        <f t="shared" si="296"/>
        <v>2.2064425515393792E-2</v>
      </c>
      <c r="AO22">
        <f t="shared" si="297"/>
        <v>2.2013242051261751E-2</v>
      </c>
      <c r="AP22">
        <f t="shared" si="298"/>
        <v>5.7910924629955132E-2</v>
      </c>
      <c r="AQ22">
        <f t="shared" si="299"/>
        <v>5.7058634702769853E-2</v>
      </c>
      <c r="AR22">
        <f t="shared" si="300"/>
        <v>5.6243926887734816E-2</v>
      </c>
      <c r="AS22">
        <f t="shared" si="301"/>
        <v>5.5465305664645748E-2</v>
      </c>
      <c r="AT22">
        <f t="shared" si="302"/>
        <v>5.4721435767269955E-2</v>
      </c>
      <c r="AU22">
        <f t="shared" si="303"/>
        <v>5.4011124217147467E-2</v>
      </c>
      <c r="AV22">
        <f t="shared" si="304"/>
        <v>5.333330502113267E-2</v>
      </c>
      <c r="AW22">
        <f t="shared" si="305"/>
        <v>5.2687026096074584E-2</v>
      </c>
      <c r="AX22">
        <f t="shared" si="306"/>
        <v>5.640319902204631E-2</v>
      </c>
      <c r="AY22">
        <f t="shared" si="307"/>
        <v>5.6385650592111036E-2</v>
      </c>
      <c r="AZ22">
        <f t="shared" si="308"/>
        <v>5.6414719122773981E-2</v>
      </c>
      <c r="BA22">
        <f t="shared" si="309"/>
        <v>5.6489841106488782E-2</v>
      </c>
      <c r="BB22">
        <f t="shared" si="310"/>
        <v>5.6610705056853172E-2</v>
      </c>
      <c r="BC22">
        <f t="shared" si="311"/>
        <v>5.6777222825723207E-2</v>
      </c>
      <c r="BD22">
        <f t="shared" si="312"/>
        <v>5.6989506669602522E-2</v>
      </c>
      <c r="BE22">
        <f t="shared" si="313"/>
        <v>5.7247850949630363E-2</v>
      </c>
      <c r="BF22">
        <f t="shared" si="314"/>
        <v>5.7552717605720546E-2</v>
      </c>
      <c r="BG22">
        <f t="shared" si="315"/>
        <v>5.7417645239826329E-2</v>
      </c>
      <c r="BH22">
        <f t="shared" si="316"/>
        <v>5.6699924674328495E-2</v>
      </c>
      <c r="BI22">
        <f t="shared" si="317"/>
        <v>5.5991175615899391E-2</v>
      </c>
      <c r="BJ22">
        <f t="shared" si="318"/>
        <v>5.529128592070065E-2</v>
      </c>
      <c r="BK22">
        <f t="shared" si="319"/>
        <v>5.4600144846691887E-2</v>
      </c>
      <c r="BL22">
        <f t="shared" si="320"/>
        <v>5.3917643036108243E-2</v>
      </c>
      <c r="BM22">
        <f t="shared" si="321"/>
        <v>5.324367249815689E-2</v>
      </c>
      <c r="BN22">
        <f t="shared" si="322"/>
        <v>5.2578126591929931E-2</v>
      </c>
      <c r="BO22">
        <f t="shared" si="323"/>
        <v>5.1920900009530799E-2</v>
      </c>
      <c r="BP22">
        <f t="shared" si="324"/>
        <v>5.1271888759411667E-2</v>
      </c>
      <c r="BQ22">
        <f t="shared" si="325"/>
        <v>5.0630990149919029E-2</v>
      </c>
      <c r="BR22">
        <f t="shared" si="326"/>
        <v>4.999810277304504E-2</v>
      </c>
      <c r="BS22">
        <f t="shared" si="327"/>
        <v>4.9373126488381977E-2</v>
      </c>
      <c r="BT22">
        <f t="shared" si="328"/>
        <v>4.8755962407277212E-2</v>
      </c>
      <c r="BU22">
        <f t="shared" si="329"/>
        <v>4.8146512877186243E-2</v>
      </c>
      <c r="BV22">
        <f t="shared" si="330"/>
        <v>4.7544681466221414E-2</v>
      </c>
      <c r="BW22">
        <f t="shared" si="331"/>
        <v>4.695037294789365E-2</v>
      </c>
      <c r="BX22">
        <f t="shared" si="332"/>
        <v>4.6363493286044978E-2</v>
      </c>
      <c r="BY22">
        <f t="shared" si="333"/>
        <v>4.5783949619969413E-2</v>
      </c>
      <c r="BZ22">
        <f t="shared" si="334"/>
        <v>4.5211650249719793E-2</v>
      </c>
      <c r="CA22">
        <f t="shared" si="335"/>
        <v>4.464650462159829E-2</v>
      </c>
      <c r="CB22">
        <f t="shared" si="336"/>
        <v>4.4088423313828319E-2</v>
      </c>
      <c r="CC22">
        <f t="shared" si="337"/>
        <v>4.3537318022405472E-2</v>
      </c>
      <c r="CD22">
        <f t="shared" si="338"/>
        <v>4.2993101547125399E-2</v>
      </c>
      <c r="CE22">
        <f t="shared" si="339"/>
        <v>4.2455687777786334E-2</v>
      </c>
      <c r="CF22">
        <f t="shared" si="340"/>
        <v>4.1924991680564003E-2</v>
      </c>
      <c r="CG22">
        <f t="shared" si="341"/>
        <v>4.140092928455695E-2</v>
      </c>
      <c r="CH22">
        <f t="shared" si="342"/>
        <v>4.088341766849999E-2</v>
      </c>
      <c r="CI22">
        <f t="shared" si="343"/>
        <v>4.0372374947643744E-2</v>
      </c>
      <c r="CJ22">
        <f t="shared" si="344"/>
        <v>3.9867720260798191E-2</v>
      </c>
      <c r="CK22">
        <f t="shared" si="345"/>
        <v>3.9369373757538219E-2</v>
      </c>
      <c r="CL22">
        <f t="shared" si="346"/>
        <v>3.8877256585568988E-2</v>
      </c>
      <c r="CM22">
        <f t="shared" si="347"/>
        <v>3.8391290878249371E-2</v>
      </c>
      <c r="CN22">
        <f t="shared" si="348"/>
        <v>3.7911399742271257E-2</v>
      </c>
      <c r="CO22">
        <f t="shared" si="349"/>
        <v>3.7437507245492864E-2</v>
      </c>
      <c r="CP22">
        <f t="shared" si="350"/>
        <v>3.6969538404924208E-2</v>
      </c>
      <c r="CQ22">
        <f t="shared" si="351"/>
        <v>3.6507419174862651E-2</v>
      </c>
      <c r="CR22">
        <f t="shared" si="352"/>
        <v>3.6051076435176875E-2</v>
      </c>
      <c r="CS22">
        <f t="shared" si="353"/>
        <v>3.5600437979737165E-2</v>
      </c>
      <c r="CT22">
        <f t="shared" si="354"/>
        <v>3.5155432504990446E-2</v>
      </c>
      <c r="CU22">
        <f t="shared" si="355"/>
        <v>3.4715989598678068E-2</v>
      </c>
      <c r="CV22">
        <f t="shared" si="356"/>
        <v>3.4282039728694591E-2</v>
      </c>
      <c r="CW22">
        <f t="shared" si="357"/>
        <v>3.3853514232085914E-2</v>
      </c>
      <c r="CX22">
        <f t="shared" si="358"/>
        <v>3.3430345304184837E-2</v>
      </c>
      <c r="CY22">
        <f t="shared" si="359"/>
        <v>3.3012465987882531E-2</v>
      </c>
      <c r="CZ22">
        <f t="shared" si="360"/>
        <v>3.2599810163034003E-2</v>
      </c>
      <c r="DA22">
        <f t="shared" si="361"/>
        <v>3.2192312535996082E-2</v>
      </c>
      <c r="DB22">
        <f t="shared" si="362"/>
        <v>3.1789908629296128E-2</v>
      </c>
      <c r="DC22">
        <f t="shared" si="363"/>
        <v>3.1392534771429927E-2</v>
      </c>
      <c r="DD22">
        <f t="shared" si="364"/>
        <v>3.1000128086787048E-2</v>
      </c>
      <c r="DE22">
        <f t="shared" si="365"/>
        <v>3.0612626485702212E-2</v>
      </c>
      <c r="DF22">
        <f t="shared" si="366"/>
        <v>3.0229968654630936E-2</v>
      </c>
      <c r="DG22">
        <f t="shared" si="367"/>
        <v>2.9852094046448053E-2</v>
      </c>
      <c r="DH22">
        <f t="shared" si="368"/>
        <v>2.9478942870867452E-2</v>
      </c>
      <c r="DI22">
        <f t="shared" si="369"/>
        <v>2.9110456084981605E-2</v>
      </c>
      <c r="DJ22">
        <f t="shared" si="370"/>
        <v>2.8746575383919337E-2</v>
      </c>
      <c r="DK22">
        <f t="shared" si="371"/>
        <v>2.8387243191620348E-2</v>
      </c>
      <c r="DL22">
        <f t="shared" si="372"/>
        <v>2.8032402651725095E-2</v>
      </c>
      <c r="DM22">
        <f t="shared" si="373"/>
        <v>2.7681997618578535E-2</v>
      </c>
      <c r="DN22">
        <f t="shared" si="374"/>
        <v>2.7335972648346307E-2</v>
      </c>
      <c r="DO22">
        <f t="shared" si="375"/>
        <v>2.6994272990241975E-2</v>
      </c>
      <c r="DP22">
        <f t="shared" si="376"/>
        <v>2.6656844577863947E-2</v>
      </c>
      <c r="DQ22">
        <f t="shared" si="377"/>
        <v>2.6323634020640651E-2</v>
      </c>
      <c r="DR22">
        <f t="shared" si="378"/>
        <v>2.5994588595382638E-2</v>
      </c>
      <c r="DS22">
        <f t="shared" si="379"/>
        <v>2.5669656237940354E-2</v>
      </c>
      <c r="DT22">
        <f t="shared" si="380"/>
        <v>2.5348785534966101E-2</v>
      </c>
      <c r="DU22">
        <f t="shared" si="381"/>
        <v>2.5031925715779023E-2</v>
      </c>
      <c r="DV22">
        <f t="shared" si="382"/>
        <v>2.4719026644331787E-2</v>
      </c>
      <c r="DW22">
        <f t="shared" si="383"/>
        <v>2.4410038811277634E-2</v>
      </c>
      <c r="DX22">
        <f t="shared" si="384"/>
        <v>2.4104913326136668E-2</v>
      </c>
      <c r="DY22">
        <f t="shared" si="385"/>
        <v>2.3803601909559956E-2</v>
      </c>
      <c r="DZ22">
        <f t="shared" si="386"/>
        <v>2.3506056885690463E-2</v>
      </c>
      <c r="EA22">
        <f t="shared" si="387"/>
        <v>2.3212231174619336E-2</v>
      </c>
      <c r="EB22">
        <f t="shared" si="388"/>
        <v>2.2922078284936597E-2</v>
      </c>
      <c r="EC22">
        <f t="shared" si="389"/>
        <v>2.2635552306374894E-2</v>
      </c>
      <c r="ED22">
        <f t="shared" si="390"/>
        <v>2.2352607902545209E-2</v>
      </c>
      <c r="EE22">
        <f t="shared" si="391"/>
        <v>2.2073200303763398E-2</v>
      </c>
      <c r="EF22">
        <f t="shared" si="392"/>
        <v>2.179728529996635E-2</v>
      </c>
      <c r="EG22">
        <f t="shared" si="393"/>
        <v>2.1524819233716776E-2</v>
      </c>
      <c r="EH22">
        <f t="shared" si="394"/>
        <v>2.1255758993295314E-2</v>
      </c>
      <c r="EI22">
        <f t="shared" si="395"/>
        <v>2.0990062005879127E-2</v>
      </c>
      <c r="EJ22">
        <f t="shared" si="396"/>
        <v>2.0727686230805641E-2</v>
      </c>
      <c r="EK22">
        <f t="shared" si="397"/>
        <v>2.0468590152920574E-2</v>
      </c>
      <c r="EL22">
        <f t="shared" si="398"/>
        <v>2.0212732776009067E-2</v>
      </c>
      <c r="EM22">
        <f t="shared" si="399"/>
        <v>1.9960073616308961E-2</v>
      </c>
      <c r="EN22">
        <f t="shared" si="400"/>
        <v>1.97105726961051E-2</v>
      </c>
      <c r="EO22">
        <f t="shared" si="401"/>
        <v>1.946419053740378E-2</v>
      </c>
      <c r="EP22">
        <f t="shared" si="402"/>
        <v>1.9220888155686233E-2</v>
      </c>
      <c r="EQ22">
        <f t="shared" si="403"/>
        <v>1.8980627053740151E-2</v>
      </c>
      <c r="ER22">
        <f t="shared" si="404"/>
        <v>1.8743369215568396E-2</v>
      </c>
      <c r="ES22">
        <f t="shared" si="405"/>
        <v>1.8509077100373795E-2</v>
      </c>
      <c r="ET22">
        <f t="shared" si="406"/>
        <v>1.827771363661912E-2</v>
      </c>
      <c r="EU22">
        <f t="shared" si="407"/>
        <v>1.8049242216161377E-2</v>
      </c>
      <c r="EV22">
        <f t="shared" si="408"/>
        <v>1.7823626688459361E-2</v>
      </c>
      <c r="EW22">
        <f t="shared" si="409"/>
        <v>1.760083135485362E-2</v>
      </c>
      <c r="EX22">
        <f t="shared" si="410"/>
        <v>1.7380820962917952E-2</v>
      </c>
      <c r="EY22">
        <f t="shared" si="411"/>
        <v>1.7163560700881476E-2</v>
      </c>
      <c r="EZ22">
        <f t="shared" si="412"/>
        <v>1.6949016192120459E-2</v>
      </c>
      <c r="FA22">
        <f t="shared" si="413"/>
        <v>1.6737153489718947E-2</v>
      </c>
      <c r="FB22">
        <f t="shared" si="414"/>
        <v>1.6527939071097463E-2</v>
      </c>
      <c r="FC22">
        <f t="shared" si="415"/>
        <v>1.6321339832708746E-2</v>
      </c>
      <c r="FD22">
        <f t="shared" si="416"/>
        <v>1.6117323084799885E-2</v>
      </c>
      <c r="FE22">
        <f t="shared" si="417"/>
        <v>1.5915856546239882E-2</v>
      </c>
      <c r="FF22">
        <f t="shared" si="418"/>
        <v>1.5716908339411882E-2</v>
      </c>
      <c r="FG22">
        <f t="shared" si="419"/>
        <v>1.5520446985169235E-2</v>
      </c>
      <c r="FH22">
        <f t="shared" si="420"/>
        <v>1.5326441397854617E-2</v>
      </c>
      <c r="FI22">
        <f t="shared" si="421"/>
        <v>1.513486088038144E-2</v>
      </c>
      <c r="FJ22">
        <f t="shared" si="422"/>
        <v>1.4945675119376667E-2</v>
      </c>
      <c r="FK22">
        <f t="shared" si="423"/>
        <v>1.4758854180384463E-2</v>
      </c>
      <c r="FL22">
        <f t="shared" si="424"/>
        <v>1.4574368503129653E-2</v>
      </c>
      <c r="FM22">
        <f t="shared" si="425"/>
        <v>1.4392188896840529E-2</v>
      </c>
      <c r="FN22">
        <f t="shared" si="426"/>
        <v>1.4212286535630026E-2</v>
      </c>
      <c r="FO22">
        <f t="shared" si="427"/>
        <v>1.4034632953934645E-2</v>
      </c>
      <c r="FP22">
        <f t="shared" si="428"/>
        <v>1.3859200042010467E-2</v>
      </c>
      <c r="FQ22">
        <f t="shared" si="429"/>
        <v>1.3685960041485335E-2</v>
      </c>
      <c r="FR22">
        <f t="shared" si="430"/>
        <v>1.351488554096677E-2</v>
      </c>
      <c r="FS22">
        <f t="shared" si="431"/>
        <v>1.3345949471704689E-2</v>
      </c>
      <c r="FT22">
        <f t="shared" si="432"/>
        <v>1.3179125103308376E-2</v>
      </c>
      <c r="FU22">
        <f t="shared" si="433"/>
        <v>1.3014386039517023E-2</v>
      </c>
      <c r="FV22">
        <f t="shared" si="434"/>
        <v>1.2851706214023062E-2</v>
      </c>
      <c r="FW22">
        <f t="shared" si="435"/>
        <v>1.2691059886347777E-2</v>
      </c>
      <c r="FX22">
        <f t="shared" si="436"/>
        <v>1.2532421637768432E-2</v>
      </c>
      <c r="FY22">
        <f t="shared" si="437"/>
        <v>1.2375766367296325E-2</v>
      </c>
      <c r="FZ22">
        <f t="shared" si="438"/>
        <v>1.2221069287705121E-2</v>
      </c>
      <c r="GA22">
        <f t="shared" si="439"/>
        <v>1.2068305921608813E-2</v>
      </c>
      <c r="GB22">
        <f t="shared" si="440"/>
        <v>1.19174520975887E-2</v>
      </c>
      <c r="GC22">
        <f t="shared" si="441"/>
        <v>1.1768483946368835E-2</v>
      </c>
      <c r="GD22">
        <f t="shared" si="442"/>
        <v>1.1621377897039219E-2</v>
      </c>
      <c r="GE22">
        <f t="shared" si="443"/>
        <v>1.1476110673326234E-2</v>
      </c>
      <c r="GF22">
        <f t="shared" si="444"/>
        <v>1.1332659289909652E-2</v>
      </c>
      <c r="GG22">
        <f t="shared" si="445"/>
        <v>1.1191001048785787E-2</v>
      </c>
      <c r="GH22">
        <f t="shared" si="446"/>
        <v>1.105111353567596E-2</v>
      </c>
      <c r="GI22">
        <f t="shared" si="447"/>
        <v>1.0912974616480008E-2</v>
      </c>
      <c r="GJ22">
        <f t="shared" si="448"/>
        <v>1.0776562433774006E-2</v>
      </c>
      <c r="GK22">
        <f t="shared" si="449"/>
        <v>1.064185540335183E-2</v>
      </c>
      <c r="GL22">
        <f t="shared" si="450"/>
        <v>1.0508832210809938E-2</v>
      </c>
      <c r="GM22">
        <f t="shared" si="451"/>
        <v>1.0377471808174809E-2</v>
      </c>
      <c r="GN22">
        <f t="shared" si="452"/>
        <v>1.0247753410572625E-2</v>
      </c>
      <c r="GO22">
        <f t="shared" si="453"/>
        <v>1.0119656492940466E-2</v>
      </c>
      <c r="GP22">
        <f t="shared" si="454"/>
        <v>9.9931607867787091E-3</v>
      </c>
      <c r="GQ22">
        <f t="shared" si="455"/>
        <v>9.8682462769439701E-3</v>
      </c>
      <c r="GR22">
        <f t="shared" si="456"/>
        <v>9.7448931984821744E-3</v>
      </c>
      <c r="GS22">
        <f t="shared" si="457"/>
        <v>9.6230820335011513E-3</v>
      </c>
      <c r="GT22">
        <f t="shared" si="458"/>
        <v>9.5027935080823859E-3</v>
      </c>
      <c r="GU22">
        <f t="shared" si="459"/>
        <v>9.3840085892313522E-3</v>
      </c>
      <c r="GV22">
        <f t="shared" si="460"/>
        <v>9.2667084818659588E-3</v>
      </c>
      <c r="GW22">
        <f t="shared" si="461"/>
        <v>9.150874625842631E-3</v>
      </c>
      <c r="GX22">
        <f t="shared" si="462"/>
        <v>9.0364886930195953E-3</v>
      </c>
      <c r="GY22">
        <f t="shared" si="463"/>
        <v>8.9235325843568525E-3</v>
      </c>
      <c r="GZ22">
        <f t="shared" si="464"/>
        <v>8.8119884270523967E-3</v>
      </c>
      <c r="HA22">
        <f t="shared" si="465"/>
        <v>8.7018385717142384E-3</v>
      </c>
      <c r="HB22">
        <f t="shared" si="466"/>
        <v>8.5930655895678047E-3</v>
      </c>
      <c r="HC22">
        <f t="shared" si="467"/>
        <v>8.485652269698208E-3</v>
      </c>
      <c r="HD22">
        <f t="shared" si="468"/>
        <v>8.3795816163269813E-3</v>
      </c>
      <c r="HE22">
        <f t="shared" si="469"/>
        <v>8.2748368461228912E-3</v>
      </c>
      <c r="HF22">
        <f t="shared" si="470"/>
        <v>8.1714013855463501E-3</v>
      </c>
      <c r="HG22">
        <f t="shared" si="471"/>
        <v>8.0692588682270243E-3</v>
      </c>
      <c r="HH22">
        <f t="shared" si="472"/>
        <v>7.9683931323741852E-3</v>
      </c>
      <c r="HI22">
        <f t="shared" si="473"/>
        <v>7.8687882182195031E-3</v>
      </c>
      <c r="HJ22">
        <f t="shared" si="474"/>
        <v>7.7704283654917551E-3</v>
      </c>
      <c r="HK22">
        <f t="shared" si="475"/>
        <v>7.6732980109231134E-3</v>
      </c>
      <c r="HL22">
        <f t="shared" si="476"/>
        <v>7.5773817857865741E-3</v>
      </c>
      <c r="HM22">
        <f t="shared" si="477"/>
        <v>7.4826645134642433E-3</v>
      </c>
      <c r="HN22">
        <f t="shared" si="478"/>
        <v>7.3891312070459405E-3</v>
      </c>
      <c r="HO22">
        <f t="shared" si="479"/>
        <v>7.2967670669578655E-3</v>
      </c>
      <c r="HP22">
        <f t="shared" si="480"/>
        <v>7.2055574786208942E-3</v>
      </c>
      <c r="HQ22">
        <f t="shared" si="481"/>
        <v>7.1154880101381383E-3</v>
      </c>
      <c r="HR22">
        <f t="shared" si="482"/>
        <v>7.0265444100114146E-3</v>
      </c>
      <c r="HS22">
        <f t="shared" si="483"/>
        <v>6.938712604886277E-3</v>
      </c>
      <c r="HT22">
        <f t="shared" si="484"/>
        <v>6.8519786973252009E-3</v>
      </c>
      <c r="HU22">
        <f t="shared" si="485"/>
        <v>6.7663289636086367E-3</v>
      </c>
      <c r="HV22">
        <f t="shared" si="486"/>
        <v>6.6817498515635235E-3</v>
      </c>
      <c r="HW22">
        <f t="shared" si="487"/>
        <v>6.5982279784189803E-3</v>
      </c>
      <c r="HX22">
        <f t="shared" si="488"/>
        <v>6.5157501286887461E-3</v>
      </c>
      <c r="HY22">
        <f t="shared" si="489"/>
        <v>6.4343032520801421E-3</v>
      </c>
      <c r="HZ22">
        <f t="shared" si="490"/>
        <v>6.353874461429143E-3</v>
      </c>
      <c r="IA22">
        <f t="shared" si="491"/>
        <v>6.2744510306612768E-3</v>
      </c>
      <c r="IB22">
        <f t="shared" si="492"/>
        <v>6.1960203927780124E-3</v>
      </c>
      <c r="IC22">
        <f t="shared" si="493"/>
        <v>6.1185701378682848E-3</v>
      </c>
      <c r="ID22">
        <f t="shared" si="494"/>
        <v>6.0420880111449306E-3</v>
      </c>
      <c r="IE22">
        <f t="shared" si="495"/>
        <v>5.9665619110056186E-3</v>
      </c>
      <c r="IF22">
        <f t="shared" si="496"/>
        <v>5.8919798871180486E-3</v>
      </c>
      <c r="IG22">
        <f t="shared" si="497"/>
        <v>5.8183301385290711E-3</v>
      </c>
      <c r="IH22">
        <f t="shared" si="498"/>
        <v>5.7456010117974523E-3</v>
      </c>
      <c r="II22">
        <f t="shared" si="499"/>
        <v>5.6737809991499796E-3</v>
      </c>
      <c r="IJ22">
        <f t="shared" si="500"/>
        <v>5.6028587366606097E-3</v>
      </c>
      <c r="IK22">
        <f t="shared" si="501"/>
        <v>5.5328230024523474E-3</v>
      </c>
      <c r="IL22">
        <f t="shared" si="502"/>
        <v>5.4636627149216906E-3</v>
      </c>
      <c r="IM22">
        <f t="shared" si="503"/>
        <v>5.3953669309851678E-3</v>
      </c>
      <c r="IN22">
        <f t="shared" si="504"/>
        <v>5.3279248443478533E-3</v>
      </c>
      <c r="IO22">
        <f t="shared" si="505"/>
        <v>5.2613257837935022E-3</v>
      </c>
      <c r="IP22">
        <f t="shared" si="506"/>
        <v>5.1955592114960817E-3</v>
      </c>
      <c r="IQ22">
        <f t="shared" si="507"/>
        <v>5.1306147213523775E-3</v>
      </c>
      <c r="IR22">
        <f t="shared" si="508"/>
        <v>5.0664820373354739E-3</v>
      </c>
      <c r="IS22">
        <f t="shared" si="509"/>
        <v>5.0031510118687785E-3</v>
      </c>
      <c r="IT22">
        <f t="shared" si="510"/>
        <v>4.9406116242204142E-3</v>
      </c>
      <c r="IU22">
        <f t="shared" si="511"/>
        <v>4.8788539789176629E-3</v>
      </c>
      <c r="IV22">
        <f t="shared" si="512"/>
        <v>4.8178683041811944E-3</v>
      </c>
    </row>
    <row r="23" spans="1:256" x14ac:dyDescent="0.2">
      <c r="A23" t="s">
        <v>494</v>
      </c>
      <c r="B23">
        <f t="shared" si="258"/>
        <v>-3.9696510607518526E-2</v>
      </c>
      <c r="C23">
        <f t="shared" si="259"/>
        <v>-3.1627627135847637E-2</v>
      </c>
      <c r="D23">
        <f t="shared" si="260"/>
        <v>-3.0677902248533683E-2</v>
      </c>
      <c r="E23">
        <f t="shared" si="261"/>
        <v>-2.9729198843516925E-2</v>
      </c>
      <c r="F23">
        <f t="shared" si="262"/>
        <v>-2.8781709243846348E-2</v>
      </c>
      <c r="G23">
        <f t="shared" si="263"/>
        <v>-2.7835618169240718E-2</v>
      </c>
      <c r="H23">
        <f t="shared" si="264"/>
        <v>-2.6891102716166283E-2</v>
      </c>
      <c r="I23">
        <f t="shared" si="265"/>
        <v>-2.5948332341606761E-2</v>
      </c>
      <c r="J23">
        <f t="shared" si="266"/>
        <v>-2.500746884893465E-2</v>
      </c>
      <c r="K23">
        <f t="shared" si="267"/>
        <v>-2.4932860458097859E-2</v>
      </c>
      <c r="L23">
        <f t="shared" si="268"/>
        <v>-2.4857509243954027E-2</v>
      </c>
      <c r="M23">
        <f t="shared" si="269"/>
        <v>-2.4781336971861866E-2</v>
      </c>
      <c r="N23">
        <f t="shared" si="270"/>
        <v>-2.4704269666328837E-2</v>
      </c>
      <c r="O23">
        <f t="shared" si="271"/>
        <v>-2.4626237718182085E-2</v>
      </c>
      <c r="P23">
        <f t="shared" si="272"/>
        <v>-2.454717596158253E-2</v>
      </c>
      <c r="Q23">
        <f t="shared" si="273"/>
        <v>-2.4467023723500923E-2</v>
      </c>
      <c r="R23">
        <f t="shared" si="274"/>
        <v>-1.2309370919529636E-2</v>
      </c>
      <c r="S23">
        <f t="shared" si="275"/>
        <v>-1.2470444466928046E-2</v>
      </c>
      <c r="T23">
        <f t="shared" si="276"/>
        <v>-1.2631399040081929E-2</v>
      </c>
      <c r="U23">
        <f t="shared" si="277"/>
        <v>-1.2791973967320827E-2</v>
      </c>
      <c r="V23">
        <f t="shared" si="278"/>
        <v>-1.295191451831568E-2</v>
      </c>
      <c r="W23">
        <f t="shared" si="279"/>
        <v>-1.3110972608739122E-2</v>
      </c>
      <c r="X23">
        <f t="shared" si="280"/>
        <v>-1.3268907413000176E-2</v>
      </c>
      <c r="Y23">
        <f t="shared" si="281"/>
        <v>-1.3425485891973293E-2</v>
      </c>
      <c r="Z23">
        <f t="shared" si="282"/>
        <v>8.0141064320652048E-3</v>
      </c>
      <c r="AA23">
        <f t="shared" si="283"/>
        <v>7.6648511483378926E-3</v>
      </c>
      <c r="AB23">
        <f t="shared" si="284"/>
        <v>7.3198377863860128E-3</v>
      </c>
      <c r="AC23">
        <f t="shared" si="285"/>
        <v>6.9787182974539287E-3</v>
      </c>
      <c r="AD23">
        <f t="shared" si="286"/>
        <v>6.6411754542953063E-3</v>
      </c>
      <c r="AE23">
        <f t="shared" si="287"/>
        <v>6.3069210161082355E-3</v>
      </c>
      <c r="AF23">
        <f t="shared" si="288"/>
        <v>5.975693995035153E-3</v>
      </c>
      <c r="AG23">
        <f t="shared" si="289"/>
        <v>5.6472590173342885E-3</v>
      </c>
      <c r="AH23">
        <f t="shared" si="290"/>
        <v>3.1367081629331363E-2</v>
      </c>
      <c r="AI23">
        <f t="shared" si="291"/>
        <v>3.1497302785369372E-2</v>
      </c>
      <c r="AJ23">
        <f t="shared" si="292"/>
        <v>3.1651541790053146E-2</v>
      </c>
      <c r="AK23">
        <f t="shared" si="293"/>
        <v>3.1830907985595978E-2</v>
      </c>
      <c r="AL23">
        <f t="shared" si="294"/>
        <v>3.2036586786093418E-2</v>
      </c>
      <c r="AM23">
        <f t="shared" si="295"/>
        <v>3.2269847916140529E-2</v>
      </c>
      <c r="AN23">
        <f t="shared" si="296"/>
        <v>3.2532054381251008E-2</v>
      </c>
      <c r="AO23">
        <f t="shared" si="297"/>
        <v>3.2824672289407227E-2</v>
      </c>
      <c r="AP23">
        <f t="shared" si="298"/>
        <v>-2.0539555432220403E-2</v>
      </c>
      <c r="AQ23">
        <f t="shared" si="299"/>
        <v>-1.9800349571634263E-2</v>
      </c>
      <c r="AR23">
        <f t="shared" si="300"/>
        <v>-1.9055798201279943E-2</v>
      </c>
      <c r="AS23">
        <f t="shared" si="301"/>
        <v>-1.8304821291102804E-2</v>
      </c>
      <c r="AT23">
        <f t="shared" si="302"/>
        <v>-1.7546366781275583E-2</v>
      </c>
      <c r="AU23">
        <f t="shared" si="303"/>
        <v>-1.6779404643791969E-2</v>
      </c>
      <c r="AV23">
        <f t="shared" si="304"/>
        <v>-1.6002921206819645E-2</v>
      </c>
      <c r="AW23">
        <f t="shared" si="305"/>
        <v>-1.5215913666021133E-2</v>
      </c>
      <c r="AX23">
        <f t="shared" si="306"/>
        <v>-1.8537080221414982E-3</v>
      </c>
      <c r="AY23">
        <f t="shared" si="307"/>
        <v>-8.8485201837733003E-4</v>
      </c>
      <c r="AZ23">
        <f t="shared" si="308"/>
        <v>1.2370882334155619E-4</v>
      </c>
      <c r="BA23">
        <f t="shared" si="309"/>
        <v>1.1751228930590497E-3</v>
      </c>
      <c r="BB23">
        <f t="shared" si="310"/>
        <v>2.2728427852545365E-3</v>
      </c>
      <c r="BC23">
        <f t="shared" si="311"/>
        <v>3.420653466559087E-3</v>
      </c>
      <c r="BD23">
        <f t="shared" si="312"/>
        <v>4.6227053190100063E-3</v>
      </c>
      <c r="BE23">
        <f t="shared" si="313"/>
        <v>5.8835525100835616E-3</v>
      </c>
      <c r="BF23">
        <f t="shared" si="314"/>
        <v>7.2081972810224045E-3</v>
      </c>
      <c r="BG23">
        <f t="shared" si="315"/>
        <v>8.6021408950101193E-3</v>
      </c>
      <c r="BH23">
        <f t="shared" si="316"/>
        <v>1.0064733101348583E-2</v>
      </c>
      <c r="BI23">
        <f t="shared" si="317"/>
        <v>1.1593313018138785E-2</v>
      </c>
      <c r="BJ23">
        <f t="shared" si="318"/>
        <v>1.3193340794535834E-2</v>
      </c>
      <c r="BK23">
        <f t="shared" si="319"/>
        <v>1.4804641815970066E-2</v>
      </c>
      <c r="BL23">
        <f t="shared" si="320"/>
        <v>1.642509150737843E-2</v>
      </c>
      <c r="BM23">
        <f t="shared" si="321"/>
        <v>1.8054842689674923E-2</v>
      </c>
      <c r="BN23">
        <f t="shared" si="322"/>
        <v>1.969406947153789E-2</v>
      </c>
      <c r="BO23">
        <f t="shared" si="323"/>
        <v>2.1342965900061232E-2</v>
      </c>
      <c r="BP23">
        <f t="shared" si="324"/>
        <v>2.3001744649746841E-2</v>
      </c>
      <c r="BQ23">
        <f t="shared" si="325"/>
        <v>2.4670635749226084E-2</v>
      </c>
      <c r="BR23">
        <f t="shared" si="326"/>
        <v>2.6349885345945206E-2</v>
      </c>
      <c r="BS23">
        <f t="shared" si="327"/>
        <v>2.8039754509642901E-2</v>
      </c>
      <c r="BT23">
        <f t="shared" si="328"/>
        <v>2.974051807583681E-2</v>
      </c>
      <c r="BU23">
        <f t="shared" si="329"/>
        <v>3.1452463530759756E-2</v>
      </c>
      <c r="BV23">
        <f t="shared" si="330"/>
        <v>3.3175889939274623E-2</v>
      </c>
      <c r="BW23">
        <f t="shared" si="331"/>
        <v>3.4911106917280312E-2</v>
      </c>
      <c r="BX23">
        <f t="shared" si="332"/>
        <v>3.6658383182051481E-2</v>
      </c>
      <c r="BY23">
        <f t="shared" si="333"/>
        <v>3.8417931839595132E-2</v>
      </c>
      <c r="BZ23">
        <f t="shared" si="334"/>
        <v>4.0189974017407898E-2</v>
      </c>
      <c r="CA23">
        <f t="shared" si="335"/>
        <v>4.1974738183035903E-2</v>
      </c>
      <c r="CB23">
        <f t="shared" si="336"/>
        <v>4.377245950466313E-2</v>
      </c>
      <c r="CC23">
        <f t="shared" si="337"/>
        <v>4.5583379253130066E-2</v>
      </c>
      <c r="CD23">
        <f t="shared" si="338"/>
        <v>4.7407744244726081E-2</v>
      </c>
      <c r="CE23">
        <f t="shared" si="339"/>
        <v>4.9245806324016317E-2</v>
      </c>
      <c r="CF23">
        <f t="shared" si="340"/>
        <v>5.1097821885868741E-2</v>
      </c>
      <c r="CG23">
        <f t="shared" si="341"/>
        <v>5.2964051435745632E-2</v>
      </c>
      <c r="CH23">
        <f t="shared" si="342"/>
        <v>5.2303538599423979E-2</v>
      </c>
      <c r="CI23">
        <f t="shared" si="343"/>
        <v>5.1649744366931191E-2</v>
      </c>
      <c r="CJ23">
        <f t="shared" si="344"/>
        <v>5.1004122562344545E-2</v>
      </c>
      <c r="CK23">
        <f t="shared" si="345"/>
        <v>5.0366571030315242E-2</v>
      </c>
      <c r="CL23">
        <f t="shared" si="346"/>
        <v>4.9736988892436308E-2</v>
      </c>
      <c r="CM23">
        <f t="shared" si="347"/>
        <v>4.9115276531280852E-2</v>
      </c>
      <c r="CN23">
        <f t="shared" si="348"/>
        <v>4.8501335574639835E-2</v>
      </c>
      <c r="CO23">
        <f t="shared" si="349"/>
        <v>4.7895068879956836E-2</v>
      </c>
      <c r="CP23">
        <f t="shared" si="350"/>
        <v>4.7296380518957383E-2</v>
      </c>
      <c r="CQ23">
        <f t="shared" si="351"/>
        <v>4.6705175762470422E-2</v>
      </c>
      <c r="CR23">
        <f t="shared" si="352"/>
        <v>4.6121361065439535E-2</v>
      </c>
      <c r="CS23">
        <f t="shared" si="353"/>
        <v>4.5544844052121544E-2</v>
      </c>
      <c r="CT23">
        <f t="shared" si="354"/>
        <v>4.497553350147003E-2</v>
      </c>
      <c r="CU23">
        <f t="shared" si="355"/>
        <v>4.4413339332701661E-2</v>
      </c>
      <c r="CV23">
        <f t="shared" si="356"/>
        <v>4.3858172591042889E-2</v>
      </c>
      <c r="CW23">
        <f t="shared" si="357"/>
        <v>4.3309945433654851E-2</v>
      </c>
      <c r="CX23">
        <f t="shared" si="358"/>
        <v>4.2768571115734164E-2</v>
      </c>
      <c r="CY23">
        <f t="shared" si="359"/>
        <v>4.2233963976787491E-2</v>
      </c>
      <c r="CZ23">
        <f t="shared" si="360"/>
        <v>4.1706039427077644E-2</v>
      </c>
      <c r="DA23">
        <f t="shared" si="361"/>
        <v>4.118471393423917E-2</v>
      </c>
      <c r="DB23">
        <f t="shared" si="362"/>
        <v>4.066990501006118E-2</v>
      </c>
      <c r="DC23">
        <f t="shared" si="363"/>
        <v>4.0161531197435416E-2</v>
      </c>
      <c r="DD23">
        <f t="shared" si="364"/>
        <v>3.9659512057467469E-2</v>
      </c>
      <c r="DE23">
        <f t="shared" si="365"/>
        <v>3.9163768156749122E-2</v>
      </c>
      <c r="DF23">
        <f t="shared" si="366"/>
        <v>3.8674221054789758E-2</v>
      </c>
      <c r="DG23">
        <f t="shared" si="367"/>
        <v>3.8190793291604887E-2</v>
      </c>
      <c r="DH23">
        <f t="shared" si="368"/>
        <v>3.771340837545982E-2</v>
      </c>
      <c r="DI23">
        <f t="shared" si="369"/>
        <v>3.7241990770766578E-2</v>
      </c>
      <c r="DJ23">
        <f t="shared" si="370"/>
        <v>3.6776465886131995E-2</v>
      </c>
      <c r="DK23">
        <f t="shared" si="371"/>
        <v>3.6316760062555339E-2</v>
      </c>
      <c r="DL23">
        <f t="shared" si="372"/>
        <v>3.5862800561773399E-2</v>
      </c>
      <c r="DM23">
        <f t="shared" si="373"/>
        <v>3.5414515554751239E-2</v>
      </c>
      <c r="DN23">
        <f t="shared" si="374"/>
        <v>3.4971834110316846E-2</v>
      </c>
      <c r="DO23">
        <f t="shared" si="375"/>
        <v>3.4534686183937888E-2</v>
      </c>
      <c r="DP23">
        <f t="shared" si="376"/>
        <v>3.4103002606638663E-2</v>
      </c>
      <c r="DQ23">
        <f t="shared" si="377"/>
        <v>3.3676715074055688E-2</v>
      </c>
      <c r="DR23">
        <f t="shared" si="378"/>
        <v>3.3255756135629991E-2</v>
      </c>
      <c r="DS23">
        <f t="shared" si="379"/>
        <v>3.2840059183934608E-2</v>
      </c>
      <c r="DT23">
        <f t="shared" si="380"/>
        <v>3.2429558444135434E-2</v>
      </c>
      <c r="DU23">
        <f t="shared" si="381"/>
        <v>3.2024188963583736E-2</v>
      </c>
      <c r="DV23">
        <f t="shared" si="382"/>
        <v>3.1623886601538934E-2</v>
      </c>
      <c r="DW23">
        <f t="shared" si="383"/>
        <v>3.1228588019019697E-2</v>
      </c>
      <c r="DX23">
        <f t="shared" si="384"/>
        <v>3.0838230668781951E-2</v>
      </c>
      <c r="DY23">
        <f t="shared" si="385"/>
        <v>3.0452752785422178E-2</v>
      </c>
      <c r="DZ23">
        <f t="shared" si="386"/>
        <v>3.0072093375604403E-2</v>
      </c>
      <c r="EA23">
        <f t="shared" si="387"/>
        <v>2.9696192208409345E-2</v>
      </c>
      <c r="EB23">
        <f t="shared" si="388"/>
        <v>2.9324989805804225E-2</v>
      </c>
      <c r="EC23">
        <f t="shared" si="389"/>
        <v>2.8958427433231671E-2</v>
      </c>
      <c r="ED23">
        <f t="shared" si="390"/>
        <v>2.8596447090316279E-2</v>
      </c>
      <c r="EE23">
        <f t="shared" si="391"/>
        <v>2.8238991501687329E-2</v>
      </c>
      <c r="EF23">
        <f t="shared" si="392"/>
        <v>2.7886004107916241E-2</v>
      </c>
      <c r="EG23">
        <f t="shared" si="393"/>
        <v>2.7537429056567288E-2</v>
      </c>
      <c r="EH23">
        <f t="shared" si="394"/>
        <v>2.7193211193360201E-2</v>
      </c>
      <c r="EI23">
        <f t="shared" si="395"/>
        <v>2.68532960534432E-2</v>
      </c>
      <c r="EJ23">
        <f t="shared" si="396"/>
        <v>2.651762985277516E-2</v>
      </c>
      <c r="EK23">
        <f t="shared" si="397"/>
        <v>2.6186159479615466E-2</v>
      </c>
      <c r="EL23">
        <f t="shared" si="398"/>
        <v>2.5858832486120274E-2</v>
      </c>
      <c r="EM23">
        <f t="shared" si="399"/>
        <v>2.553559708004377E-2</v>
      </c>
      <c r="EN23">
        <f t="shared" si="400"/>
        <v>2.5216402116543225E-2</v>
      </c>
      <c r="EO23">
        <f t="shared" si="401"/>
        <v>2.4901197090086435E-2</v>
      </c>
      <c r="EP23">
        <f t="shared" si="402"/>
        <v>2.4589932126460358E-2</v>
      </c>
      <c r="EQ23">
        <f t="shared" si="403"/>
        <v>2.4282557974879604E-2</v>
      </c>
      <c r="ER23">
        <f t="shared" si="404"/>
        <v>2.3979026000193603E-2</v>
      </c>
      <c r="ES23">
        <f t="shared" si="405"/>
        <v>2.3679288175191181E-2</v>
      </c>
      <c r="ET23">
        <f t="shared" si="406"/>
        <v>2.3383297073001297E-2</v>
      </c>
      <c r="EU23">
        <f t="shared" si="407"/>
        <v>2.3091005859588776E-2</v>
      </c>
      <c r="EV23">
        <f t="shared" si="408"/>
        <v>2.2802368286343921E-2</v>
      </c>
      <c r="EW23">
        <f t="shared" si="409"/>
        <v>2.251733868276462E-2</v>
      </c>
      <c r="EX23">
        <f t="shared" si="410"/>
        <v>2.2235871949230067E-2</v>
      </c>
      <c r="EY23">
        <f t="shared" si="411"/>
        <v>2.1957923549864689E-2</v>
      </c>
      <c r="EZ23">
        <f t="shared" si="412"/>
        <v>2.1683449505491382E-2</v>
      </c>
      <c r="FA23">
        <f t="shared" si="413"/>
        <v>2.1412406386672744E-2</v>
      </c>
      <c r="FB23">
        <f t="shared" si="414"/>
        <v>2.1144751306839338E-2</v>
      </c>
      <c r="FC23">
        <f t="shared" si="415"/>
        <v>2.0880441915503846E-2</v>
      </c>
      <c r="FD23">
        <f t="shared" si="416"/>
        <v>2.0619436391560043E-2</v>
      </c>
      <c r="FE23">
        <f t="shared" si="417"/>
        <v>2.0361693436665541E-2</v>
      </c>
      <c r="FF23">
        <f t="shared" si="418"/>
        <v>2.0107172268707219E-2</v>
      </c>
      <c r="FG23">
        <f t="shared" si="419"/>
        <v>1.985583261534838E-2</v>
      </c>
      <c r="FH23">
        <f t="shared" si="420"/>
        <v>1.9607634707656529E-2</v>
      </c>
      <c r="FI23">
        <f t="shared" si="421"/>
        <v>1.9362539273810819E-2</v>
      </c>
      <c r="FJ23">
        <f t="shared" si="422"/>
        <v>1.9120507532888187E-2</v>
      </c>
      <c r="FK23">
        <f t="shared" si="423"/>
        <v>1.8881501188727091E-2</v>
      </c>
      <c r="FL23">
        <f t="shared" si="424"/>
        <v>1.8645482423867998E-2</v>
      </c>
      <c r="FM23">
        <f t="shared" si="425"/>
        <v>1.8412413893569644E-2</v>
      </c>
      <c r="FN23">
        <f t="shared" si="426"/>
        <v>1.8182258719900025E-2</v>
      </c>
      <c r="FO23">
        <f t="shared" si="427"/>
        <v>1.7954980485901273E-2</v>
      </c>
      <c r="FP23">
        <f t="shared" si="428"/>
        <v>1.7730543229827513E-2</v>
      </c>
      <c r="FQ23">
        <f t="shared" si="429"/>
        <v>1.7508911439454666E-2</v>
      </c>
      <c r="FR23">
        <f t="shared" si="430"/>
        <v>1.7290050046461482E-2</v>
      </c>
      <c r="FS23">
        <f t="shared" si="431"/>
        <v>1.7073924420880716E-2</v>
      </c>
      <c r="FT23">
        <f t="shared" si="432"/>
        <v>1.6860500365619702E-2</v>
      </c>
      <c r="FU23">
        <f t="shared" si="433"/>
        <v>1.6649744111049459E-2</v>
      </c>
      <c r="FV23">
        <f t="shared" si="434"/>
        <v>1.6441622309661341E-2</v>
      </c>
      <c r="FW23">
        <f t="shared" si="435"/>
        <v>1.6236102030790577E-2</v>
      </c>
      <c r="FX23">
        <f t="shared" si="436"/>
        <v>1.6033150755405699E-2</v>
      </c>
      <c r="FY23">
        <f t="shared" si="437"/>
        <v>1.5832736370963128E-2</v>
      </c>
      <c r="FZ23">
        <f t="shared" si="438"/>
        <v>1.5634827166326092E-2</v>
      </c>
      <c r="GA23">
        <f t="shared" si="439"/>
        <v>1.5439391826747018E-2</v>
      </c>
      <c r="GB23">
        <f t="shared" si="440"/>
        <v>1.5246399428912682E-2</v>
      </c>
      <c r="GC23">
        <f t="shared" si="441"/>
        <v>1.5055819436051276E-2</v>
      </c>
      <c r="GD23">
        <f t="shared" si="442"/>
        <v>1.486762169310063E-2</v>
      </c>
      <c r="GE23">
        <f t="shared" si="443"/>
        <v>1.4681776421936877E-2</v>
      </c>
      <c r="GF23">
        <f t="shared" si="444"/>
        <v>1.4498254216662666E-2</v>
      </c>
      <c r="GG23">
        <f t="shared" si="445"/>
        <v>1.4317026038954383E-2</v>
      </c>
      <c r="GH23">
        <f t="shared" si="446"/>
        <v>1.4138063213467455E-2</v>
      </c>
      <c r="GI23">
        <f t="shared" si="447"/>
        <v>1.3961337423299114E-2</v>
      </c>
      <c r="GJ23">
        <f t="shared" si="448"/>
        <v>1.3786820705507874E-2</v>
      </c>
      <c r="GK23">
        <f t="shared" si="449"/>
        <v>1.3614485446689029E-2</v>
      </c>
      <c r="GL23">
        <f t="shared" si="450"/>
        <v>1.344430437860542E-2</v>
      </c>
      <c r="GM23">
        <f t="shared" si="451"/>
        <v>1.327625057387285E-2</v>
      </c>
      <c r="GN23">
        <f t="shared" si="452"/>
        <v>1.3110297441699437E-2</v>
      </c>
      <c r="GO23">
        <f t="shared" si="453"/>
        <v>1.2946418723678198E-2</v>
      </c>
      <c r="GP23">
        <f t="shared" si="454"/>
        <v>1.278458848963222E-2</v>
      </c>
      <c r="GQ23">
        <f t="shared" si="455"/>
        <v>1.262478113351182E-2</v>
      </c>
      <c r="GR23">
        <f t="shared" si="456"/>
        <v>1.2466971369342928E-2</v>
      </c>
      <c r="GS23">
        <f t="shared" si="457"/>
        <v>1.2311134227226139E-2</v>
      </c>
      <c r="GT23">
        <f t="shared" si="458"/>
        <v>1.2157245049385812E-2</v>
      </c>
      <c r="GU23">
        <f t="shared" si="459"/>
        <v>1.2005279486268495E-2</v>
      </c>
      <c r="GV23">
        <f t="shared" si="460"/>
        <v>1.1855213492690142E-2</v>
      </c>
      <c r="GW23">
        <f t="shared" si="461"/>
        <v>1.1707023324031517E-2</v>
      </c>
      <c r="GX23">
        <f t="shared" si="462"/>
        <v>1.1560685532481119E-2</v>
      </c>
      <c r="GY23">
        <f t="shared" si="463"/>
        <v>1.1416176963325109E-2</v>
      </c>
      <c r="GZ23">
        <f t="shared" si="464"/>
        <v>1.1273474751283541E-2</v>
      </c>
      <c r="HA23">
        <f t="shared" si="465"/>
        <v>1.1132556316892495E-2</v>
      </c>
      <c r="HB23">
        <f t="shared" si="466"/>
        <v>1.0993399362931333E-2</v>
      </c>
      <c r="HC23">
        <f t="shared" si="467"/>
        <v>1.0855981870894694E-2</v>
      </c>
      <c r="HD23">
        <f t="shared" si="468"/>
        <v>1.0720282097508504E-2</v>
      </c>
      <c r="HE23">
        <f t="shared" si="469"/>
        <v>1.0586278571289654E-2</v>
      </c>
      <c r="HF23">
        <f t="shared" si="470"/>
        <v>1.0453950089148534E-2</v>
      </c>
      <c r="HG23">
        <f t="shared" si="471"/>
        <v>1.0323275713034175E-2</v>
      </c>
      <c r="HH23">
        <f t="shared" si="472"/>
        <v>1.0194234766621246E-2</v>
      </c>
      <c r="HI23">
        <f t="shared" si="473"/>
        <v>1.0066806832038477E-2</v>
      </c>
      <c r="HJ23">
        <f t="shared" si="474"/>
        <v>9.9409717466379943E-3</v>
      </c>
      <c r="HK23">
        <f t="shared" si="475"/>
        <v>9.816709599805018E-3</v>
      </c>
      <c r="HL23">
        <f t="shared" si="476"/>
        <v>9.6940007298074501E-3</v>
      </c>
      <c r="HM23">
        <f t="shared" si="477"/>
        <v>9.5728257206848522E-3</v>
      </c>
      <c r="HN23">
        <f t="shared" si="478"/>
        <v>9.4531653991762887E-3</v>
      </c>
      <c r="HO23">
        <f t="shared" si="479"/>
        <v>9.3350008316865907E-3</v>
      </c>
      <c r="HP23">
        <f t="shared" si="480"/>
        <v>9.2183133212905052E-3</v>
      </c>
      <c r="HQ23">
        <f t="shared" si="481"/>
        <v>9.1030844047743746E-3</v>
      </c>
      <c r="HR23">
        <f t="shared" si="482"/>
        <v>8.9892958497146958E-3</v>
      </c>
      <c r="HS23">
        <f t="shared" si="483"/>
        <v>8.8769296515932572E-3</v>
      </c>
      <c r="HT23">
        <f t="shared" si="484"/>
        <v>8.7659680309483453E-3</v>
      </c>
      <c r="HU23">
        <f t="shared" si="485"/>
        <v>8.6563934305614928E-3</v>
      </c>
      <c r="HV23">
        <f t="shared" si="486"/>
        <v>8.548188512679477E-3</v>
      </c>
      <c r="HW23">
        <f t="shared" si="487"/>
        <v>8.4413361562709847E-3</v>
      </c>
      <c r="HX23">
        <f t="shared" si="488"/>
        <v>8.3358194543175952E-3</v>
      </c>
      <c r="HY23">
        <f t="shared" si="489"/>
        <v>8.2316217111386251E-3</v>
      </c>
      <c r="HZ23">
        <f t="shared" si="490"/>
        <v>8.128726439749389E-3</v>
      </c>
      <c r="IA23">
        <f t="shared" si="491"/>
        <v>8.0271173592525221E-3</v>
      </c>
      <c r="IB23">
        <f t="shared" si="492"/>
        <v>7.9267783922618677E-3</v>
      </c>
      <c r="IC23">
        <f t="shared" si="493"/>
        <v>7.8276936623585917E-3</v>
      </c>
      <c r="ID23">
        <f t="shared" si="494"/>
        <v>7.7298474915791114E-3</v>
      </c>
      <c r="IE23">
        <f t="shared" si="495"/>
        <v>7.6332243979343687E-3</v>
      </c>
      <c r="IF23">
        <f t="shared" si="496"/>
        <v>7.5378090929601902E-3</v>
      </c>
      <c r="IG23">
        <f t="shared" si="497"/>
        <v>7.4435864792981917E-3</v>
      </c>
      <c r="IH23">
        <f t="shared" si="498"/>
        <v>7.3505416483069632E-3</v>
      </c>
      <c r="II23">
        <f t="shared" si="499"/>
        <v>7.2586598777031218E-3</v>
      </c>
      <c r="IJ23">
        <f t="shared" si="500"/>
        <v>7.1679266292318357E-3</v>
      </c>
      <c r="IK23">
        <f t="shared" si="501"/>
        <v>7.0783275463664362E-3</v>
      </c>
      <c r="IL23">
        <f t="shared" si="502"/>
        <v>6.9898484520368506E-3</v>
      </c>
      <c r="IM23">
        <f t="shared" si="503"/>
        <v>6.9024753463863943E-3</v>
      </c>
      <c r="IN23">
        <f t="shared" si="504"/>
        <v>6.8161944045565638E-3</v>
      </c>
      <c r="IO23">
        <f t="shared" si="505"/>
        <v>6.7309919744996116E-3</v>
      </c>
      <c r="IP23">
        <f t="shared" si="506"/>
        <v>6.646854574818362E-3</v>
      </c>
      <c r="IQ23">
        <f t="shared" si="507"/>
        <v>6.5637688926331369E-3</v>
      </c>
      <c r="IR23">
        <f t="shared" si="508"/>
        <v>6.481721781475225E-3</v>
      </c>
      <c r="IS23">
        <f t="shared" si="509"/>
        <v>6.4007002592067815E-3</v>
      </c>
      <c r="IT23">
        <f t="shared" si="510"/>
        <v>6.3206915059667024E-3</v>
      </c>
      <c r="IU23">
        <f t="shared" si="511"/>
        <v>6.2416828621421174E-3</v>
      </c>
      <c r="IV23">
        <f t="shared" si="512"/>
        <v>6.1636618263653407E-3</v>
      </c>
    </row>
    <row r="24" spans="1:256" x14ac:dyDescent="0.2">
      <c r="A24" t="s">
        <v>495</v>
      </c>
      <c r="B24">
        <f t="shared" si="258"/>
        <v>-1.72493211571151E-2</v>
      </c>
      <c r="C24">
        <f t="shared" si="259"/>
        <v>6.4672861387510813E-2</v>
      </c>
      <c r="D24">
        <f t="shared" si="260"/>
        <v>6.3864450620166921E-2</v>
      </c>
      <c r="E24">
        <f t="shared" si="261"/>
        <v>6.3066144987414835E-2</v>
      </c>
      <c r="F24">
        <f t="shared" si="262"/>
        <v>6.227781817507215E-2</v>
      </c>
      <c r="G24">
        <f t="shared" si="263"/>
        <v>6.1499345447883755E-2</v>
      </c>
      <c r="H24">
        <f t="shared" si="264"/>
        <v>6.0730603629785204E-2</v>
      </c>
      <c r="I24">
        <f t="shared" si="265"/>
        <v>5.9971471084412899E-2</v>
      </c>
      <c r="J24">
        <f t="shared" si="266"/>
        <v>-1.840836823366996E-2</v>
      </c>
      <c r="K24">
        <f t="shared" si="267"/>
        <v>-1.8929854744961689E-2</v>
      </c>
      <c r="L24">
        <f t="shared" si="268"/>
        <v>-1.9427343355961059E-2</v>
      </c>
      <c r="M24">
        <f t="shared" si="269"/>
        <v>-1.9901023981581549E-2</v>
      </c>
      <c r="N24">
        <f t="shared" si="270"/>
        <v>-2.0351128622650587E-2</v>
      </c>
      <c r="O24">
        <f t="shared" si="271"/>
        <v>-2.0777927762439145E-2</v>
      </c>
      <c r="P24">
        <f t="shared" si="272"/>
        <v>-2.1181726928761163E-2</v>
      </c>
      <c r="Q24">
        <f t="shared" si="273"/>
        <v>-2.1562863418170632E-2</v>
      </c>
      <c r="R24">
        <f t="shared" si="274"/>
        <v>-5.0719870165174541E-3</v>
      </c>
      <c r="S24">
        <f t="shared" si="275"/>
        <v>-5.8970205389132502E-3</v>
      </c>
      <c r="T24">
        <f t="shared" si="276"/>
        <v>-6.7022447560765638E-3</v>
      </c>
      <c r="U24">
        <f t="shared" si="277"/>
        <v>-7.4870825383166421E-3</v>
      </c>
      <c r="V24">
        <f t="shared" si="278"/>
        <v>-8.2510382738221807E-3</v>
      </c>
      <c r="W24">
        <f t="shared" si="279"/>
        <v>-8.9936931606649125E-3</v>
      </c>
      <c r="X24">
        <f t="shared" si="280"/>
        <v>-9.7147007026844416E-3</v>
      </c>
      <c r="Y24">
        <f t="shared" si="281"/>
        <v>-1.0413782396765802E-2</v>
      </c>
      <c r="Z24">
        <f t="shared" si="282"/>
        <v>4.4963553128259063E-3</v>
      </c>
      <c r="AA24">
        <f t="shared" si="283"/>
        <v>4.2616701555135581E-3</v>
      </c>
      <c r="AB24">
        <f t="shared" si="284"/>
        <v>4.0121203425105114E-3</v>
      </c>
      <c r="AC24">
        <f t="shared" si="285"/>
        <v>3.7486675203656948E-3</v>
      </c>
      <c r="AD24">
        <f t="shared" si="286"/>
        <v>3.4722422306514623E-3</v>
      </c>
      <c r="AE24">
        <f t="shared" si="287"/>
        <v>3.1837447757609161E-3</v>
      </c>
      <c r="AF24">
        <f t="shared" si="288"/>
        <v>2.884046050939787E-3</v>
      </c>
      <c r="AG24">
        <f t="shared" si="289"/>
        <v>2.5739883432164433E-3</v>
      </c>
      <c r="AH24">
        <f t="shared" si="290"/>
        <v>-1.6946794001287697E-2</v>
      </c>
      <c r="AI24">
        <f t="shared" si="291"/>
        <v>-1.6101618689889814E-2</v>
      </c>
      <c r="AJ24">
        <f t="shared" si="292"/>
        <v>-1.5243628372062178E-2</v>
      </c>
      <c r="AK24">
        <f t="shared" si="293"/>
        <v>-1.4371095219092628E-2</v>
      </c>
      <c r="AL24">
        <f t="shared" si="294"/>
        <v>-1.3482164086393855E-2</v>
      </c>
      <c r="AM24">
        <f t="shared" si="295"/>
        <v>-1.2574838661078894E-2</v>
      </c>
      <c r="AN24">
        <f t="shared" si="296"/>
        <v>-1.1646965898685035E-2</v>
      </c>
      <c r="AO24">
        <f t="shared" si="297"/>
        <v>-1.0696218500131166E-2</v>
      </c>
      <c r="AP24">
        <f t="shared" si="298"/>
        <v>1.4472395697831125E-2</v>
      </c>
      <c r="AQ24">
        <f t="shared" si="299"/>
        <v>1.6676729746639151E-2</v>
      </c>
      <c r="AR24">
        <f t="shared" si="300"/>
        <v>1.8887665381079204E-2</v>
      </c>
      <c r="AS24">
        <f t="shared" si="301"/>
        <v>2.1105717203597229E-2</v>
      </c>
      <c r="AT24">
        <f t="shared" si="302"/>
        <v>2.3331568829273321E-2</v>
      </c>
      <c r="AU24">
        <f t="shared" si="303"/>
        <v>2.5566074757615721E-2</v>
      </c>
      <c r="AV24">
        <f t="shared" si="304"/>
        <v>2.7810262666530295E-2</v>
      </c>
      <c r="AW24">
        <f t="shared" si="305"/>
        <v>3.0065336156524743E-2</v>
      </c>
      <c r="AX24">
        <f t="shared" si="306"/>
        <v>2.2583635534880686E-2</v>
      </c>
      <c r="AY24">
        <f t="shared" si="307"/>
        <v>2.4955973414164011E-2</v>
      </c>
      <c r="AZ24">
        <f t="shared" si="308"/>
        <v>2.7422776511579133E-2</v>
      </c>
      <c r="BA24">
        <f t="shared" si="309"/>
        <v>2.999332192998954E-2</v>
      </c>
      <c r="BB24">
        <f t="shared" si="310"/>
        <v>3.2677778414545063E-2</v>
      </c>
      <c r="BC24">
        <f t="shared" si="311"/>
        <v>3.5487318272415698E-2</v>
      </c>
      <c r="BD24">
        <f t="shared" si="312"/>
        <v>3.8434244011922566E-2</v>
      </c>
      <c r="BE24">
        <f t="shared" si="313"/>
        <v>4.1532132228892599E-2</v>
      </c>
      <c r="BF24">
        <f t="shared" si="314"/>
        <v>4.4795997689287839E-2</v>
      </c>
      <c r="BG24">
        <f t="shared" si="315"/>
        <v>4.8242481071459384E-2</v>
      </c>
      <c r="BH24">
        <f t="shared" si="316"/>
        <v>5.1874040198464109E-2</v>
      </c>
      <c r="BI24">
        <f t="shared" si="317"/>
        <v>5.5684351991596347E-2</v>
      </c>
      <c r="BJ24">
        <f t="shared" si="318"/>
        <v>5.5145608613614075E-2</v>
      </c>
      <c r="BK24">
        <f t="shared" si="319"/>
        <v>5.4456288505943896E-2</v>
      </c>
      <c r="BL24">
        <f t="shared" si="320"/>
        <v>5.3775584899619602E-2</v>
      </c>
      <c r="BM24">
        <f t="shared" si="321"/>
        <v>5.310339008837435E-2</v>
      </c>
      <c r="BN24">
        <f t="shared" si="322"/>
        <v>5.2439597712269671E-2</v>
      </c>
      <c r="BO24">
        <f t="shared" si="323"/>
        <v>5.1784102740866297E-2</v>
      </c>
      <c r="BP24">
        <f t="shared" si="324"/>
        <v>5.1136801456605471E-2</v>
      </c>
      <c r="BQ24">
        <f t="shared" si="325"/>
        <v>5.0497591438397903E-2</v>
      </c>
      <c r="BR24">
        <f t="shared" si="326"/>
        <v>4.9866371545417933E-2</v>
      </c>
      <c r="BS24">
        <f t="shared" si="327"/>
        <v>4.9243041901100203E-2</v>
      </c>
      <c r="BT24">
        <f t="shared" si="328"/>
        <v>4.8627503877336456E-2</v>
      </c>
      <c r="BU24">
        <f t="shared" si="329"/>
        <v>4.801966007886975E-2</v>
      </c>
      <c r="BV24">
        <f t="shared" si="330"/>
        <v>4.741941432788388E-2</v>
      </c>
      <c r="BW24">
        <f t="shared" si="331"/>
        <v>4.6826671648785331E-2</v>
      </c>
      <c r="BX24">
        <f t="shared" si="332"/>
        <v>4.6241338253175515E-2</v>
      </c>
      <c r="BY24">
        <f t="shared" si="333"/>
        <v>4.5663321525010812E-2</v>
      </c>
      <c r="BZ24">
        <f t="shared" si="334"/>
        <v>4.5092530005948185E-2</v>
      </c>
      <c r="CA24">
        <f t="shared" si="335"/>
        <v>4.4528873380873836E-2</v>
      </c>
      <c r="CB24">
        <f t="shared" si="336"/>
        <v>4.397226246361291E-2</v>
      </c>
      <c r="CC24">
        <f t="shared" si="337"/>
        <v>4.3422609182817748E-2</v>
      </c>
      <c r="CD24">
        <f t="shared" si="338"/>
        <v>4.2879826568032534E-2</v>
      </c>
      <c r="CE24">
        <f t="shared" si="339"/>
        <v>4.2343828735932121E-2</v>
      </c>
      <c r="CF24">
        <f t="shared" si="340"/>
        <v>4.1814530876732967E-2</v>
      </c>
      <c r="CG24">
        <f t="shared" si="341"/>
        <v>4.1291849240773802E-2</v>
      </c>
      <c r="CH24">
        <f t="shared" si="342"/>
        <v>4.077570112526413E-2</v>
      </c>
      <c r="CI24">
        <f t="shared" si="343"/>
        <v>4.0266004861198322E-2</v>
      </c>
      <c r="CJ24">
        <f t="shared" si="344"/>
        <v>3.976267980043334E-2</v>
      </c>
      <c r="CK24">
        <f t="shared" si="345"/>
        <v>3.9265646302927927E-2</v>
      </c>
      <c r="CL24">
        <f t="shared" si="346"/>
        <v>3.8774825724141329E-2</v>
      </c>
      <c r="CM24">
        <f t="shared" si="347"/>
        <v>3.8290140402589559E-2</v>
      </c>
      <c r="CN24">
        <f t="shared" si="348"/>
        <v>3.7811513647557179E-2</v>
      </c>
      <c r="CO24">
        <f t="shared" si="349"/>
        <v>3.7338869726962723E-2</v>
      </c>
      <c r="CP24">
        <f t="shared" si="350"/>
        <v>3.6872133855375688E-2</v>
      </c>
      <c r="CQ24">
        <f t="shared" si="351"/>
        <v>3.6411232182183492E-2</v>
      </c>
      <c r="CR24">
        <f t="shared" si="352"/>
        <v>3.5956091779906198E-2</v>
      </c>
      <c r="CS24">
        <f t="shared" si="353"/>
        <v>3.550664063265737E-2</v>
      </c>
      <c r="CT24">
        <f t="shared" si="354"/>
        <v>3.5062807624749157E-2</v>
      </c>
      <c r="CU24">
        <f t="shared" si="355"/>
        <v>3.4624522529439795E-2</v>
      </c>
      <c r="CV24">
        <f t="shared" si="356"/>
        <v>3.4191715997821795E-2</v>
      </c>
      <c r="CW24">
        <f t="shared" si="357"/>
        <v>3.3764319547849017E-2</v>
      </c>
      <c r="CX24">
        <f t="shared" si="358"/>
        <v>3.3342265553500908E-2</v>
      </c>
      <c r="CY24">
        <f t="shared" si="359"/>
        <v>3.2925487234082139E-2</v>
      </c>
      <c r="CZ24">
        <f t="shared" si="360"/>
        <v>3.2513918643656117E-2</v>
      </c>
      <c r="DA24">
        <f t="shared" si="361"/>
        <v>3.2107494660610414E-2</v>
      </c>
      <c r="DB24">
        <f t="shared" si="362"/>
        <v>3.1706150977352784E-2</v>
      </c>
      <c r="DC24">
        <f t="shared" si="363"/>
        <v>3.1309824090135871E-2</v>
      </c>
      <c r="DD24">
        <f t="shared" si="364"/>
        <v>3.0918451289009174E-2</v>
      </c>
      <c r="DE24">
        <f t="shared" si="365"/>
        <v>3.0531970647896554E-2</v>
      </c>
      <c r="DF24">
        <f t="shared" si="366"/>
        <v>3.0150321014797855E-2</v>
      </c>
      <c r="DG24">
        <f t="shared" si="367"/>
        <v>2.9773442002112883E-2</v>
      </c>
      <c r="DH24">
        <f t="shared" si="368"/>
        <v>2.9401273977086473E-2</v>
      </c>
      <c r="DI24">
        <f t="shared" si="369"/>
        <v>2.9033758052372894E-2</v>
      </c>
      <c r="DJ24">
        <f t="shared" si="370"/>
        <v>2.8670836076718231E-2</v>
      </c>
      <c r="DK24">
        <f t="shared" si="371"/>
        <v>2.8312450625759256E-2</v>
      </c>
      <c r="DL24">
        <f t="shared" si="372"/>
        <v>2.7958544992937262E-2</v>
      </c>
      <c r="DM24">
        <f t="shared" si="373"/>
        <v>2.7609063180525549E-2</v>
      </c>
      <c r="DN24">
        <f t="shared" si="374"/>
        <v>2.7263949890768979E-2</v>
      </c>
      <c r="DO24">
        <f t="shared" si="375"/>
        <v>2.6923150517134363E-2</v>
      </c>
      <c r="DP24">
        <f t="shared" si="376"/>
        <v>2.658661113567018E-2</v>
      </c>
      <c r="DQ24">
        <f t="shared" si="377"/>
        <v>2.6254278496474305E-2</v>
      </c>
      <c r="DR24">
        <f t="shared" si="378"/>
        <v>2.592610001526837E-2</v>
      </c>
      <c r="DS24">
        <f t="shared" si="379"/>
        <v>2.560202376507752E-2</v>
      </c>
      <c r="DT24">
        <f t="shared" si="380"/>
        <v>2.5281998468014055E-2</v>
      </c>
      <c r="DU24">
        <f t="shared" si="381"/>
        <v>2.4965973487163885E-2</v>
      </c>
      <c r="DV24">
        <f t="shared" si="382"/>
        <v>2.4653898818574337E-2</v>
      </c>
      <c r="DW24">
        <f t="shared" si="383"/>
        <v>2.4345725083342162E-2</v>
      </c>
      <c r="DX24">
        <f t="shared" si="384"/>
        <v>2.4041403519800386E-2</v>
      </c>
      <c r="DY24">
        <f t="shared" si="385"/>
        <v>2.3740885975802883E-2</v>
      </c>
      <c r="DZ24">
        <f t="shared" si="386"/>
        <v>2.3444124901105347E-2</v>
      </c>
      <c r="EA24">
        <f t="shared" si="387"/>
        <v>2.3151073339841531E-2</v>
      </c>
      <c r="EB24">
        <f t="shared" si="388"/>
        <v>2.2861684923093518E-2</v>
      </c>
      <c r="EC24">
        <f t="shared" si="389"/>
        <v>2.2575913861554851E-2</v>
      </c>
      <c r="ED24">
        <f t="shared" si="390"/>
        <v>2.2293714938285414E-2</v>
      </c>
      <c r="EE24">
        <f t="shared" si="391"/>
        <v>2.2015043501556843E-2</v>
      </c>
      <c r="EF24">
        <f t="shared" si="392"/>
        <v>2.1739855457787383E-2</v>
      </c>
      <c r="EG24">
        <f t="shared" si="393"/>
        <v>2.146810726456504E-2</v>
      </c>
      <c r="EH24">
        <f t="shared" si="394"/>
        <v>2.1199755923757981E-2</v>
      </c>
      <c r="EI24">
        <f t="shared" si="395"/>
        <v>2.0934758974711011E-2</v>
      </c>
      <c r="EJ24">
        <f t="shared" si="396"/>
        <v>2.0673074487527122E-2</v>
      </c>
      <c r="EK24">
        <f t="shared" si="397"/>
        <v>2.0414661056433036E-2</v>
      </c>
      <c r="EL24">
        <f t="shared" si="398"/>
        <v>2.0159477793227621E-2</v>
      </c>
      <c r="EM24">
        <f t="shared" si="399"/>
        <v>1.9907484320812276E-2</v>
      </c>
      <c r="EN24">
        <f t="shared" si="400"/>
        <v>1.9658640766802116E-2</v>
      </c>
      <c r="EO24">
        <f t="shared" si="401"/>
        <v>1.9412907757217091E-2</v>
      </c>
      <c r="EP24">
        <f t="shared" si="402"/>
        <v>1.917024641025188E-2</v>
      </c>
      <c r="EQ24">
        <f t="shared" si="403"/>
        <v>1.8930618330123727E-2</v>
      </c>
      <c r="ER24">
        <f t="shared" si="404"/>
        <v>1.8693985600997175E-2</v>
      </c>
      <c r="ES24">
        <f t="shared" si="405"/>
        <v>1.8460310780984712E-2</v>
      </c>
      <c r="ET24">
        <f t="shared" si="406"/>
        <v>1.8229556896222399E-2</v>
      </c>
      <c r="EU24">
        <f t="shared" si="407"/>
        <v>1.800168743501962E-2</v>
      </c>
      <c r="EV24">
        <f t="shared" si="408"/>
        <v>1.777666634208187E-2</v>
      </c>
      <c r="EW24">
        <f t="shared" si="409"/>
        <v>1.7554458012805852E-2</v>
      </c>
      <c r="EX24">
        <f t="shared" si="410"/>
        <v>1.7335027287645778E-2</v>
      </c>
      <c r="EY24">
        <f t="shared" si="411"/>
        <v>1.7118339446550203E-2</v>
      </c>
      <c r="EZ24">
        <f t="shared" si="412"/>
        <v>1.6904360203468326E-2</v>
      </c>
      <c r="FA24">
        <f t="shared" si="413"/>
        <v>1.6693055700924976E-2</v>
      </c>
      <c r="FB24">
        <f t="shared" si="414"/>
        <v>1.6484392504663416E-2</v>
      </c>
      <c r="FC24">
        <f t="shared" si="415"/>
        <v>1.6278337598355119E-2</v>
      </c>
      <c r="FD24">
        <f t="shared" si="416"/>
        <v>1.6074858378375679E-2</v>
      </c>
      <c r="FE24">
        <f t="shared" si="417"/>
        <v>1.5873922648645976E-2</v>
      </c>
      <c r="FF24">
        <f t="shared" si="418"/>
        <v>1.5675498615537898E-2</v>
      </c>
      <c r="FG24">
        <f t="shared" si="419"/>
        <v>1.5479554882843671E-2</v>
      </c>
      <c r="FH24">
        <f t="shared" si="420"/>
        <v>1.5286060446808126E-2</v>
      </c>
      <c r="FI24">
        <f t="shared" si="421"/>
        <v>1.5094984691223024E-2</v>
      </c>
      <c r="FJ24">
        <f t="shared" si="422"/>
        <v>1.4906297382582733E-2</v>
      </c>
      <c r="FK24">
        <f t="shared" si="423"/>
        <v>1.4719968665300454E-2</v>
      </c>
      <c r="FL24">
        <f t="shared" si="424"/>
        <v>1.45359690569842E-2</v>
      </c>
      <c r="FM24">
        <f t="shared" si="425"/>
        <v>1.4354269443771894E-2</v>
      </c>
      <c r="FN24">
        <f t="shared" si="426"/>
        <v>1.4174841075724743E-2</v>
      </c>
      <c r="FO24">
        <f t="shared" si="427"/>
        <v>1.3997655562278189E-2</v>
      </c>
      <c r="FP24">
        <f t="shared" si="428"/>
        <v>1.3822684867749712E-2</v>
      </c>
      <c r="FQ24">
        <f t="shared" si="429"/>
        <v>1.3649901306902846E-2</v>
      </c>
      <c r="FR24">
        <f t="shared" si="430"/>
        <v>1.3479277540566558E-2</v>
      </c>
      <c r="FS24">
        <f t="shared" si="431"/>
        <v>1.3310786571309473E-2</v>
      </c>
      <c r="FT24">
        <f t="shared" si="432"/>
        <v>1.314440173916811E-2</v>
      </c>
      <c r="FU24">
        <f t="shared" si="433"/>
        <v>1.2980096717428512E-2</v>
      </c>
      <c r="FV24">
        <f t="shared" si="434"/>
        <v>1.2817845508460657E-2</v>
      </c>
      <c r="FW24">
        <f t="shared" si="435"/>
        <v>1.2657622439604898E-2</v>
      </c>
      <c r="FX24">
        <f t="shared" si="436"/>
        <v>1.249940215910984E-2</v>
      </c>
      <c r="FY24">
        <f t="shared" si="437"/>
        <v>1.234315963212097E-2</v>
      </c>
      <c r="FZ24">
        <f t="shared" si="438"/>
        <v>1.2188870136719454E-2</v>
      </c>
      <c r="GA24">
        <f t="shared" si="439"/>
        <v>1.2036509260010464E-2</v>
      </c>
      <c r="GB24">
        <f t="shared" si="440"/>
        <v>1.1886052894260335E-2</v>
      </c>
      <c r="GC24">
        <f t="shared" si="441"/>
        <v>1.1737477233082083E-2</v>
      </c>
      <c r="GD24">
        <f t="shared" si="442"/>
        <v>1.1590758767668552E-2</v>
      </c>
      <c r="GE24">
        <f t="shared" si="443"/>
        <v>1.1445874283072699E-2</v>
      </c>
      <c r="GF24">
        <f t="shared" si="444"/>
        <v>1.1302800854534289E-2</v>
      </c>
      <c r="GG24">
        <f t="shared" si="445"/>
        <v>1.116151584385261E-2</v>
      </c>
      <c r="GH24">
        <f t="shared" si="446"/>
        <v>1.1021996895804454E-2</v>
      </c>
      <c r="GI24">
        <f t="shared" si="447"/>
        <v>1.0884221934606897E-2</v>
      </c>
      <c r="GJ24">
        <f t="shared" si="448"/>
        <v>1.0748169160424315E-2</v>
      </c>
      <c r="GK24">
        <f t="shared" si="449"/>
        <v>1.0613817045919016E-2</v>
      </c>
      <c r="GL24">
        <f t="shared" si="450"/>
        <v>1.0481144332845027E-2</v>
      </c>
      <c r="GM24">
        <f t="shared" si="451"/>
        <v>1.0350130028684467E-2</v>
      </c>
      <c r="GN24">
        <f t="shared" si="452"/>
        <v>1.022075340332591E-2</v>
      </c>
      <c r="GO24">
        <f t="shared" si="453"/>
        <v>1.0092993985784338E-2</v>
      </c>
      <c r="GP24">
        <f t="shared" si="454"/>
        <v>9.9668315609620309E-3</v>
      </c>
      <c r="GQ24">
        <f t="shared" si="455"/>
        <v>9.842246166450009E-3</v>
      </c>
      <c r="GR24">
        <f t="shared" si="456"/>
        <v>9.7192180893693851E-3</v>
      </c>
      <c r="GS24">
        <f t="shared" si="457"/>
        <v>9.5977278632522704E-3</v>
      </c>
      <c r="GT24">
        <f t="shared" si="458"/>
        <v>9.4777562649616121E-3</v>
      </c>
      <c r="GU24">
        <f t="shared" si="459"/>
        <v>9.3592843116495957E-3</v>
      </c>
      <c r="GV24">
        <f t="shared" si="460"/>
        <v>9.2422932577539748E-3</v>
      </c>
      <c r="GW24">
        <f t="shared" si="461"/>
        <v>9.1267645920320543E-3</v>
      </c>
      <c r="GX24">
        <f t="shared" si="462"/>
        <v>9.012680034631659E-3</v>
      </c>
      <c r="GY24">
        <f t="shared" si="463"/>
        <v>8.9000215341987661E-3</v>
      </c>
      <c r="GZ24">
        <f t="shared" si="464"/>
        <v>8.7887712650212783E-3</v>
      </c>
      <c r="HA24">
        <f t="shared" si="465"/>
        <v>8.678911624208507E-3</v>
      </c>
      <c r="HB24">
        <f t="shared" si="466"/>
        <v>8.5704252289058973E-3</v>
      </c>
      <c r="HC24">
        <f t="shared" si="467"/>
        <v>8.463294913544573E-3</v>
      </c>
      <c r="HD24">
        <f t="shared" si="468"/>
        <v>8.3575037271252702E-3</v>
      </c>
      <c r="HE24">
        <f t="shared" si="469"/>
        <v>8.2530349305362065E-3</v>
      </c>
      <c r="HF24">
        <f t="shared" si="470"/>
        <v>8.1498719939044999E-3</v>
      </c>
      <c r="HG24">
        <f t="shared" si="471"/>
        <v>8.0479985939806986E-3</v>
      </c>
      <c r="HH24">
        <f t="shared" si="472"/>
        <v>7.9473986115559444E-3</v>
      </c>
      <c r="HI24">
        <f t="shared" si="473"/>
        <v>7.8480561289114951E-3</v>
      </c>
      <c r="HJ24">
        <f t="shared" si="474"/>
        <v>7.7499554273001035E-3</v>
      </c>
      <c r="HK24">
        <f t="shared" si="475"/>
        <v>7.6530809844588491E-3</v>
      </c>
      <c r="HL24">
        <f t="shared" si="476"/>
        <v>7.5574174721531164E-3</v>
      </c>
      <c r="HM24">
        <f t="shared" si="477"/>
        <v>7.4629497537512021E-3</v>
      </c>
      <c r="HN24">
        <f t="shared" si="478"/>
        <v>7.3696628818293083E-3</v>
      </c>
      <c r="HO24">
        <f t="shared" si="479"/>
        <v>7.2775420958064441E-3</v>
      </c>
      <c r="HP24">
        <f t="shared" si="480"/>
        <v>7.1865728196088604E-3</v>
      </c>
      <c r="HQ24">
        <f t="shared" si="481"/>
        <v>7.0967406593637535E-3</v>
      </c>
      <c r="HR24">
        <f t="shared" si="482"/>
        <v>7.0080314011217058E-3</v>
      </c>
      <c r="HS24">
        <f t="shared" si="483"/>
        <v>6.9204310086076861E-3</v>
      </c>
      <c r="HT24">
        <f t="shared" si="484"/>
        <v>6.8339256210000919E-3</v>
      </c>
      <c r="HU24">
        <f t="shared" si="485"/>
        <v>6.7485015507375958E-3</v>
      </c>
      <c r="HV24">
        <f t="shared" si="486"/>
        <v>6.6641452813533727E-3</v>
      </c>
      <c r="HW24">
        <f t="shared" si="487"/>
        <v>6.5808434653364615E-3</v>
      </c>
      <c r="HX24">
        <f t="shared" si="488"/>
        <v>6.4985829220197576E-3</v>
      </c>
      <c r="HY24">
        <f t="shared" si="489"/>
        <v>6.4173506354945117E-3</v>
      </c>
      <c r="HZ24">
        <f t="shared" si="490"/>
        <v>6.3371337525508272E-3</v>
      </c>
      <c r="IA24">
        <f t="shared" si="491"/>
        <v>6.2579195806439451E-3</v>
      </c>
      <c r="IB24">
        <f t="shared" si="492"/>
        <v>6.1796955858858917E-3</v>
      </c>
      <c r="IC24">
        <f t="shared" si="493"/>
        <v>6.1024493910623147E-3</v>
      </c>
      <c r="ID24">
        <f t="shared" si="494"/>
        <v>6.0261687736740347E-3</v>
      </c>
      <c r="IE24">
        <f t="shared" si="495"/>
        <v>5.9508416640031035E-3</v>
      </c>
      <c r="IF24">
        <f t="shared" si="496"/>
        <v>5.8764561432030678E-3</v>
      </c>
      <c r="IG24">
        <f t="shared" si="497"/>
        <v>5.8030004414130311E-3</v>
      </c>
      <c r="IH24">
        <f t="shared" si="498"/>
        <v>5.7304629358953642E-3</v>
      </c>
      <c r="II24">
        <f t="shared" si="499"/>
        <v>5.6588321491966688E-3</v>
      </c>
      <c r="IJ24">
        <f t="shared" si="500"/>
        <v>5.5880967473317059E-3</v>
      </c>
      <c r="IK24">
        <f t="shared" si="501"/>
        <v>5.5182455379900628E-3</v>
      </c>
      <c r="IL24">
        <f t="shared" si="502"/>
        <v>5.4492674687651845E-3</v>
      </c>
      <c r="IM24">
        <f t="shared" si="503"/>
        <v>5.3811516254056221E-3</v>
      </c>
      <c r="IN24">
        <f t="shared" si="504"/>
        <v>5.3138872300880543E-3</v>
      </c>
      <c r="IO24">
        <f t="shared" si="505"/>
        <v>5.2474636397119578E-3</v>
      </c>
      <c r="IP24">
        <f t="shared" si="506"/>
        <v>5.1818703442155552E-3</v>
      </c>
      <c r="IQ24">
        <f t="shared" si="507"/>
        <v>5.1170969649128595E-3</v>
      </c>
      <c r="IR24">
        <f t="shared" si="508"/>
        <v>5.0531332528514494E-3</v>
      </c>
      <c r="IS24">
        <f t="shared" si="509"/>
        <v>4.9899690871908044E-3</v>
      </c>
      <c r="IT24">
        <f t="shared" si="510"/>
        <v>4.9275944736009158E-3</v>
      </c>
      <c r="IU24">
        <f t="shared" si="511"/>
        <v>4.8659995426808987E-3</v>
      </c>
      <c r="IV24">
        <f t="shared" si="512"/>
        <v>4.8051745483973837E-3</v>
      </c>
    </row>
    <row r="25" spans="1:256" x14ac:dyDescent="0.2">
      <c r="A25" t="s">
        <v>496</v>
      </c>
      <c r="B25">
        <f t="shared" si="258"/>
        <v>3.7026283264160152E-2</v>
      </c>
      <c r="C25">
        <f t="shared" si="259"/>
        <v>3.6563454723358146E-2</v>
      </c>
      <c r="D25">
        <f t="shared" si="260"/>
        <v>3.6106411539316173E-2</v>
      </c>
      <c r="E25">
        <f t="shared" si="261"/>
        <v>3.5655081395074714E-2</v>
      </c>
      <c r="F25">
        <f t="shared" si="262"/>
        <v>3.5209392877636282E-2</v>
      </c>
      <c r="G25">
        <f t="shared" si="263"/>
        <v>3.4769275466665826E-2</v>
      </c>
      <c r="H25">
        <f t="shared" si="264"/>
        <v>3.4334659523332499E-2</v>
      </c>
      <c r="I25">
        <f t="shared" si="265"/>
        <v>3.3905476279290844E-2</v>
      </c>
      <c r="J25">
        <f t="shared" si="266"/>
        <v>-5.5678445601580126E-2</v>
      </c>
      <c r="K25">
        <f t="shared" si="267"/>
        <v>-5.4982465031560381E-2</v>
      </c>
      <c r="L25">
        <f t="shared" si="268"/>
        <v>-5.4295184218665873E-2</v>
      </c>
      <c r="M25">
        <f t="shared" si="269"/>
        <v>-5.3616494415932546E-2</v>
      </c>
      <c r="N25">
        <f t="shared" si="270"/>
        <v>-5.2946288235733385E-2</v>
      </c>
      <c r="O25">
        <f t="shared" si="271"/>
        <v>-5.2284459632786717E-2</v>
      </c>
      <c r="P25">
        <f t="shared" si="272"/>
        <v>-5.1630903887376886E-2</v>
      </c>
      <c r="Q25">
        <f t="shared" si="273"/>
        <v>-5.0985517588784682E-2</v>
      </c>
      <c r="R25">
        <f t="shared" si="274"/>
        <v>-4.5901183175631723E-2</v>
      </c>
      <c r="S25">
        <f t="shared" si="275"/>
        <v>-4.5327418385936326E-2</v>
      </c>
      <c r="T25">
        <f t="shared" si="276"/>
        <v>-4.4760825656112127E-2</v>
      </c>
      <c r="U25">
        <f t="shared" si="277"/>
        <v>-4.4201315335410718E-2</v>
      </c>
      <c r="V25">
        <f t="shared" si="278"/>
        <v>-4.3648798893718088E-2</v>
      </c>
      <c r="W25">
        <f t="shared" si="279"/>
        <v>-4.3103188907546608E-2</v>
      </c>
      <c r="X25">
        <f t="shared" si="280"/>
        <v>-4.2564399046202274E-2</v>
      </c>
      <c r="Y25">
        <f t="shared" si="281"/>
        <v>-4.2032344058124747E-2</v>
      </c>
      <c r="Z25">
        <f t="shared" si="282"/>
        <v>-2.6220027741484891E-2</v>
      </c>
      <c r="AA25">
        <f t="shared" si="283"/>
        <v>-2.5892277394716327E-2</v>
      </c>
      <c r="AB25">
        <f t="shared" si="284"/>
        <v>-2.5568623927282381E-2</v>
      </c>
      <c r="AC25">
        <f t="shared" si="285"/>
        <v>-2.5249016128191352E-2</v>
      </c>
      <c r="AD25">
        <f t="shared" si="286"/>
        <v>-2.4933403426588958E-2</v>
      </c>
      <c r="AE25">
        <f t="shared" si="287"/>
        <v>-2.4621735883756594E-2</v>
      </c>
      <c r="AF25">
        <f t="shared" si="288"/>
        <v>-2.431396418520964E-2</v>
      </c>
      <c r="AG25">
        <f t="shared" si="289"/>
        <v>-2.4010039632894525E-2</v>
      </c>
      <c r="AH25">
        <f t="shared" si="290"/>
        <v>1.9432608571412723E-2</v>
      </c>
      <c r="AI25">
        <f t="shared" si="291"/>
        <v>1.9189700964270064E-2</v>
      </c>
      <c r="AJ25">
        <f t="shared" si="292"/>
        <v>1.8949829702216692E-2</v>
      </c>
      <c r="AK25">
        <f t="shared" si="293"/>
        <v>1.8712956830938987E-2</v>
      </c>
      <c r="AL25">
        <f t="shared" si="294"/>
        <v>1.8479044870552252E-2</v>
      </c>
      <c r="AM25">
        <f t="shared" si="295"/>
        <v>1.8248056809670354E-2</v>
      </c>
      <c r="AN25">
        <f t="shared" si="296"/>
        <v>1.8019956099549473E-2</v>
      </c>
      <c r="AO25">
        <f t="shared" si="297"/>
        <v>1.7794706648305104E-2</v>
      </c>
      <c r="AP25">
        <f t="shared" si="298"/>
        <v>3.0953851195064573E-2</v>
      </c>
      <c r="AQ25">
        <f t="shared" si="299"/>
        <v>3.0566928055126265E-2</v>
      </c>
      <c r="AR25">
        <f t="shared" si="300"/>
        <v>3.0184841454437183E-2</v>
      </c>
      <c r="AS25">
        <f t="shared" si="301"/>
        <v>2.980753093625672E-2</v>
      </c>
      <c r="AT25">
        <f t="shared" si="302"/>
        <v>2.9434936799553512E-2</v>
      </c>
      <c r="AU25">
        <f t="shared" si="303"/>
        <v>2.9067000089559092E-2</v>
      </c>
      <c r="AV25">
        <f t="shared" si="304"/>
        <v>2.8703662588439604E-2</v>
      </c>
      <c r="AW25">
        <f t="shared" si="305"/>
        <v>2.8344866806084112E-2</v>
      </c>
      <c r="AX25">
        <f t="shared" si="306"/>
        <v>4.0892624261001188E-2</v>
      </c>
      <c r="AY25">
        <f t="shared" si="307"/>
        <v>4.0381466457738671E-2</v>
      </c>
      <c r="AZ25">
        <f t="shared" si="308"/>
        <v>3.9876698127016927E-2</v>
      </c>
      <c r="BA25">
        <f t="shared" si="309"/>
        <v>3.9378239400429213E-2</v>
      </c>
      <c r="BB25">
        <f t="shared" si="310"/>
        <v>3.8886011407923846E-2</v>
      </c>
      <c r="BC25">
        <f t="shared" si="311"/>
        <v>3.8399936265324799E-2</v>
      </c>
      <c r="BD25">
        <f t="shared" si="312"/>
        <v>3.7919937062008233E-2</v>
      </c>
      <c r="BE25">
        <f t="shared" si="313"/>
        <v>3.7445937848733138E-2</v>
      </c>
      <c r="BF25">
        <f t="shared" si="314"/>
        <v>3.6977863625623976E-2</v>
      </c>
      <c r="BG25">
        <f t="shared" si="315"/>
        <v>3.6515640330303675E-2</v>
      </c>
      <c r="BH25">
        <f t="shared" si="316"/>
        <v>3.6059194826174881E-2</v>
      </c>
      <c r="BI25">
        <f t="shared" si="317"/>
        <v>3.5608454890847699E-2</v>
      </c>
      <c r="BJ25">
        <f t="shared" si="318"/>
        <v>3.5163349204712105E-2</v>
      </c>
      <c r="BK25">
        <f t="shared" si="319"/>
        <v>3.4723807339653204E-2</v>
      </c>
      <c r="BL25">
        <f t="shared" si="320"/>
        <v>3.4289759747907531E-2</v>
      </c>
      <c r="BM25">
        <f t="shared" si="321"/>
        <v>3.3861137751058687E-2</v>
      </c>
      <c r="BN25">
        <f t="shared" si="322"/>
        <v>3.3437873529170457E-2</v>
      </c>
      <c r="BO25">
        <f t="shared" si="323"/>
        <v>3.301990011005583E-2</v>
      </c>
      <c r="BP25">
        <f t="shared" si="324"/>
        <v>3.2607151358680128E-2</v>
      </c>
      <c r="BQ25">
        <f t="shared" si="325"/>
        <v>3.2199561966696634E-2</v>
      </c>
      <c r="BR25">
        <f t="shared" si="326"/>
        <v>3.1797067442112928E-2</v>
      </c>
      <c r="BS25">
        <f t="shared" si="327"/>
        <v>3.1399604099086507E-2</v>
      </c>
      <c r="BT25">
        <f t="shared" si="328"/>
        <v>3.1007109047847925E-2</v>
      </c>
      <c r="BU25">
        <f t="shared" si="329"/>
        <v>3.0619520184749827E-2</v>
      </c>
      <c r="BV25">
        <f t="shared" si="330"/>
        <v>3.0236776182440452E-2</v>
      </c>
      <c r="BW25">
        <f t="shared" si="331"/>
        <v>2.9858816480159943E-2</v>
      </c>
      <c r="BX25">
        <f t="shared" si="332"/>
        <v>2.9485581274157947E-2</v>
      </c>
      <c r="BY25">
        <f t="shared" si="333"/>
        <v>2.9117011508230973E-2</v>
      </c>
      <c r="BZ25">
        <f t="shared" si="334"/>
        <v>2.8753048864378083E-2</v>
      </c>
      <c r="CA25">
        <f t="shared" si="335"/>
        <v>2.8393635753573353E-2</v>
      </c>
      <c r="CB25">
        <f t="shared" si="336"/>
        <v>2.8038715306653684E-2</v>
      </c>
      <c r="CC25">
        <f t="shared" si="337"/>
        <v>2.7688231365320514E-2</v>
      </c>
      <c r="CD25">
        <f t="shared" si="338"/>
        <v>2.7342128473254013E-2</v>
      </c>
      <c r="CE25">
        <f t="shared" si="339"/>
        <v>2.7000351867338335E-2</v>
      </c>
      <c r="CF25">
        <f t="shared" si="340"/>
        <v>2.6662847468996609E-2</v>
      </c>
      <c r="CG25">
        <f t="shared" si="341"/>
        <v>2.6329561875634157E-2</v>
      </c>
      <c r="CH25">
        <f t="shared" si="342"/>
        <v>2.6000442352188725E-2</v>
      </c>
      <c r="CI25">
        <f t="shared" si="343"/>
        <v>2.567543682278637E-2</v>
      </c>
      <c r="CJ25">
        <f t="shared" si="344"/>
        <v>2.5354493862501538E-2</v>
      </c>
      <c r="CK25">
        <f t="shared" si="345"/>
        <v>2.503756268922027E-2</v>
      </c>
      <c r="CL25">
        <f t="shared" si="346"/>
        <v>2.4724593155605025E-2</v>
      </c>
      <c r="CM25">
        <f t="shared" si="347"/>
        <v>2.4415535741159965E-2</v>
      </c>
      <c r="CN25">
        <f t="shared" si="348"/>
        <v>2.4110341544395463E-2</v>
      </c>
      <c r="CO25">
        <f t="shared" si="349"/>
        <v>2.3808962275090516E-2</v>
      </c>
      <c r="CP25">
        <f t="shared" si="350"/>
        <v>2.3511350246651887E-2</v>
      </c>
      <c r="CQ25">
        <f t="shared" si="351"/>
        <v>2.3217458368568734E-2</v>
      </c>
      <c r="CR25">
        <f t="shared" si="352"/>
        <v>2.2927240138961625E-2</v>
      </c>
      <c r="CS25">
        <f t="shared" si="353"/>
        <v>2.2640649637224609E-2</v>
      </c>
      <c r="CT25">
        <f t="shared" si="354"/>
        <v>2.2357641516759296E-2</v>
      </c>
      <c r="CU25">
        <f t="shared" si="355"/>
        <v>2.2078170997799806E-2</v>
      </c>
      <c r="CV25">
        <f t="shared" si="356"/>
        <v>2.1802193860327314E-2</v>
      </c>
      <c r="CW25">
        <f t="shared" si="357"/>
        <v>2.1529666437073224E-2</v>
      </c>
      <c r="CX25">
        <f t="shared" si="358"/>
        <v>2.1260545606609803E-2</v>
      </c>
      <c r="CY25">
        <f t="shared" si="359"/>
        <v>2.0994788786527184E-2</v>
      </c>
      <c r="CZ25">
        <f t="shared" si="360"/>
        <v>2.073235392669559E-2</v>
      </c>
      <c r="DA25">
        <f t="shared" si="361"/>
        <v>2.0473199502611894E-2</v>
      </c>
      <c r="DB25">
        <f t="shared" si="362"/>
        <v>2.0217284508829248E-2</v>
      </c>
      <c r="DC25">
        <f t="shared" si="363"/>
        <v>1.9964568452468877E-2</v>
      </c>
      <c r="DD25">
        <f t="shared" si="364"/>
        <v>1.9715011346813017E-2</v>
      </c>
      <c r="DE25">
        <f t="shared" si="365"/>
        <v>1.9468573704977853E-2</v>
      </c>
      <c r="DF25">
        <f t="shared" si="366"/>
        <v>1.9225216533665636E-2</v>
      </c>
      <c r="DG25">
        <f t="shared" si="367"/>
        <v>1.8984901326994819E-2</v>
      </c>
      <c r="DH25">
        <f t="shared" si="368"/>
        <v>1.8747590060407382E-2</v>
      </c>
      <c r="DI25">
        <f t="shared" si="369"/>
        <v>1.8513245184652295E-2</v>
      </c>
      <c r="DJ25">
        <f t="shared" si="370"/>
        <v>1.8281829619844137E-2</v>
      </c>
      <c r="DK25">
        <f t="shared" si="371"/>
        <v>1.8053306749596088E-2</v>
      </c>
      <c r="DL25">
        <f t="shared" si="372"/>
        <v>1.782764041522613E-2</v>
      </c>
      <c r="DM25">
        <f t="shared" si="373"/>
        <v>1.7604794910035804E-2</v>
      </c>
      <c r="DN25">
        <f t="shared" si="374"/>
        <v>1.7384734973660353E-2</v>
      </c>
      <c r="DO25">
        <f t="shared" si="375"/>
        <v>1.7167425786489599E-2</v>
      </c>
      <c r="DP25">
        <f t="shared" si="376"/>
        <v>1.6952832964158483E-2</v>
      </c>
      <c r="DQ25">
        <f t="shared" si="377"/>
        <v>1.6740922552106498E-2</v>
      </c>
      <c r="DR25">
        <f t="shared" si="378"/>
        <v>1.6531661020205167E-2</v>
      </c>
      <c r="DS25">
        <f t="shared" si="379"/>
        <v>1.6325015257452603E-2</v>
      </c>
      <c r="DT25">
        <f t="shared" si="380"/>
        <v>1.6120952566734448E-2</v>
      </c>
      <c r="DU25">
        <f t="shared" si="381"/>
        <v>1.5919440659650265E-2</v>
      </c>
      <c r="DV25">
        <f t="shared" si="382"/>
        <v>1.5720447651404634E-2</v>
      </c>
      <c r="DW25">
        <f t="shared" si="383"/>
        <v>1.5523942055762074E-2</v>
      </c>
      <c r="DX25">
        <f t="shared" si="384"/>
        <v>1.5329892780065047E-2</v>
      </c>
      <c r="DY25">
        <f t="shared" si="385"/>
        <v>1.513826912031423E-2</v>
      </c>
      <c r="DZ25">
        <f t="shared" si="386"/>
        <v>1.4949040756310306E-2</v>
      </c>
      <c r="EA25">
        <f t="shared" si="387"/>
        <v>1.476217774685643E-2</v>
      </c>
      <c r="EB25">
        <f t="shared" si="388"/>
        <v>1.4577650525020724E-2</v>
      </c>
      <c r="EC25">
        <f t="shared" si="389"/>
        <v>1.4395429893457967E-2</v>
      </c>
      <c r="ED25">
        <f t="shared" si="390"/>
        <v>1.4215487019789742E-2</v>
      </c>
      <c r="EE25">
        <f t="shared" si="391"/>
        <v>1.4037793432042367E-2</v>
      </c>
      <c r="EF25">
        <f t="shared" si="392"/>
        <v>1.3862321014141843E-2</v>
      </c>
      <c r="EG25">
        <f t="shared" si="393"/>
        <v>1.3689042001465068E-2</v>
      </c>
      <c r="EH25">
        <f t="shared" si="394"/>
        <v>1.3517928976446759E-2</v>
      </c>
      <c r="EI25">
        <f t="shared" si="395"/>
        <v>1.334895486424117E-2</v>
      </c>
      <c r="EJ25">
        <f t="shared" si="396"/>
        <v>1.3182092928438149E-2</v>
      </c>
      <c r="EK25">
        <f t="shared" si="397"/>
        <v>1.3017316766832676E-2</v>
      </c>
      <c r="EL25">
        <f t="shared" si="398"/>
        <v>1.2854600307247267E-2</v>
      </c>
      <c r="EM25">
        <f t="shared" si="399"/>
        <v>1.2693917803406674E-2</v>
      </c>
      <c r="EN25">
        <f t="shared" si="400"/>
        <v>1.2535243830864084E-2</v>
      </c>
      <c r="EO25">
        <f t="shared" si="401"/>
        <v>1.2378553282978289E-2</v>
      </c>
      <c r="EP25">
        <f t="shared" si="402"/>
        <v>1.2223821366941057E-2</v>
      </c>
      <c r="EQ25">
        <f t="shared" si="403"/>
        <v>1.2071023599854291E-2</v>
      </c>
      <c r="ER25">
        <f t="shared" si="404"/>
        <v>1.1920135804856114E-2</v>
      </c>
      <c r="ES25">
        <f t="shared" si="405"/>
        <v>1.1771134107295411E-2</v>
      </c>
      <c r="ET25">
        <f t="shared" si="406"/>
        <v>1.1623994930954219E-2</v>
      </c>
      <c r="EU25">
        <f t="shared" si="407"/>
        <v>1.1478694994317296E-2</v>
      </c>
      <c r="EV25">
        <f t="shared" si="408"/>
        <v>1.1335211306888327E-2</v>
      </c>
      <c r="EW25">
        <f t="shared" si="409"/>
        <v>1.1193521165552223E-2</v>
      </c>
      <c r="EX25">
        <f t="shared" si="410"/>
        <v>1.1053602150982823E-2</v>
      </c>
      <c r="EY25">
        <f t="shared" si="411"/>
        <v>1.0915432124095537E-2</v>
      </c>
      <c r="EZ25">
        <f t="shared" si="412"/>
        <v>1.0778989222544343E-2</v>
      </c>
      <c r="FA25">
        <f t="shared" si="413"/>
        <v>1.0644251857262543E-2</v>
      </c>
      <c r="FB25">
        <f t="shared" si="414"/>
        <v>1.0511198709046765E-2</v>
      </c>
      <c r="FC25">
        <f t="shared" si="415"/>
        <v>1.0379808725183681E-2</v>
      </c>
      <c r="FD25">
        <f t="shared" si="416"/>
        <v>1.025006111611888E-2</v>
      </c>
      <c r="FE25">
        <f t="shared" si="417"/>
        <v>1.01219353521674E-2</v>
      </c>
      <c r="FF25">
        <f t="shared" si="418"/>
        <v>9.9954111602653106E-3</v>
      </c>
      <c r="FG25">
        <f t="shared" si="419"/>
        <v>9.8704685207619998E-3</v>
      </c>
      <c r="FH25">
        <f t="shared" si="420"/>
        <v>9.747087664252474E-3</v>
      </c>
      <c r="FI25">
        <f t="shared" si="421"/>
        <v>9.6252490684493146E-3</v>
      </c>
      <c r="FJ25">
        <f t="shared" si="422"/>
        <v>9.5049334550937007E-3</v>
      </c>
      <c r="FK25">
        <f t="shared" si="423"/>
        <v>9.3861217869050332E-3</v>
      </c>
      <c r="FL25">
        <f t="shared" si="424"/>
        <v>9.2687952645687192E-3</v>
      </c>
      <c r="FM25">
        <f t="shared" si="425"/>
        <v>9.1529353237616122E-3</v>
      </c>
      <c r="FN25">
        <f t="shared" si="426"/>
        <v>9.0385236322145894E-3</v>
      </c>
      <c r="FO25">
        <f t="shared" si="427"/>
        <v>8.9255420868119099E-3</v>
      </c>
      <c r="FP25">
        <f t="shared" si="428"/>
        <v>8.8139728107267667E-3</v>
      </c>
      <c r="FQ25">
        <f t="shared" si="429"/>
        <v>8.7037981505926794E-3</v>
      </c>
      <c r="FR25">
        <f t="shared" si="430"/>
        <v>8.5950006737102735E-3</v>
      </c>
      <c r="FS25">
        <f t="shared" si="431"/>
        <v>8.487563165288892E-3</v>
      </c>
      <c r="FT25">
        <f t="shared" si="432"/>
        <v>8.381468625722777E-3</v>
      </c>
      <c r="FU25">
        <f t="shared" si="433"/>
        <v>8.2767002679012373E-3</v>
      </c>
      <c r="FV25">
        <f t="shared" si="434"/>
        <v>8.1732415145524765E-3</v>
      </c>
      <c r="FW25">
        <f t="shared" si="435"/>
        <v>8.0710759956205691E-3</v>
      </c>
      <c r="FX25">
        <f t="shared" si="436"/>
        <v>7.9701875456753106E-3</v>
      </c>
      <c r="FY25">
        <f t="shared" si="437"/>
        <v>7.8705602013543711E-3</v>
      </c>
      <c r="FZ25">
        <f t="shared" si="438"/>
        <v>7.7721781988374424E-3</v>
      </c>
      <c r="GA25">
        <f t="shared" si="439"/>
        <v>7.6750259713519783E-3</v>
      </c>
      <c r="GB25">
        <f t="shared" si="440"/>
        <v>7.5790881467100776E-3</v>
      </c>
      <c r="GC25">
        <f t="shared" si="441"/>
        <v>7.484349544876201E-3</v>
      </c>
      <c r="GD25">
        <f t="shared" si="442"/>
        <v>7.3907951755652459E-3</v>
      </c>
      <c r="GE25">
        <f t="shared" si="443"/>
        <v>7.298410235870678E-3</v>
      </c>
      <c r="GF25">
        <f t="shared" si="444"/>
        <v>7.2071801079222949E-3</v>
      </c>
      <c r="GG25">
        <f t="shared" si="445"/>
        <v>7.1170903565732635E-3</v>
      </c>
      <c r="GH25">
        <f t="shared" si="446"/>
        <v>7.0281267271161017E-3</v>
      </c>
      <c r="GI25">
        <f t="shared" si="447"/>
        <v>6.9402751430271527E-3</v>
      </c>
      <c r="GJ25">
        <f t="shared" si="448"/>
        <v>6.8535217037393181E-3</v>
      </c>
      <c r="GK25">
        <f t="shared" si="449"/>
        <v>6.7678526824425768E-3</v>
      </c>
      <c r="GL25">
        <f t="shared" si="450"/>
        <v>6.6832545239120409E-3</v>
      </c>
      <c r="GM25">
        <f t="shared" si="451"/>
        <v>6.599713842363142E-3</v>
      </c>
      <c r="GN25">
        <f t="shared" si="452"/>
        <v>6.5172174193335987E-3</v>
      </c>
      <c r="GO25">
        <f t="shared" si="453"/>
        <v>6.4357522015919266E-3</v>
      </c>
      <c r="GP25">
        <f t="shared" si="454"/>
        <v>6.3553052990720227E-3</v>
      </c>
      <c r="GQ25">
        <f t="shared" si="455"/>
        <v>6.2758639828336179E-3</v>
      </c>
      <c r="GR25">
        <f t="shared" si="456"/>
        <v>6.1974156830482017E-3</v>
      </c>
      <c r="GS25">
        <f t="shared" si="457"/>
        <v>6.1199479870100992E-3</v>
      </c>
      <c r="GT25">
        <f t="shared" si="458"/>
        <v>6.043448637172477E-3</v>
      </c>
      <c r="GU25">
        <f t="shared" si="459"/>
        <v>5.9679055292078172E-3</v>
      </c>
      <c r="GV25">
        <f t="shared" si="460"/>
        <v>5.8933067100927165E-3</v>
      </c>
      <c r="GW25">
        <f t="shared" si="461"/>
        <v>5.8196403762165614E-3</v>
      </c>
      <c r="GX25">
        <f t="shared" si="462"/>
        <v>5.7468948715138522E-3</v>
      </c>
      <c r="GY25">
        <f t="shared" si="463"/>
        <v>5.6750586856199273E-3</v>
      </c>
      <c r="GZ25">
        <f t="shared" si="464"/>
        <v>5.604120452049677E-3</v>
      </c>
      <c r="HA25">
        <f t="shared" si="465"/>
        <v>5.5340689463990508E-3</v>
      </c>
      <c r="HB25">
        <f t="shared" si="466"/>
        <v>5.4648930845690672E-3</v>
      </c>
      <c r="HC25">
        <f t="shared" si="467"/>
        <v>5.3965819210119561E-3</v>
      </c>
      <c r="HD25">
        <f t="shared" si="468"/>
        <v>5.3291246469993059E-3</v>
      </c>
      <c r="HE25">
        <f t="shared" si="469"/>
        <v>5.2625105889118175E-3</v>
      </c>
      <c r="HF25">
        <f t="shared" si="470"/>
        <v>5.1967292065504215E-3</v>
      </c>
      <c r="HG25">
        <f t="shared" si="471"/>
        <v>5.1317700914685462E-3</v>
      </c>
      <c r="HH25">
        <f t="shared" si="472"/>
        <v>5.0676229653251912E-3</v>
      </c>
      <c r="HI25">
        <f t="shared" si="473"/>
        <v>5.0042776782586286E-3</v>
      </c>
      <c r="HJ25">
        <f t="shared" si="474"/>
        <v>4.9417242072803957E-3</v>
      </c>
      <c r="HK25">
        <f t="shared" si="475"/>
        <v>4.8799526546893903E-3</v>
      </c>
      <c r="HL25">
        <f t="shared" si="476"/>
        <v>4.8189532465057749E-3</v>
      </c>
      <c r="HM25">
        <f t="shared" si="477"/>
        <v>4.7587163309244507E-3</v>
      </c>
      <c r="HN25">
        <f t="shared" si="478"/>
        <v>4.6992323767878989E-3</v>
      </c>
      <c r="HO25">
        <f t="shared" si="479"/>
        <v>4.6404919720780535E-3</v>
      </c>
      <c r="HP25">
        <f t="shared" si="480"/>
        <v>4.5824858224270733E-3</v>
      </c>
      <c r="HQ25">
        <f t="shared" si="481"/>
        <v>4.5252047496467385E-3</v>
      </c>
      <c r="HR25">
        <f t="shared" si="482"/>
        <v>4.4686396902761548E-3</v>
      </c>
      <c r="HS25">
        <f t="shared" si="483"/>
        <v>4.4127816941477048E-3</v>
      </c>
      <c r="HT25">
        <f t="shared" si="484"/>
        <v>4.3576219229708559E-3</v>
      </c>
      <c r="HU25">
        <f t="shared" si="485"/>
        <v>4.3031516489337226E-3</v>
      </c>
      <c r="HV25">
        <f t="shared" si="486"/>
        <v>4.249362253322053E-3</v>
      </c>
      <c r="HW25">
        <f t="shared" si="487"/>
        <v>4.1962452251555257E-3</v>
      </c>
      <c r="HX25">
        <f t="shared" si="488"/>
        <v>4.1437921598410869E-3</v>
      </c>
      <c r="HY25">
        <f t="shared" si="489"/>
        <v>4.0919947578430763E-3</v>
      </c>
      <c r="HZ25">
        <f t="shared" si="490"/>
        <v>4.040844823370038E-3</v>
      </c>
      <c r="IA25">
        <f t="shared" si="491"/>
        <v>3.99033426307791E-3</v>
      </c>
      <c r="IB25">
        <f t="shared" si="492"/>
        <v>3.9404550847894401E-3</v>
      </c>
      <c r="IC25">
        <f t="shared" si="493"/>
        <v>3.8911993962295723E-3</v>
      </c>
      <c r="ID25">
        <f t="shared" si="494"/>
        <v>3.8425594037767019E-3</v>
      </c>
      <c r="IE25">
        <f t="shared" si="495"/>
        <v>3.7945274112294982E-3</v>
      </c>
      <c r="IF25">
        <f t="shared" si="496"/>
        <v>3.7470958185891303E-3</v>
      </c>
      <c r="IG25">
        <f t="shared" si="497"/>
        <v>3.7002571208567649E-3</v>
      </c>
      <c r="IH25">
        <f t="shared" si="498"/>
        <v>3.6540039068460595E-3</v>
      </c>
      <c r="II25">
        <f t="shared" si="499"/>
        <v>3.6083288580104787E-3</v>
      </c>
      <c r="IJ25">
        <f t="shared" si="500"/>
        <v>3.5632247472853428E-3</v>
      </c>
      <c r="IK25">
        <f t="shared" si="501"/>
        <v>3.5186844379442748E-3</v>
      </c>
      <c r="IL25">
        <f t="shared" si="502"/>
        <v>3.4747008824699719E-3</v>
      </c>
      <c r="IM25">
        <f t="shared" si="503"/>
        <v>3.4312671214390966E-3</v>
      </c>
      <c r="IN25">
        <f t="shared" si="504"/>
        <v>3.3883762824211128E-3</v>
      </c>
      <c r="IO25">
        <f t="shared" si="505"/>
        <v>3.3460215788908452E-3</v>
      </c>
      <c r="IP25">
        <f t="shared" si="506"/>
        <v>3.3041963091547054E-3</v>
      </c>
      <c r="IQ25">
        <f t="shared" si="507"/>
        <v>3.262893855290272E-3</v>
      </c>
      <c r="IR25">
        <f t="shared" si="508"/>
        <v>3.2221076820991403E-3</v>
      </c>
      <c r="IS25">
        <f t="shared" si="509"/>
        <v>3.1818313360729043E-3</v>
      </c>
      <c r="IT25">
        <f t="shared" si="510"/>
        <v>3.1420584443719981E-3</v>
      </c>
      <c r="IU25">
        <f t="shared" si="511"/>
        <v>3.1027827138173426E-3</v>
      </c>
      <c r="IV25">
        <f t="shared" si="512"/>
        <v>3.0639979298946241E-3</v>
      </c>
    </row>
    <row r="26" spans="1:256" x14ac:dyDescent="0.2">
      <c r="A26" t="s">
        <v>497</v>
      </c>
      <c r="B26">
        <f t="shared" si="258"/>
        <v>-2.8113487243652341E-2</v>
      </c>
      <c r="C26">
        <f t="shared" si="259"/>
        <v>-2.7762068653106688E-2</v>
      </c>
      <c r="D26">
        <f t="shared" si="260"/>
        <v>-2.7415042794942852E-2</v>
      </c>
      <c r="E26">
        <f t="shared" si="261"/>
        <v>-2.7072354760006068E-2</v>
      </c>
      <c r="F26">
        <f t="shared" si="262"/>
        <v>-2.673395032550599E-2</v>
      </c>
      <c r="G26">
        <f t="shared" si="263"/>
        <v>-2.6399775946437165E-2</v>
      </c>
      <c r="H26">
        <f t="shared" si="264"/>
        <v>-2.6069778747106705E-2</v>
      </c>
      <c r="I26">
        <f t="shared" si="265"/>
        <v>-2.5743906512767867E-2</v>
      </c>
      <c r="J26">
        <f t="shared" si="266"/>
        <v>-1.5422107681358271E-2</v>
      </c>
      <c r="K26">
        <f t="shared" si="267"/>
        <v>-1.5229331335341295E-2</v>
      </c>
      <c r="L26">
        <f t="shared" si="268"/>
        <v>-1.5038964693649532E-2</v>
      </c>
      <c r="M26">
        <f t="shared" si="269"/>
        <v>-1.4850977634978913E-2</v>
      </c>
      <c r="N26">
        <f t="shared" si="270"/>
        <v>-1.4665340414541678E-2</v>
      </c>
      <c r="O26">
        <f t="shared" si="271"/>
        <v>-1.4482023659359905E-2</v>
      </c>
      <c r="P26">
        <f t="shared" si="272"/>
        <v>-1.4300998363617905E-2</v>
      </c>
      <c r="Q26">
        <f t="shared" si="273"/>
        <v>-1.4122235884072682E-2</v>
      </c>
      <c r="R26">
        <f t="shared" si="274"/>
        <v>6.0542920644782224E-3</v>
      </c>
      <c r="S26">
        <f t="shared" si="275"/>
        <v>5.9786134136722456E-3</v>
      </c>
      <c r="T26">
        <f t="shared" si="276"/>
        <v>5.9038807460013443E-3</v>
      </c>
      <c r="U26">
        <f t="shared" si="277"/>
        <v>5.8300822366763264E-3</v>
      </c>
      <c r="V26">
        <f t="shared" si="278"/>
        <v>5.7572062087178745E-3</v>
      </c>
      <c r="W26">
        <f t="shared" si="279"/>
        <v>5.6852411311089038E-3</v>
      </c>
      <c r="X26">
        <f t="shared" si="280"/>
        <v>5.6141756169700409E-3</v>
      </c>
      <c r="Y26">
        <f t="shared" si="281"/>
        <v>5.5439984217579173E-3</v>
      </c>
      <c r="Z26">
        <f t="shared" si="282"/>
        <v>-2.875532819197224E-3</v>
      </c>
      <c r="AA26">
        <f t="shared" si="283"/>
        <v>-2.8395886589572595E-3</v>
      </c>
      <c r="AB26">
        <f t="shared" si="284"/>
        <v>-2.8040938007202918E-3</v>
      </c>
      <c r="AC26">
        <f t="shared" si="285"/>
        <v>-2.7690426282112879E-3</v>
      </c>
      <c r="AD26">
        <f t="shared" si="286"/>
        <v>-2.7344295953586452E-3</v>
      </c>
      <c r="AE26">
        <f t="shared" si="287"/>
        <v>-2.700249225416662E-3</v>
      </c>
      <c r="AF26">
        <f t="shared" si="288"/>
        <v>-2.6664961100989538E-3</v>
      </c>
      <c r="AG26">
        <f t="shared" si="289"/>
        <v>-2.6331649087227181E-3</v>
      </c>
      <c r="AH26">
        <f t="shared" si="290"/>
        <v>1.972377394310464E-2</v>
      </c>
      <c r="AI26">
        <f t="shared" si="291"/>
        <v>1.9477226768815831E-2</v>
      </c>
      <c r="AJ26">
        <f t="shared" si="292"/>
        <v>1.9233761434205632E-2</v>
      </c>
      <c r="AK26">
        <f t="shared" si="293"/>
        <v>1.8993339416278059E-2</v>
      </c>
      <c r="AL26">
        <f t="shared" si="294"/>
        <v>1.8755922673574583E-2</v>
      </c>
      <c r="AM26">
        <f t="shared" si="295"/>
        <v>1.8521473640154901E-2</v>
      </c>
      <c r="AN26">
        <f t="shared" si="296"/>
        <v>1.8289955219652966E-2</v>
      </c>
      <c r="AO26">
        <f t="shared" si="297"/>
        <v>1.8061330779407303E-2</v>
      </c>
      <c r="AP26">
        <f t="shared" si="298"/>
        <v>-2.6138228885120442E-2</v>
      </c>
      <c r="AQ26">
        <f t="shared" si="299"/>
        <v>-2.5811501024056438E-2</v>
      </c>
      <c r="AR26">
        <f t="shared" si="300"/>
        <v>-2.5488857261255726E-2</v>
      </c>
      <c r="AS26">
        <f t="shared" si="301"/>
        <v>-2.5170246545490028E-2</v>
      </c>
      <c r="AT26">
        <f t="shared" si="302"/>
        <v>-2.4855618463671406E-2</v>
      </c>
      <c r="AU26">
        <f t="shared" si="303"/>
        <v>-2.4544923232875514E-2</v>
      </c>
      <c r="AV26">
        <f t="shared" si="304"/>
        <v>-2.4238111692464568E-2</v>
      </c>
      <c r="AW26">
        <f t="shared" si="305"/>
        <v>-2.3935135296308759E-2</v>
      </c>
      <c r="AX26">
        <f t="shared" si="306"/>
        <v>-2.3635946105104902E-2</v>
      </c>
      <c r="AY26">
        <f t="shared" si="307"/>
        <v>-2.3340496778791089E-2</v>
      </c>
      <c r="AZ26">
        <f t="shared" si="308"/>
        <v>-2.30487405690562E-2</v>
      </c>
      <c r="BA26">
        <f t="shared" si="309"/>
        <v>-2.2760631311942999E-2</v>
      </c>
      <c r="BB26">
        <f t="shared" si="310"/>
        <v>-2.2476123420543712E-2</v>
      </c>
      <c r="BC26">
        <f t="shared" si="311"/>
        <v>-2.2195171877786916E-2</v>
      </c>
      <c r="BD26">
        <f t="shared" si="312"/>
        <v>-2.1917732229314577E-2</v>
      </c>
      <c r="BE26">
        <f t="shared" si="313"/>
        <v>-2.1643760576448144E-2</v>
      </c>
      <c r="BF26">
        <f t="shared" si="314"/>
        <v>-2.1373213569242541E-2</v>
      </c>
      <c r="BG26">
        <f t="shared" si="315"/>
        <v>-2.1106048399627011E-2</v>
      </c>
      <c r="BH26">
        <f t="shared" si="316"/>
        <v>-2.0842222794631673E-2</v>
      </c>
      <c r="BI26">
        <f t="shared" si="317"/>
        <v>-2.0581695009698777E-2</v>
      </c>
      <c r="BJ26">
        <f t="shared" si="318"/>
        <v>-2.0324423822077546E-2</v>
      </c>
      <c r="BK26">
        <f t="shared" si="319"/>
        <v>-2.0070368524301576E-2</v>
      </c>
      <c r="BL26">
        <f t="shared" si="320"/>
        <v>-1.9819488917747805E-2</v>
      </c>
      <c r="BM26">
        <f t="shared" si="321"/>
        <v>-1.9571745306275957E-2</v>
      </c>
      <c r="BN26">
        <f t="shared" si="322"/>
        <v>-1.9327098489947511E-2</v>
      </c>
      <c r="BO26">
        <f t="shared" si="323"/>
        <v>-1.9085509758823168E-2</v>
      </c>
      <c r="BP26">
        <f t="shared" si="324"/>
        <v>-1.884694088683788E-2</v>
      </c>
      <c r="BQ26">
        <f t="shared" si="325"/>
        <v>-1.8611354125752409E-2</v>
      </c>
      <c r="BR26">
        <f t="shared" si="326"/>
        <v>-1.8378712199180504E-2</v>
      </c>
      <c r="BS26">
        <f t="shared" si="327"/>
        <v>-1.8148978296690751E-2</v>
      </c>
      <c r="BT26">
        <f t="shared" si="328"/>
        <v>-1.7922116067982115E-2</v>
      </c>
      <c r="BU26">
        <f t="shared" si="329"/>
        <v>-1.7698089617132338E-2</v>
      </c>
      <c r="BV26">
        <f t="shared" si="330"/>
        <v>-1.7476863496918186E-2</v>
      </c>
      <c r="BW26">
        <f t="shared" si="331"/>
        <v>-1.7258402703206707E-2</v>
      </c>
      <c r="BX26">
        <f t="shared" si="332"/>
        <v>-1.7042672669416621E-2</v>
      </c>
      <c r="BY26">
        <f t="shared" si="333"/>
        <v>-1.6829639261048916E-2</v>
      </c>
      <c r="BZ26">
        <f t="shared" si="334"/>
        <v>-1.6619268770285803E-2</v>
      </c>
      <c r="CA26">
        <f t="shared" si="335"/>
        <v>-1.6411527910657229E-2</v>
      </c>
      <c r="CB26">
        <f t="shared" si="336"/>
        <v>-1.6206383811774014E-2</v>
      </c>
      <c r="CC26">
        <f t="shared" si="337"/>
        <v>-1.6003804014126842E-2</v>
      </c>
      <c r="CD26">
        <f t="shared" si="338"/>
        <v>-1.5803756463950255E-2</v>
      </c>
      <c r="CE26">
        <f t="shared" si="339"/>
        <v>-1.5606209508150878E-2</v>
      </c>
      <c r="CF26">
        <f t="shared" si="340"/>
        <v>-1.5411131889298994E-2</v>
      </c>
      <c r="CG26">
        <f t="shared" si="341"/>
        <v>-1.5218492740682757E-2</v>
      </c>
      <c r="CH26">
        <f t="shared" si="342"/>
        <v>-1.5028261581424221E-2</v>
      </c>
      <c r="CI26">
        <f t="shared" si="343"/>
        <v>-1.4840408311656419E-2</v>
      </c>
      <c r="CJ26">
        <f t="shared" si="344"/>
        <v>-1.4654903207760714E-2</v>
      </c>
      <c r="CK26">
        <f t="shared" si="345"/>
        <v>-1.4471716917663704E-2</v>
      </c>
      <c r="CL26">
        <f t="shared" si="346"/>
        <v>-1.4290820456192907E-2</v>
      </c>
      <c r="CM26">
        <f t="shared" si="347"/>
        <v>-1.4112185200490495E-2</v>
      </c>
      <c r="CN26">
        <f t="shared" si="348"/>
        <v>-1.3935782885484365E-2</v>
      </c>
      <c r="CO26">
        <f t="shared" si="349"/>
        <v>-1.376158559941581E-2</v>
      </c>
      <c r="CP26">
        <f t="shared" si="350"/>
        <v>-1.3589565779423112E-2</v>
      </c>
      <c r="CQ26">
        <f t="shared" si="351"/>
        <v>-1.3419696207180323E-2</v>
      </c>
      <c r="CR26">
        <f t="shared" si="352"/>
        <v>-1.3251950004590568E-2</v>
      </c>
      <c r="CS26">
        <f t="shared" si="353"/>
        <v>-1.3086300629533185E-2</v>
      </c>
      <c r="CT26">
        <f t="shared" si="354"/>
        <v>-1.292272187166402E-2</v>
      </c>
      <c r="CU26">
        <f t="shared" si="355"/>
        <v>-1.2761187848268218E-2</v>
      </c>
      <c r="CV26">
        <f t="shared" si="356"/>
        <v>-1.2601673000164865E-2</v>
      </c>
      <c r="CW26">
        <f t="shared" si="357"/>
        <v>-1.2444152087662804E-2</v>
      </c>
      <c r="CX26">
        <f t="shared" si="358"/>
        <v>-1.2288600186567019E-2</v>
      </c>
      <c r="CY26">
        <f t="shared" si="359"/>
        <v>-1.2134992684234933E-2</v>
      </c>
      <c r="CZ26">
        <f t="shared" si="360"/>
        <v>-1.1983305275681996E-2</v>
      </c>
      <c r="DA26">
        <f t="shared" si="361"/>
        <v>-1.1833513959735972E-2</v>
      </c>
      <c r="DB26">
        <f t="shared" si="362"/>
        <v>-1.1685595035239273E-2</v>
      </c>
      <c r="DC26">
        <f t="shared" si="363"/>
        <v>-1.1539525097298784E-2</v>
      </c>
      <c r="DD26">
        <f t="shared" si="364"/>
        <v>-1.139528103358255E-2</v>
      </c>
      <c r="DE26">
        <f t="shared" si="365"/>
        <v>-1.1252840020662768E-2</v>
      </c>
      <c r="DF26">
        <f t="shared" si="366"/>
        <v>-1.1112179520404483E-2</v>
      </c>
      <c r="DG26">
        <f t="shared" si="367"/>
        <v>-1.0973277276399426E-2</v>
      </c>
      <c r="DH26">
        <f t="shared" si="368"/>
        <v>-1.0836111310444433E-2</v>
      </c>
      <c r="DI26">
        <f t="shared" si="369"/>
        <v>-1.0700659919063877E-2</v>
      </c>
      <c r="DJ26">
        <f t="shared" si="370"/>
        <v>-1.0566901670075578E-2</v>
      </c>
      <c r="DK26">
        <f t="shared" si="371"/>
        <v>-1.0434815399199635E-2</v>
      </c>
      <c r="DL26">
        <f t="shared" si="372"/>
        <v>-1.0304380206709641E-2</v>
      </c>
      <c r="DM26">
        <f t="shared" si="373"/>
        <v>-1.0175575454125771E-2</v>
      </c>
      <c r="DN26">
        <f t="shared" si="374"/>
        <v>-1.0048380760949199E-2</v>
      </c>
      <c r="DO26">
        <f t="shared" si="375"/>
        <v>-9.9227760014373341E-3</v>
      </c>
      <c r="DP26">
        <f t="shared" si="376"/>
        <v>-9.7987413014193666E-3</v>
      </c>
      <c r="DQ26">
        <f t="shared" si="377"/>
        <v>-9.6762570351516253E-3</v>
      </c>
      <c r="DR26">
        <f t="shared" si="378"/>
        <v>-9.55530382221223E-3</v>
      </c>
      <c r="DS26">
        <f t="shared" si="379"/>
        <v>-9.4358625244345771E-3</v>
      </c>
      <c r="DT26">
        <f t="shared" si="380"/>
        <v>-9.3179142428791439E-3</v>
      </c>
      <c r="DU26">
        <f t="shared" si="381"/>
        <v>-9.2014403148431533E-3</v>
      </c>
      <c r="DV26">
        <f t="shared" si="382"/>
        <v>-9.0864223109076159E-3</v>
      </c>
      <c r="DW26">
        <f t="shared" si="383"/>
        <v>-8.9728420320212693E-3</v>
      </c>
      <c r="DX26">
        <f t="shared" si="384"/>
        <v>-8.8606815066210043E-3</v>
      </c>
      <c r="DY26">
        <f t="shared" si="385"/>
        <v>-8.7499229877882421E-3</v>
      </c>
      <c r="DZ26">
        <f t="shared" si="386"/>
        <v>-8.6405489504408871E-3</v>
      </c>
      <c r="EA26">
        <f t="shared" si="387"/>
        <v>-8.5325420885603766E-3</v>
      </c>
      <c r="EB26">
        <f t="shared" si="388"/>
        <v>-8.4258853124533715E-3</v>
      </c>
      <c r="EC26">
        <f t="shared" si="389"/>
        <v>-8.3205617460477034E-3</v>
      </c>
      <c r="ED26">
        <f t="shared" si="390"/>
        <v>-8.2165547242221051E-3</v>
      </c>
      <c r="EE26">
        <f t="shared" si="391"/>
        <v>-8.1138477901693297E-3</v>
      </c>
      <c r="EF26">
        <f t="shared" si="392"/>
        <v>-8.0124246927922114E-3</v>
      </c>
      <c r="EG26">
        <f t="shared" si="393"/>
        <v>-7.9122693841323088E-3</v>
      </c>
      <c r="EH26">
        <f t="shared" si="394"/>
        <v>-7.8133660168306553E-3</v>
      </c>
      <c r="EI26">
        <f t="shared" si="395"/>
        <v>-7.7156989416202722E-3</v>
      </c>
      <c r="EJ26">
        <f t="shared" si="396"/>
        <v>-7.6192527048500186E-3</v>
      </c>
      <c r="EK26">
        <f t="shared" si="397"/>
        <v>-7.5240120460393937E-3</v>
      </c>
      <c r="EL26">
        <f t="shared" si="398"/>
        <v>-7.4299618954639015E-3</v>
      </c>
      <c r="EM26">
        <f t="shared" si="399"/>
        <v>-7.3370873717706038E-3</v>
      </c>
      <c r="EN26">
        <f t="shared" si="400"/>
        <v>-7.2453737796234711E-3</v>
      </c>
      <c r="EO26">
        <f t="shared" si="401"/>
        <v>-7.1548066073781778E-3</v>
      </c>
      <c r="EP26">
        <f t="shared" si="402"/>
        <v>-7.0653715247859517E-3</v>
      </c>
      <c r="EQ26">
        <f t="shared" si="403"/>
        <v>-6.9770543807261276E-3</v>
      </c>
      <c r="ER26">
        <f t="shared" si="404"/>
        <v>-6.889841200967051E-3</v>
      </c>
      <c r="ES26">
        <f t="shared" si="405"/>
        <v>-6.8037181859549626E-3</v>
      </c>
      <c r="ET26">
        <f t="shared" si="406"/>
        <v>-6.7186717086305248E-3</v>
      </c>
      <c r="EU26">
        <f t="shared" si="407"/>
        <v>-6.6346883122726432E-3</v>
      </c>
      <c r="EV26">
        <f t="shared" si="408"/>
        <v>-6.5517547083692364E-3</v>
      </c>
      <c r="EW26">
        <f t="shared" si="409"/>
        <v>-6.4698577745146198E-3</v>
      </c>
      <c r="EX26">
        <f t="shared" si="410"/>
        <v>-6.3889845523331882E-3</v>
      </c>
      <c r="EY26">
        <f t="shared" si="411"/>
        <v>-6.3091222454290221E-3</v>
      </c>
      <c r="EZ26">
        <f t="shared" si="412"/>
        <v>-6.2302582173611593E-3</v>
      </c>
      <c r="FA26">
        <f t="shared" si="413"/>
        <v>-6.1523799896441439E-3</v>
      </c>
      <c r="FB26">
        <f t="shared" si="414"/>
        <v>-6.0754752397735919E-3</v>
      </c>
      <c r="FC26">
        <f t="shared" si="415"/>
        <v>-5.9995317992764226E-3</v>
      </c>
      <c r="FD26">
        <f t="shared" si="416"/>
        <v>-5.9245376517854664E-3</v>
      </c>
      <c r="FE26">
        <f t="shared" si="417"/>
        <v>-5.8504809311381491E-3</v>
      </c>
      <c r="FF26">
        <f t="shared" si="418"/>
        <v>-5.7773499194989225E-3</v>
      </c>
      <c r="FG26">
        <f t="shared" si="419"/>
        <v>-5.7051330455051867E-3</v>
      </c>
      <c r="FH26">
        <f t="shared" si="420"/>
        <v>-5.6338188824363727E-3</v>
      </c>
      <c r="FI26">
        <f t="shared" si="421"/>
        <v>-5.5633961464059186E-3</v>
      </c>
      <c r="FJ26">
        <f t="shared" si="422"/>
        <v>-5.4938536945758456E-3</v>
      </c>
      <c r="FK26">
        <f t="shared" si="423"/>
        <v>-5.4251805233936469E-3</v>
      </c>
      <c r="FL26">
        <f t="shared" si="424"/>
        <v>-5.3573657668512268E-3</v>
      </c>
      <c r="FM26">
        <f t="shared" si="425"/>
        <v>-5.2903986947655853E-3</v>
      </c>
      <c r="FN26">
        <f t="shared" si="426"/>
        <v>-5.224268711081015E-3</v>
      </c>
      <c r="FO26">
        <f t="shared" si="427"/>
        <v>-5.1589653521925015E-3</v>
      </c>
      <c r="FP26">
        <f t="shared" si="428"/>
        <v>-5.0944782852900966E-3</v>
      </c>
      <c r="FQ26">
        <f t="shared" si="429"/>
        <v>-5.0307973067239692E-3</v>
      </c>
      <c r="FR26">
        <f t="shared" si="430"/>
        <v>-4.9679123403899182E-3</v>
      </c>
      <c r="FS26">
        <f t="shared" si="431"/>
        <v>-4.9058134361350449E-3</v>
      </c>
      <c r="FT26">
        <f t="shared" si="432"/>
        <v>-4.8444907681833571E-3</v>
      </c>
      <c r="FU26">
        <f t="shared" si="433"/>
        <v>-4.7839346335810662E-3</v>
      </c>
      <c r="FV26">
        <f t="shared" si="434"/>
        <v>-4.7241354506613016E-3</v>
      </c>
      <c r="FW26">
        <f t="shared" si="435"/>
        <v>-4.6650837575280355E-3</v>
      </c>
      <c r="FX26">
        <f t="shared" si="436"/>
        <v>-4.6067702105589362E-3</v>
      </c>
      <c r="FY26">
        <f t="shared" si="437"/>
        <v>-4.5491855829269488E-3</v>
      </c>
      <c r="FZ26">
        <f t="shared" si="438"/>
        <v>-4.4923207631403618E-3</v>
      </c>
      <c r="GA26">
        <f t="shared" si="439"/>
        <v>-4.4361667536011061E-3</v>
      </c>
      <c r="GB26">
        <f t="shared" si="440"/>
        <v>-4.3807146691810933E-3</v>
      </c>
      <c r="GC26">
        <f t="shared" si="441"/>
        <v>-4.3259557358163309E-3</v>
      </c>
      <c r="GD26">
        <f t="shared" si="442"/>
        <v>-4.2718812891186257E-3</v>
      </c>
      <c r="GE26">
        <f t="shared" si="443"/>
        <v>-4.218482773004642E-3</v>
      </c>
      <c r="GF26">
        <f t="shared" si="444"/>
        <v>-4.1657517383420824E-3</v>
      </c>
      <c r="GG26">
        <f t="shared" si="445"/>
        <v>-4.1136798416128075E-3</v>
      </c>
      <c r="GH26">
        <f t="shared" si="446"/>
        <v>-4.062258843592648E-3</v>
      </c>
      <c r="GI26">
        <f t="shared" si="447"/>
        <v>-4.0114806080477402E-3</v>
      </c>
      <c r="GJ26">
        <f t="shared" si="448"/>
        <v>-3.9613371004471433E-3</v>
      </c>
      <c r="GK26">
        <f t="shared" si="449"/>
        <v>-3.9118203866915528E-3</v>
      </c>
      <c r="GL26">
        <f t="shared" si="450"/>
        <v>-3.8629226318579097E-3</v>
      </c>
      <c r="GM26">
        <f t="shared" si="451"/>
        <v>-3.8146360989596865E-3</v>
      </c>
      <c r="GN26">
        <f t="shared" si="452"/>
        <v>-3.7669531477226904E-3</v>
      </c>
      <c r="GO26">
        <f t="shared" si="453"/>
        <v>-3.7198662333761566E-3</v>
      </c>
      <c r="GP26">
        <f t="shared" si="454"/>
        <v>-3.6733679054589546E-3</v>
      </c>
      <c r="GQ26">
        <f t="shared" si="455"/>
        <v>-3.6274508066407168E-3</v>
      </c>
      <c r="GR26">
        <f t="shared" si="456"/>
        <v>-3.5821076715577076E-3</v>
      </c>
      <c r="GS26">
        <f t="shared" si="457"/>
        <v>-3.5373313256632372E-3</v>
      </c>
      <c r="GT26">
        <f t="shared" si="458"/>
        <v>-3.4931146840924466E-3</v>
      </c>
      <c r="GU26">
        <f t="shared" si="459"/>
        <v>-3.4494507505412912E-3</v>
      </c>
      <c r="GV26">
        <f t="shared" si="460"/>
        <v>-3.4063326161595242E-3</v>
      </c>
      <c r="GW26">
        <f t="shared" si="461"/>
        <v>-3.3637534584575303E-3</v>
      </c>
      <c r="GX26">
        <f t="shared" si="462"/>
        <v>-3.3217065402268097E-3</v>
      </c>
      <c r="GY26">
        <f t="shared" si="463"/>
        <v>-3.2801852084739735E-3</v>
      </c>
      <c r="GZ26">
        <f t="shared" si="464"/>
        <v>-3.2391828933680477E-3</v>
      </c>
      <c r="HA26">
        <f t="shared" si="465"/>
        <v>-3.1986931072009476E-3</v>
      </c>
      <c r="HB26">
        <f t="shared" si="466"/>
        <v>-3.1587094433609352E-3</v>
      </c>
      <c r="HC26">
        <f t="shared" si="467"/>
        <v>-3.1192255753189234E-3</v>
      </c>
      <c r="HD26">
        <f t="shared" si="468"/>
        <v>-3.0802352556274365E-3</v>
      </c>
      <c r="HE26">
        <f t="shared" si="469"/>
        <v>-3.041732314932094E-3</v>
      </c>
      <c r="HF26">
        <f t="shared" si="470"/>
        <v>-3.003710660995443E-3</v>
      </c>
      <c r="HG26">
        <f t="shared" si="471"/>
        <v>-2.9661642777329992E-3</v>
      </c>
      <c r="HH26">
        <f t="shared" si="472"/>
        <v>-2.9290872242613369E-3</v>
      </c>
      <c r="HI26">
        <f t="shared" si="473"/>
        <v>-2.8924736339580705E-3</v>
      </c>
      <c r="HJ26">
        <f t="shared" si="474"/>
        <v>-2.856317713533593E-3</v>
      </c>
      <c r="HK26">
        <f t="shared" si="475"/>
        <v>-2.8206137421144225E-3</v>
      </c>
      <c r="HL26">
        <f t="shared" si="476"/>
        <v>-2.7853560703379908E-3</v>
      </c>
      <c r="HM26">
        <f t="shared" si="477"/>
        <v>-2.7505391194587669E-3</v>
      </c>
      <c r="HN26">
        <f t="shared" si="478"/>
        <v>-2.7161573804655335E-3</v>
      </c>
      <c r="HO26">
        <f t="shared" si="479"/>
        <v>-2.6822054132097151E-3</v>
      </c>
      <c r="HP26">
        <f t="shared" si="480"/>
        <v>-2.6486778455445947E-3</v>
      </c>
      <c r="HQ26">
        <f t="shared" si="481"/>
        <v>-2.6155693724752875E-3</v>
      </c>
      <c r="HR26">
        <f t="shared" si="482"/>
        <v>-2.5828747553193476E-3</v>
      </c>
      <c r="HS26">
        <f t="shared" si="483"/>
        <v>-2.5505888208778556E-3</v>
      </c>
      <c r="HT26">
        <f t="shared" si="484"/>
        <v>-2.5187064606168818E-3</v>
      </c>
      <c r="HU26">
        <f t="shared" si="485"/>
        <v>-2.4872226298591703E-3</v>
      </c>
      <c r="HV26">
        <f t="shared" si="486"/>
        <v>-2.4561323469859315E-3</v>
      </c>
      <c r="HW26">
        <f t="shared" si="487"/>
        <v>-2.425430692648607E-3</v>
      </c>
      <c r="HX26">
        <f t="shared" si="488"/>
        <v>-2.3951128089905E-3</v>
      </c>
      <c r="HY26">
        <f t="shared" si="489"/>
        <v>-2.3651738988781186E-3</v>
      </c>
      <c r="HZ26">
        <f t="shared" si="490"/>
        <v>-2.3356092251421421E-3</v>
      </c>
      <c r="IA26">
        <f t="shared" si="491"/>
        <v>-2.3064141098278661E-3</v>
      </c>
      <c r="IB26">
        <f t="shared" si="492"/>
        <v>-2.277583933455017E-3</v>
      </c>
      <c r="IC26">
        <f t="shared" si="493"/>
        <v>-2.2491141342868295E-3</v>
      </c>
      <c r="ID26">
        <f t="shared" si="494"/>
        <v>-2.2210002076082438E-3</v>
      </c>
      <c r="IE26">
        <f t="shared" si="495"/>
        <v>-2.1932377050131401E-3</v>
      </c>
      <c r="IF26">
        <f t="shared" si="496"/>
        <v>-2.165822233700476E-3</v>
      </c>
      <c r="IG26">
        <f t="shared" si="497"/>
        <v>-2.1387494557792209E-3</v>
      </c>
      <c r="IH26">
        <f t="shared" si="498"/>
        <v>-2.1120150875819808E-3</v>
      </c>
      <c r="II26">
        <f t="shared" si="499"/>
        <v>-2.0856148989872062E-3</v>
      </c>
      <c r="IJ26">
        <f t="shared" si="500"/>
        <v>-2.0595447127498669E-3</v>
      </c>
      <c r="IK26">
        <f t="shared" si="501"/>
        <v>-2.0338004038404937E-3</v>
      </c>
      <c r="IL26">
        <f t="shared" si="502"/>
        <v>-2.0083778987924879E-3</v>
      </c>
      <c r="IM26">
        <f t="shared" si="503"/>
        <v>-1.9832731750575815E-3</v>
      </c>
      <c r="IN26">
        <f t="shared" si="504"/>
        <v>-1.9584822603693625E-3</v>
      </c>
      <c r="IO26">
        <f t="shared" si="505"/>
        <v>-1.9340012321147459E-3</v>
      </c>
      <c r="IP26">
        <f t="shared" si="506"/>
        <v>-1.9098262167133117E-3</v>
      </c>
      <c r="IQ26">
        <f t="shared" si="507"/>
        <v>-1.8859533890043952E-3</v>
      </c>
      <c r="IR26">
        <f t="shared" si="508"/>
        <v>-1.8623789716418399E-3</v>
      </c>
      <c r="IS26">
        <f t="shared" si="509"/>
        <v>-1.8390992344963163E-3</v>
      </c>
      <c r="IT26">
        <f t="shared" si="510"/>
        <v>-1.8161104940651123E-3</v>
      </c>
      <c r="IU26">
        <f t="shared" si="511"/>
        <v>-1.7934091128892979E-3</v>
      </c>
      <c r="IV26">
        <f t="shared" si="512"/>
        <v>-1.7709914989781819E-3</v>
      </c>
    </row>
    <row r="27" spans="1:256" x14ac:dyDescent="0.2">
      <c r="A27" t="s">
        <v>498</v>
      </c>
      <c r="B27">
        <f t="shared" si="258"/>
        <v>-2.4861571666570964E-2</v>
      </c>
      <c r="C27">
        <f t="shared" si="259"/>
        <v>5.1069421379230574E-2</v>
      </c>
      <c r="D27">
        <f t="shared" si="260"/>
        <v>5.0431053611990184E-2</v>
      </c>
      <c r="E27">
        <f t="shared" si="261"/>
        <v>4.9800665441840308E-2</v>
      </c>
      <c r="F27">
        <f t="shared" si="262"/>
        <v>4.9178157123817304E-2</v>
      </c>
      <c r="G27">
        <f t="shared" si="263"/>
        <v>4.8563430159769584E-2</v>
      </c>
      <c r="H27">
        <f t="shared" si="264"/>
        <v>4.7956387282772461E-2</v>
      </c>
      <c r="I27">
        <f t="shared" si="265"/>
        <v>4.735693244173781E-2</v>
      </c>
      <c r="J27">
        <f t="shared" si="266"/>
        <v>4.6764970786216088E-2</v>
      </c>
      <c r="K27">
        <f t="shared" si="267"/>
        <v>4.618040865138838E-2</v>
      </c>
      <c r="L27">
        <f t="shared" si="268"/>
        <v>4.5603153543246032E-2</v>
      </c>
      <c r="M27">
        <f t="shared" si="269"/>
        <v>4.5033114123955456E-2</v>
      </c>
      <c r="N27">
        <f t="shared" si="270"/>
        <v>4.447020019740601E-2</v>
      </c>
      <c r="O27">
        <f t="shared" si="271"/>
        <v>4.3914322694938432E-2</v>
      </c>
      <c r="P27">
        <f t="shared" si="272"/>
        <v>4.3365393661251708E-2</v>
      </c>
      <c r="Q27">
        <f t="shared" si="273"/>
        <v>4.2823326240486057E-2</v>
      </c>
      <c r="R27">
        <f t="shared" si="274"/>
        <v>2.1072896337277779E-2</v>
      </c>
      <c r="S27">
        <f t="shared" si="275"/>
        <v>2.2729513168142014E-2</v>
      </c>
      <c r="T27">
        <f t="shared" si="276"/>
        <v>2.4334601578450476E-2</v>
      </c>
      <c r="U27">
        <f t="shared" si="277"/>
        <v>2.5888213792396853E-2</v>
      </c>
      <c r="V27">
        <f t="shared" si="278"/>
        <v>2.7390466904136788E-2</v>
      </c>
      <c r="W27">
        <f t="shared" si="279"/>
        <v>2.8841538580702663E-2</v>
      </c>
      <c r="X27">
        <f t="shared" si="280"/>
        <v>3.0241662980307272E-2</v>
      </c>
      <c r="Y27">
        <f t="shared" si="281"/>
        <v>3.1591126875869902E-2</v>
      </c>
      <c r="Z27">
        <f t="shared" si="282"/>
        <v>-4.829951244696927E-2</v>
      </c>
      <c r="AA27">
        <f t="shared" si="283"/>
        <v>-4.7012568731065046E-2</v>
      </c>
      <c r="AB27">
        <f t="shared" si="284"/>
        <v>-4.5737626869380703E-2</v>
      </c>
      <c r="AC27">
        <f t="shared" si="285"/>
        <v>-4.4474935936007196E-2</v>
      </c>
      <c r="AD27">
        <f t="shared" si="286"/>
        <v>-4.3224727535769468E-2</v>
      </c>
      <c r="AE27">
        <f t="shared" si="287"/>
        <v>-4.1987216452533768E-2</v>
      </c>
      <c r="AF27">
        <f t="shared" si="288"/>
        <v>-4.0762601277307367E-2</v>
      </c>
      <c r="AG27">
        <f t="shared" si="289"/>
        <v>-3.9551065016718248E-2</v>
      </c>
      <c r="AH27">
        <f t="shared" si="290"/>
        <v>4.4025037588085826E-2</v>
      </c>
      <c r="AI27">
        <f t="shared" si="291"/>
        <v>4.3474724618234747E-2</v>
      </c>
      <c r="AJ27">
        <f t="shared" si="292"/>
        <v>4.2931290560506818E-2</v>
      </c>
      <c r="AK27">
        <f t="shared" si="293"/>
        <v>4.2394649428500485E-2</v>
      </c>
      <c r="AL27">
        <f t="shared" si="294"/>
        <v>4.1864716310644236E-2</v>
      </c>
      <c r="AM27">
        <f t="shared" si="295"/>
        <v>4.1341407356761187E-2</v>
      </c>
      <c r="AN27">
        <f t="shared" si="296"/>
        <v>4.0824639764801676E-2</v>
      </c>
      <c r="AO27">
        <f t="shared" si="297"/>
        <v>4.031433176774165E-2</v>
      </c>
      <c r="AP27">
        <f t="shared" si="298"/>
        <v>3.9810402620644877E-2</v>
      </c>
      <c r="AQ27">
        <f t="shared" si="299"/>
        <v>3.9312772587886825E-2</v>
      </c>
      <c r="AR27">
        <f t="shared" si="300"/>
        <v>3.8821362930538242E-2</v>
      </c>
      <c r="AS27">
        <f t="shared" si="301"/>
        <v>3.8336095893906505E-2</v>
      </c>
      <c r="AT27">
        <f t="shared" si="302"/>
        <v>3.7856894695232679E-2</v>
      </c>
      <c r="AU27">
        <f t="shared" si="303"/>
        <v>3.7383683511542268E-2</v>
      </c>
      <c r="AV27">
        <f t="shared" si="304"/>
        <v>3.6916387467647985E-2</v>
      </c>
      <c r="AW27">
        <f t="shared" si="305"/>
        <v>3.6454932624302383E-2</v>
      </c>
      <c r="AX27">
        <f t="shared" si="306"/>
        <v>6.9120581228384829E-3</v>
      </c>
      <c r="AY27">
        <f t="shared" si="307"/>
        <v>9.5627854812024744E-3</v>
      </c>
      <c r="AZ27">
        <f t="shared" si="308"/>
        <v>1.2186063662876844E-2</v>
      </c>
      <c r="BA27">
        <f t="shared" si="309"/>
        <v>1.4782947720582262E-2</v>
      </c>
      <c r="BB27">
        <f t="shared" si="310"/>
        <v>1.7354487954305931E-2</v>
      </c>
      <c r="BC27">
        <f t="shared" si="311"/>
        <v>1.990173000658424E-2</v>
      </c>
      <c r="BD27">
        <f t="shared" si="312"/>
        <v>2.2425715112836864E-2</v>
      </c>
      <c r="BE27">
        <f t="shared" si="313"/>
        <v>2.4927480477577223E-2</v>
      </c>
      <c r="BF27">
        <f t="shared" si="314"/>
        <v>2.7408059752302594E-2</v>
      </c>
      <c r="BG27">
        <f t="shared" si="315"/>
        <v>2.9868483594933059E-2</v>
      </c>
      <c r="BH27">
        <f t="shared" si="316"/>
        <v>3.2309780294003297E-2</v>
      </c>
      <c r="BI27">
        <f t="shared" si="317"/>
        <v>3.3278751064248061E-2</v>
      </c>
      <c r="BJ27">
        <f t="shared" si="318"/>
        <v>3.2862766675944954E-2</v>
      </c>
      <c r="BK27">
        <f t="shared" si="319"/>
        <v>3.2451982092495647E-2</v>
      </c>
      <c r="BL27">
        <f t="shared" si="320"/>
        <v>3.2046332316339451E-2</v>
      </c>
      <c r="BM27">
        <f t="shared" si="321"/>
        <v>3.1645753162385215E-2</v>
      </c>
      <c r="BN27">
        <f t="shared" si="322"/>
        <v>3.1250181247855405E-2</v>
      </c>
      <c r="BO27">
        <f t="shared" si="323"/>
        <v>3.0859553982257204E-2</v>
      </c>
      <c r="BP27">
        <f t="shared" si="324"/>
        <v>3.0473809557478991E-2</v>
      </c>
      <c r="BQ27">
        <f t="shared" si="325"/>
        <v>3.0092886938010509E-2</v>
      </c>
      <c r="BR27">
        <f t="shared" si="326"/>
        <v>2.9716725851285375E-2</v>
      </c>
      <c r="BS27">
        <f t="shared" si="327"/>
        <v>2.9345266778144308E-2</v>
      </c>
      <c r="BT27">
        <f t="shared" si="328"/>
        <v>2.89784509434175E-2</v>
      </c>
      <c r="BU27">
        <f t="shared" si="329"/>
        <v>2.8616220306624786E-2</v>
      </c>
      <c r="BV27">
        <f t="shared" si="330"/>
        <v>2.8258517552791972E-2</v>
      </c>
      <c r="BW27">
        <f t="shared" si="331"/>
        <v>2.7905286083382073E-2</v>
      </c>
      <c r="BX27">
        <f t="shared" si="332"/>
        <v>2.7556470007339795E-2</v>
      </c>
      <c r="BY27">
        <f t="shared" si="333"/>
        <v>2.7212014132248052E-2</v>
      </c>
      <c r="BZ27">
        <f t="shared" si="334"/>
        <v>2.6871863955594953E-2</v>
      </c>
      <c r="CA27">
        <f t="shared" si="335"/>
        <v>2.6535965656150018E-2</v>
      </c>
      <c r="CB27">
        <f t="shared" si="336"/>
        <v>2.6204266085448145E-2</v>
      </c>
      <c r="CC27">
        <f t="shared" si="337"/>
        <v>2.5876712759380048E-2</v>
      </c>
      <c r="CD27">
        <f t="shared" si="338"/>
        <v>2.5553253849887804E-2</v>
      </c>
      <c r="CE27">
        <f t="shared" si="339"/>
        <v>2.5233838176764202E-2</v>
      </c>
      <c r="CF27">
        <f t="shared" si="340"/>
        <v>2.4918415199554643E-2</v>
      </c>
      <c r="CG27">
        <f t="shared" si="341"/>
        <v>2.4606935009560217E-2</v>
      </c>
      <c r="CH27">
        <f t="shared" si="342"/>
        <v>2.4299348321940716E-2</v>
      </c>
      <c r="CI27">
        <f t="shared" si="343"/>
        <v>2.3995606467916451E-2</v>
      </c>
      <c r="CJ27">
        <f t="shared" si="344"/>
        <v>2.3695661387067503E-2</v>
      </c>
      <c r="CK27">
        <f t="shared" si="345"/>
        <v>2.3399465619729155E-2</v>
      </c>
      <c r="CL27">
        <f t="shared" si="346"/>
        <v>2.3106972299482543E-2</v>
      </c>
      <c r="CM27">
        <f t="shared" si="347"/>
        <v>2.2818135145739014E-2</v>
      </c>
      <c r="CN27">
        <f t="shared" si="348"/>
        <v>2.2532908456417276E-2</v>
      </c>
      <c r="CO27">
        <f t="shared" si="349"/>
        <v>2.2251247100712059E-2</v>
      </c>
      <c r="CP27">
        <f t="shared" si="350"/>
        <v>2.1973106511953156E-2</v>
      </c>
      <c r="CQ27">
        <f t="shared" si="351"/>
        <v>2.1698442680553744E-2</v>
      </c>
      <c r="CR27">
        <f t="shared" si="352"/>
        <v>2.1427212147046827E-2</v>
      </c>
      <c r="CS27">
        <f t="shared" si="353"/>
        <v>2.1159371995208742E-2</v>
      </c>
      <c r="CT27">
        <f t="shared" si="354"/>
        <v>2.0894879845268631E-2</v>
      </c>
      <c r="CU27">
        <f t="shared" si="355"/>
        <v>2.0633693847202771E-2</v>
      </c>
      <c r="CV27">
        <f t="shared" si="356"/>
        <v>2.0375772674112735E-2</v>
      </c>
      <c r="CW27">
        <f t="shared" si="357"/>
        <v>2.0121075515686326E-2</v>
      </c>
      <c r="CX27">
        <f t="shared" si="358"/>
        <v>1.9869562071740243E-2</v>
      </c>
      <c r="CY27">
        <f t="shared" si="359"/>
        <v>1.9621192545843491E-2</v>
      </c>
      <c r="CZ27">
        <f t="shared" si="360"/>
        <v>1.9375927639020452E-2</v>
      </c>
      <c r="DA27">
        <f t="shared" si="361"/>
        <v>1.913372854353269E-2</v>
      </c>
      <c r="DB27">
        <f t="shared" si="362"/>
        <v>1.8894556936738527E-2</v>
      </c>
      <c r="DC27">
        <f t="shared" si="363"/>
        <v>1.8658374975029292E-2</v>
      </c>
      <c r="DD27">
        <f t="shared" si="364"/>
        <v>1.8425145287841428E-2</v>
      </c>
      <c r="DE27">
        <f t="shared" si="365"/>
        <v>1.8194830971743414E-2</v>
      </c>
      <c r="DF27">
        <f t="shared" si="366"/>
        <v>1.7967395584596625E-2</v>
      </c>
      <c r="DG27">
        <f t="shared" si="367"/>
        <v>1.7742803139789164E-2</v>
      </c>
      <c r="DH27">
        <f t="shared" si="368"/>
        <v>1.7521018100541796E-2</v>
      </c>
      <c r="DI27">
        <f t="shared" si="369"/>
        <v>1.7302005374285022E-2</v>
      </c>
      <c r="DJ27">
        <f t="shared" si="370"/>
        <v>1.7085730307106462E-2</v>
      </c>
      <c r="DK27">
        <f t="shared" si="371"/>
        <v>1.6872158678267635E-2</v>
      </c>
      <c r="DL27">
        <f t="shared" si="372"/>
        <v>1.6661256694789284E-2</v>
      </c>
      <c r="DM27">
        <f t="shared" si="373"/>
        <v>1.6452990986104421E-2</v>
      </c>
      <c r="DN27">
        <f t="shared" si="374"/>
        <v>1.6247328598778109E-2</v>
      </c>
      <c r="DO27">
        <f t="shared" si="375"/>
        <v>1.6044236991293381E-2</v>
      </c>
      <c r="DP27">
        <f t="shared" si="376"/>
        <v>1.5843684028902218E-2</v>
      </c>
      <c r="DQ27">
        <f t="shared" si="377"/>
        <v>1.564563797854094E-2</v>
      </c>
      <c r="DR27">
        <f t="shared" si="378"/>
        <v>1.5450067503809173E-2</v>
      </c>
      <c r="DS27">
        <f t="shared" si="379"/>
        <v>1.5256941660011559E-2</v>
      </c>
      <c r="DT27">
        <f t="shared" si="380"/>
        <v>1.5066229889261418E-2</v>
      </c>
      <c r="DU27">
        <f t="shared" si="381"/>
        <v>1.487790201564565E-2</v>
      </c>
      <c r="DV27">
        <f t="shared" si="382"/>
        <v>1.469192824045008E-2</v>
      </c>
      <c r="DW27">
        <f t="shared" si="383"/>
        <v>1.4508279137444458E-2</v>
      </c>
      <c r="DX27">
        <f t="shared" si="384"/>
        <v>1.4326925648226397E-2</v>
      </c>
      <c r="DY27">
        <f t="shared" si="385"/>
        <v>1.414783907762357E-2</v>
      </c>
      <c r="DZ27">
        <f t="shared" si="386"/>
        <v>1.3970991089153274E-2</v>
      </c>
      <c r="EA27">
        <f t="shared" si="387"/>
        <v>1.3796353700538855E-2</v>
      </c>
      <c r="EB27">
        <f t="shared" si="388"/>
        <v>1.3623899279282115E-2</v>
      </c>
      <c r="EC27">
        <f t="shared" si="389"/>
        <v>1.3453600538291088E-2</v>
      </c>
      <c r="ED27">
        <f t="shared" si="390"/>
        <v>1.3285430531562448E-2</v>
      </c>
      <c r="EE27">
        <f t="shared" si="391"/>
        <v>1.3119362649917921E-2</v>
      </c>
      <c r="EF27">
        <f t="shared" si="392"/>
        <v>1.2955370616793948E-2</v>
      </c>
      <c r="EG27">
        <f t="shared" si="393"/>
        <v>1.2793428484084024E-2</v>
      </c>
      <c r="EH27">
        <f t="shared" si="394"/>
        <v>1.2633510628032973E-2</v>
      </c>
      <c r="EI27">
        <f t="shared" si="395"/>
        <v>1.2475591745182557E-2</v>
      </c>
      <c r="EJ27">
        <f t="shared" si="396"/>
        <v>1.2319646848367772E-2</v>
      </c>
      <c r="EK27">
        <f t="shared" si="397"/>
        <v>1.2165651262763177E-2</v>
      </c>
      <c r="EL27">
        <f t="shared" si="398"/>
        <v>1.2013580621978636E-2</v>
      </c>
      <c r="EM27">
        <f t="shared" si="399"/>
        <v>1.1863410864203904E-2</v>
      </c>
      <c r="EN27">
        <f t="shared" si="400"/>
        <v>1.1715118228401355E-2</v>
      </c>
      <c r="EO27">
        <f t="shared" si="401"/>
        <v>1.1568679250546342E-2</v>
      </c>
      <c r="EP27">
        <f t="shared" si="402"/>
        <v>1.1424070759914518E-2</v>
      </c>
      <c r="EQ27">
        <f t="shared" si="403"/>
        <v>1.1281269875415589E-2</v>
      </c>
      <c r="ER27">
        <f t="shared" si="404"/>
        <v>1.1140254001972893E-2</v>
      </c>
      <c r="ES27">
        <f t="shared" si="405"/>
        <v>1.1001000826948238E-2</v>
      </c>
      <c r="ET27">
        <f t="shared" si="406"/>
        <v>1.086348831661138E-2</v>
      </c>
      <c r="EU27">
        <f t="shared" si="407"/>
        <v>1.0727694712653734E-2</v>
      </c>
      <c r="EV27">
        <f t="shared" si="408"/>
        <v>1.0593598528745562E-2</v>
      </c>
      <c r="EW27">
        <f t="shared" si="409"/>
        <v>1.0461178547136241E-2</v>
      </c>
      <c r="EX27">
        <f t="shared" si="410"/>
        <v>1.0330413815297035E-2</v>
      </c>
      <c r="EY27">
        <f t="shared" si="411"/>
        <v>1.0201283642605818E-2</v>
      </c>
      <c r="EZ27">
        <f t="shared" si="412"/>
        <v>1.0073767597073246E-2</v>
      </c>
      <c r="FA27">
        <f t="shared" si="413"/>
        <v>9.9478455021098314E-3</v>
      </c>
      <c r="FB27">
        <f t="shared" si="414"/>
        <v>9.8234974333334616E-3</v>
      </c>
      <c r="FC27">
        <f t="shared" si="415"/>
        <v>9.7007037154167915E-3</v>
      </c>
      <c r="FD27">
        <f t="shared" si="416"/>
        <v>9.5794449189740786E-3</v>
      </c>
      <c r="FE27">
        <f t="shared" si="417"/>
        <v>9.4597018574869018E-3</v>
      </c>
      <c r="FF27">
        <f t="shared" si="418"/>
        <v>9.3414555842683093E-3</v>
      </c>
      <c r="FG27">
        <f t="shared" si="419"/>
        <v>9.2246873894649591E-3</v>
      </c>
      <c r="FH27">
        <f t="shared" si="420"/>
        <v>9.1093787970966452E-3</v>
      </c>
      <c r="FI27">
        <f t="shared" si="421"/>
        <v>8.9955115621329403E-3</v>
      </c>
      <c r="FJ27">
        <f t="shared" si="422"/>
        <v>8.8830676676062807E-3</v>
      </c>
      <c r="FK27">
        <f t="shared" si="423"/>
        <v>8.7720293217611982E-3</v>
      </c>
      <c r="FL27">
        <f t="shared" si="424"/>
        <v>8.6623789552391812E-3</v>
      </c>
      <c r="FM27">
        <f t="shared" si="425"/>
        <v>8.5540992182986941E-3</v>
      </c>
      <c r="FN27">
        <f t="shared" si="426"/>
        <v>8.4471729780699611E-3</v>
      </c>
      <c r="FO27">
        <f t="shared" si="427"/>
        <v>8.3415833158440918E-3</v>
      </c>
      <c r="FP27">
        <f t="shared" si="428"/>
        <v>8.2373135243960401E-3</v>
      </c>
      <c r="FQ27">
        <f t="shared" si="429"/>
        <v>8.1343471053410884E-3</v>
      </c>
      <c r="FR27">
        <f t="shared" si="430"/>
        <v>8.0326677665243269E-3</v>
      </c>
      <c r="FS27">
        <f t="shared" si="431"/>
        <v>7.9322594194427779E-3</v>
      </c>
      <c r="FT27">
        <f t="shared" si="432"/>
        <v>7.8331061766997445E-3</v>
      </c>
      <c r="FU27">
        <f t="shared" si="433"/>
        <v>7.7351923494909935E-3</v>
      </c>
      <c r="FV27">
        <f t="shared" si="434"/>
        <v>7.6385024451223523E-3</v>
      </c>
      <c r="FW27">
        <f t="shared" si="435"/>
        <v>7.5430211645583275E-3</v>
      </c>
      <c r="FX27">
        <f t="shared" si="436"/>
        <v>7.4487334000013505E-3</v>
      </c>
      <c r="FY27">
        <f t="shared" si="437"/>
        <v>7.355624232501334E-3</v>
      </c>
      <c r="FZ27">
        <f t="shared" si="438"/>
        <v>7.2636789295950632E-3</v>
      </c>
      <c r="GA27">
        <f t="shared" si="439"/>
        <v>7.1728829429751227E-3</v>
      </c>
      <c r="GB27">
        <f t="shared" si="440"/>
        <v>7.0832219061879309E-3</v>
      </c>
      <c r="GC27">
        <f t="shared" si="441"/>
        <v>6.994681632360578E-3</v>
      </c>
      <c r="GD27">
        <f t="shared" si="442"/>
        <v>6.9072481119560655E-3</v>
      </c>
      <c r="GE27">
        <f t="shared" si="443"/>
        <v>6.8209075105566171E-3</v>
      </c>
      <c r="GF27">
        <f t="shared" si="444"/>
        <v>6.7356461666746581E-3</v>
      </c>
      <c r="GG27">
        <f t="shared" si="445"/>
        <v>6.6514505895912237E-3</v>
      </c>
      <c r="GH27">
        <f t="shared" si="446"/>
        <v>6.5683074572213344E-3</v>
      </c>
      <c r="GI27">
        <f t="shared" si="447"/>
        <v>6.4862036140060694E-3</v>
      </c>
      <c r="GJ27">
        <f t="shared" si="448"/>
        <v>6.405126068830991E-3</v>
      </c>
      <c r="GK27">
        <f t="shared" si="449"/>
        <v>6.3250619929706041E-3</v>
      </c>
      <c r="GL27">
        <f t="shared" si="450"/>
        <v>6.2459987180584764E-3</v>
      </c>
      <c r="GM27">
        <f t="shared" si="451"/>
        <v>6.1679237340827473E-3</v>
      </c>
      <c r="GN27">
        <f t="shared" si="452"/>
        <v>6.0908246874067148E-3</v>
      </c>
      <c r="GO27">
        <f t="shared" si="453"/>
        <v>6.0146893788141313E-3</v>
      </c>
      <c r="GP27">
        <f t="shared" si="454"/>
        <v>5.9395057615789556E-3</v>
      </c>
      <c r="GQ27">
        <f t="shared" si="455"/>
        <v>5.8652619395592187E-3</v>
      </c>
      <c r="GR27">
        <f t="shared" si="456"/>
        <v>5.7919461653147316E-3</v>
      </c>
      <c r="GS27">
        <f t="shared" si="457"/>
        <v>5.7195468382483013E-3</v>
      </c>
      <c r="GT27">
        <f t="shared" si="458"/>
        <v>5.6480525027701959E-3</v>
      </c>
      <c r="GU27">
        <f t="shared" si="459"/>
        <v>5.5774518464855706E-3</v>
      </c>
      <c r="GV27">
        <f t="shared" si="460"/>
        <v>5.5077336984045043E-3</v>
      </c>
      <c r="GW27">
        <f t="shared" si="461"/>
        <v>5.438887027174444E-3</v>
      </c>
      <c r="GX27">
        <f t="shared" si="462"/>
        <v>5.3709009393347659E-3</v>
      </c>
      <c r="GY27">
        <f t="shared" si="463"/>
        <v>5.3037646775930813E-3</v>
      </c>
      <c r="GZ27">
        <f t="shared" si="464"/>
        <v>5.2374676191231703E-3</v>
      </c>
      <c r="HA27">
        <f t="shared" si="465"/>
        <v>5.1719992738841316E-3</v>
      </c>
      <c r="HB27">
        <f t="shared" si="466"/>
        <v>5.1073492829605827E-3</v>
      </c>
      <c r="HC27">
        <f t="shared" si="467"/>
        <v>5.0435074169235764E-3</v>
      </c>
      <c r="HD27">
        <f t="shared" si="468"/>
        <v>4.9804635742120348E-3</v>
      </c>
      <c r="HE27">
        <f t="shared" si="469"/>
        <v>4.9182077795343893E-3</v>
      </c>
      <c r="HF27">
        <f t="shared" si="470"/>
        <v>4.8567301822902142E-3</v>
      </c>
      <c r="HG27">
        <f t="shared" si="471"/>
        <v>4.79602105501159E-3</v>
      </c>
      <c r="HH27">
        <f t="shared" si="472"/>
        <v>4.7360707918239434E-3</v>
      </c>
      <c r="HI27">
        <f t="shared" si="473"/>
        <v>4.6768699069261403E-3</v>
      </c>
      <c r="HJ27">
        <f t="shared" si="474"/>
        <v>4.6184090330895653E-3</v>
      </c>
      <c r="HK27">
        <f t="shared" si="475"/>
        <v>4.5606789201759427E-3</v>
      </c>
      <c r="HL27">
        <f t="shared" si="476"/>
        <v>4.5036704336737458E-3</v>
      </c>
      <c r="HM27">
        <f t="shared" si="477"/>
        <v>4.4473745532528251E-3</v>
      </c>
      <c r="HN27">
        <f t="shared" si="478"/>
        <v>4.391782371337161E-3</v>
      </c>
      <c r="HO27">
        <f t="shared" si="479"/>
        <v>4.3368850916954416E-3</v>
      </c>
      <c r="HP27">
        <f t="shared" si="480"/>
        <v>4.2826740280492489E-3</v>
      </c>
      <c r="HQ27">
        <f t="shared" si="481"/>
        <v>4.2291406026986333E-3</v>
      </c>
      <c r="HR27">
        <f t="shared" si="482"/>
        <v>4.176276345164898E-3</v>
      </c>
      <c r="HS27">
        <f t="shared" si="483"/>
        <v>4.1240728908503391E-3</v>
      </c>
      <c r="HT27">
        <f t="shared" si="484"/>
        <v>4.0725219797147051E-3</v>
      </c>
      <c r="HU27">
        <f t="shared" si="485"/>
        <v>4.0216154549682749E-3</v>
      </c>
      <c r="HV27">
        <f t="shared" si="486"/>
        <v>3.9713452617811673E-3</v>
      </c>
      <c r="HW27">
        <f t="shared" si="487"/>
        <v>3.9217034460089064E-3</v>
      </c>
      <c r="HX27">
        <f t="shared" si="488"/>
        <v>3.8726821529337929E-3</v>
      </c>
      <c r="HY27">
        <f t="shared" si="489"/>
        <v>3.8242736260221235E-3</v>
      </c>
      <c r="HZ27">
        <f t="shared" si="490"/>
        <v>3.7764702056968468E-3</v>
      </c>
      <c r="IA27">
        <f t="shared" si="491"/>
        <v>3.7292643281256364E-3</v>
      </c>
      <c r="IB27">
        <f t="shared" si="492"/>
        <v>3.6826485240240682E-3</v>
      </c>
      <c r="IC27">
        <f t="shared" si="493"/>
        <v>3.6366154174737654E-3</v>
      </c>
      <c r="ID27">
        <f t="shared" si="494"/>
        <v>3.5911577247553449E-3</v>
      </c>
      <c r="IE27">
        <f t="shared" si="495"/>
        <v>3.5462682531959056E-3</v>
      </c>
      <c r="IF27">
        <f t="shared" si="496"/>
        <v>3.5019399000309594E-3</v>
      </c>
      <c r="IG27">
        <f t="shared" si="497"/>
        <v>3.4581656512805759E-3</v>
      </c>
      <c r="IH27">
        <f t="shared" si="498"/>
        <v>3.4149385806395705E-3</v>
      </c>
      <c r="II27">
        <f t="shared" si="499"/>
        <v>3.37225184838158E-3</v>
      </c>
      <c r="IJ27">
        <f t="shared" si="500"/>
        <v>3.3300987002768067E-3</v>
      </c>
      <c r="IK27">
        <f t="shared" si="501"/>
        <v>3.2884724665233509E-3</v>
      </c>
      <c r="IL27">
        <f t="shared" si="502"/>
        <v>3.2473665606918114E-3</v>
      </c>
      <c r="IM27">
        <f t="shared" si="503"/>
        <v>3.2067744786831607E-3</v>
      </c>
      <c r="IN27">
        <f t="shared" si="504"/>
        <v>3.1666897976996176E-3</v>
      </c>
      <c r="IO27">
        <f t="shared" si="505"/>
        <v>3.127106175228378E-3</v>
      </c>
      <c r="IP27">
        <f t="shared" si="506"/>
        <v>3.0880173480380192E-3</v>
      </c>
      <c r="IQ27">
        <f t="shared" si="507"/>
        <v>3.0494171311875483E-3</v>
      </c>
      <c r="IR27">
        <f t="shared" si="508"/>
        <v>3.0112994170477083E-3</v>
      </c>
      <c r="IS27">
        <f t="shared" si="509"/>
        <v>2.9736581743346146E-3</v>
      </c>
      <c r="IT27">
        <f t="shared" si="510"/>
        <v>2.9364874471554336E-3</v>
      </c>
      <c r="IU27">
        <f t="shared" si="511"/>
        <v>2.8997813540659889E-3</v>
      </c>
      <c r="IV27">
        <f t="shared" si="512"/>
        <v>2.8635340871401628E-3</v>
      </c>
    </row>
    <row r="28" spans="1:256" x14ac:dyDescent="0.2">
      <c r="A28" t="s">
        <v>499</v>
      </c>
      <c r="B28">
        <f t="shared" si="258"/>
        <v>-1.8375311704240476E-3</v>
      </c>
      <c r="C28">
        <f t="shared" si="259"/>
        <v>-5.2138732769984458E-3</v>
      </c>
      <c r="D28">
        <f t="shared" si="260"/>
        <v>-5.1632238043593359E-3</v>
      </c>
      <c r="E28">
        <f t="shared" si="261"/>
        <v>-5.1129845333755088E-3</v>
      </c>
      <c r="F28">
        <f t="shared" si="262"/>
        <v>-5.0631543239015118E-3</v>
      </c>
      <c r="G28">
        <f t="shared" si="263"/>
        <v>-5.0137319630049262E-3</v>
      </c>
      <c r="H28">
        <f t="shared" si="264"/>
        <v>-4.964716168213733E-3</v>
      </c>
      <c r="I28">
        <f t="shared" si="265"/>
        <v>-4.9161055906477655E-3</v>
      </c>
      <c r="J28">
        <f t="shared" si="266"/>
        <v>5.0288010604456366E-3</v>
      </c>
      <c r="K28">
        <f t="shared" si="267"/>
        <v>4.9398524575336696E-3</v>
      </c>
      <c r="L28">
        <f t="shared" si="268"/>
        <v>4.852409219568532E-3</v>
      </c>
      <c r="M28">
        <f t="shared" si="269"/>
        <v>4.7664456801855522E-3</v>
      </c>
      <c r="N28">
        <f t="shared" si="270"/>
        <v>4.6819366381764763E-3</v>
      </c>
      <c r="O28">
        <f t="shared" si="271"/>
        <v>4.5988573479441765E-3</v>
      </c>
      <c r="P28">
        <f t="shared" si="272"/>
        <v>4.5171835101923989E-3</v>
      </c>
      <c r="Q28">
        <f t="shared" si="273"/>
        <v>4.4368912628435621E-3</v>
      </c>
      <c r="R28">
        <f t="shared" si="274"/>
        <v>2.395329275558911E-2</v>
      </c>
      <c r="S28">
        <f t="shared" si="275"/>
        <v>2.3607627629464948E-2</v>
      </c>
      <c r="T28">
        <f t="shared" si="276"/>
        <v>2.3266968423592941E-2</v>
      </c>
      <c r="U28">
        <f t="shared" si="277"/>
        <v>2.2931240978068167E-2</v>
      </c>
      <c r="V28">
        <f t="shared" si="278"/>
        <v>2.2600372294983833E-2</v>
      </c>
      <c r="W28">
        <f t="shared" si="279"/>
        <v>2.2274290518081198E-2</v>
      </c>
      <c r="X28">
        <f t="shared" si="280"/>
        <v>2.1952924912827389E-2</v>
      </c>
      <c r="Y28">
        <f t="shared" si="281"/>
        <v>2.1636205846909666E-2</v>
      </c>
      <c r="Z28">
        <f t="shared" si="282"/>
        <v>6.0163294495497878E-2</v>
      </c>
      <c r="AA28">
        <f t="shared" si="283"/>
        <v>5.9329093792762536E-2</v>
      </c>
      <c r="AB28">
        <f t="shared" si="284"/>
        <v>5.8506517967910135E-2</v>
      </c>
      <c r="AC28">
        <f t="shared" si="285"/>
        <v>5.7695401990558469E-2</v>
      </c>
      <c r="AD28">
        <f t="shared" si="286"/>
        <v>5.6895583279073535E-2</v>
      </c>
      <c r="AE28">
        <f t="shared" si="287"/>
        <v>5.6106901660773409E-2</v>
      </c>
      <c r="AF28">
        <f t="shared" si="288"/>
        <v>5.5329199332892043E-2</v>
      </c>
      <c r="AG28">
        <f t="shared" si="289"/>
        <v>5.4562320824285269E-2</v>
      </c>
      <c r="AH28">
        <f t="shared" si="290"/>
        <v>8.6121682361359059E-3</v>
      </c>
      <c r="AI28">
        <f t="shared" si="291"/>
        <v>8.5744632049574686E-3</v>
      </c>
      <c r="AJ28">
        <f t="shared" si="292"/>
        <v>8.5382824733549832E-3</v>
      </c>
      <c r="AK28">
        <f t="shared" si="293"/>
        <v>8.5035892336368414E-3</v>
      </c>
      <c r="AL28">
        <f t="shared" si="294"/>
        <v>8.4703474822736772E-3</v>
      </c>
      <c r="AM28">
        <f t="shared" si="295"/>
        <v>8.4385219964698884E-3</v>
      </c>
      <c r="AN28">
        <f t="shared" si="296"/>
        <v>8.4080783115898679E-3</v>
      </c>
      <c r="AO28">
        <f t="shared" si="297"/>
        <v>8.3789826994026487E-3</v>
      </c>
      <c r="AP28">
        <f t="shared" si="298"/>
        <v>4.0798978584718745E-2</v>
      </c>
      <c r="AQ28">
        <f t="shared" si="299"/>
        <v>4.0211338959681778E-2</v>
      </c>
      <c r="AR28">
        <f t="shared" si="300"/>
        <v>3.9632197633586295E-2</v>
      </c>
      <c r="AS28">
        <f t="shared" si="301"/>
        <v>3.9061428814185978E-2</v>
      </c>
      <c r="AT28">
        <f t="shared" si="302"/>
        <v>3.8498908680308946E-2</v>
      </c>
      <c r="AU28">
        <f t="shared" si="303"/>
        <v>3.7944515347285969E-2</v>
      </c>
      <c r="AV28">
        <f t="shared" si="304"/>
        <v>3.7398128833107822E-2</v>
      </c>
      <c r="AW28">
        <f t="shared" si="305"/>
        <v>3.6859631025292924E-2</v>
      </c>
      <c r="AX28">
        <f t="shared" si="306"/>
        <v>7.2023361611025488E-2</v>
      </c>
      <c r="AY28">
        <f t="shared" si="307"/>
        <v>7.1123069590887683E-2</v>
      </c>
      <c r="AZ28">
        <f t="shared" si="308"/>
        <v>7.023403122100158E-2</v>
      </c>
      <c r="BA28">
        <f t="shared" si="309"/>
        <v>6.9356105830739062E-2</v>
      </c>
      <c r="BB28">
        <f t="shared" si="310"/>
        <v>6.8489154507854824E-2</v>
      </c>
      <c r="BC28">
        <f t="shared" si="311"/>
        <v>6.763304007650664E-2</v>
      </c>
      <c r="BD28">
        <f t="shared" si="312"/>
        <v>6.678762707555029E-2</v>
      </c>
      <c r="BE28">
        <f t="shared" si="313"/>
        <v>6.595278173710592E-2</v>
      </c>
      <c r="BF28">
        <f t="shared" si="314"/>
        <v>6.512837196539209E-2</v>
      </c>
      <c r="BG28">
        <f t="shared" si="315"/>
        <v>6.4314267315824694E-2</v>
      </c>
      <c r="BH28">
        <f t="shared" si="316"/>
        <v>6.3510338974376884E-2</v>
      </c>
      <c r="BI28">
        <f t="shared" si="317"/>
        <v>6.2716459737197167E-2</v>
      </c>
      <c r="BJ28">
        <f t="shared" si="318"/>
        <v>6.1932503990482203E-2</v>
      </c>
      <c r="BK28">
        <f t="shared" si="319"/>
        <v>6.1158347690601175E-2</v>
      </c>
      <c r="BL28">
        <f t="shared" si="320"/>
        <v>6.0393868344468672E-2</v>
      </c>
      <c r="BM28">
        <f t="shared" si="321"/>
        <v>5.9638944990162798E-2</v>
      </c>
      <c r="BN28">
        <f t="shared" si="322"/>
        <v>5.8893458177785775E-2</v>
      </c>
      <c r="BO28">
        <f t="shared" si="323"/>
        <v>5.8157289950563448E-2</v>
      </c>
      <c r="BP28">
        <f t="shared" si="324"/>
        <v>5.7430323826181406E-2</v>
      </c>
      <c r="BQ28">
        <f t="shared" si="325"/>
        <v>5.6712444778354132E-2</v>
      </c>
      <c r="BR28">
        <f t="shared" si="326"/>
        <v>5.6003539218624707E-2</v>
      </c>
      <c r="BS28">
        <f t="shared" si="327"/>
        <v>5.5303494978391897E-2</v>
      </c>
      <c r="BT28">
        <f t="shared" si="328"/>
        <v>5.4612201291161996E-2</v>
      </c>
      <c r="BU28">
        <f t="shared" si="329"/>
        <v>5.3929548775022471E-2</v>
      </c>
      <c r="BV28">
        <f t="shared" si="330"/>
        <v>5.3255429415334697E-2</v>
      </c>
      <c r="BW28">
        <f t="shared" si="331"/>
        <v>5.2589736547643005E-2</v>
      </c>
      <c r="BX28">
        <f t="shared" si="332"/>
        <v>5.1932364840797461E-2</v>
      </c>
      <c r="BY28">
        <f t="shared" si="333"/>
        <v>5.1283210280287504E-2</v>
      </c>
      <c r="BZ28">
        <f t="shared" si="334"/>
        <v>5.0642170151783905E-2</v>
      </c>
      <c r="CA28">
        <f t="shared" si="335"/>
        <v>5.0009143024886606E-2</v>
      </c>
      <c r="CB28">
        <f t="shared" si="336"/>
        <v>4.9384028737075522E-2</v>
      </c>
      <c r="CC28">
        <f t="shared" si="337"/>
        <v>4.8766728377862077E-2</v>
      </c>
      <c r="CD28">
        <f t="shared" si="338"/>
        <v>4.8157144273138809E-2</v>
      </c>
      <c r="CE28">
        <f t="shared" si="339"/>
        <v>4.7555179969724568E-2</v>
      </c>
      <c r="CF28">
        <f t="shared" si="340"/>
        <v>4.6960740220103013E-2</v>
      </c>
      <c r="CG28">
        <f t="shared" si="341"/>
        <v>4.6373730967351721E-2</v>
      </c>
      <c r="CH28">
        <f t="shared" si="342"/>
        <v>4.5794059330259831E-2</v>
      </c>
      <c r="CI28">
        <f t="shared" si="343"/>
        <v>4.5185869109023946E-2</v>
      </c>
      <c r="CJ28">
        <f t="shared" si="344"/>
        <v>4.4547335268592322E-2</v>
      </c>
      <c r="CK28">
        <f t="shared" si="345"/>
        <v>4.3917811078370006E-2</v>
      </c>
      <c r="CL28">
        <f t="shared" si="346"/>
        <v>4.3297168193010403E-2</v>
      </c>
      <c r="CM28">
        <f t="shared" si="347"/>
        <v>4.2685280148496686E-2</v>
      </c>
      <c r="CN28">
        <f t="shared" si="348"/>
        <v>4.2082022332796322E-2</v>
      </c>
      <c r="CO28">
        <f t="shared" si="349"/>
        <v>4.148727195702949E-2</v>
      </c>
      <c r="CP28">
        <f t="shared" si="350"/>
        <v>4.0900908027140304E-2</v>
      </c>
      <c r="CQ28">
        <f t="shared" si="351"/>
        <v>4.0322811316060983E-2</v>
      </c>
      <c r="CR28">
        <f t="shared" si="352"/>
        <v>3.9752864336358121E-2</v>
      </c>
      <c r="CS28">
        <f t="shared" si="353"/>
        <v>3.9190951313351416E-2</v>
      </c>
      <c r="CT28">
        <f t="shared" si="354"/>
        <v>3.8636958158695237E-2</v>
      </c>
      <c r="CU28">
        <f t="shared" si="355"/>
        <v>3.8090772444413355E-2</v>
      </c>
      <c r="CV28">
        <f t="shared" si="356"/>
        <v>3.755228337737769E-2</v>
      </c>
      <c r="CW28">
        <f t="shared" si="357"/>
        <v>3.7021381774222352E-2</v>
      </c>
      <c r="CX28">
        <f t="shared" si="358"/>
        <v>3.6497960036683721E-2</v>
      </c>
      <c r="CY28">
        <f t="shared" si="359"/>
        <v>3.5981912127358573E-2</v>
      </c>
      <c r="CZ28">
        <f t="shared" si="360"/>
        <v>3.5473133545871526E-2</v>
      </c>
      <c r="DA28">
        <f t="shared" si="361"/>
        <v>3.4971521305443773E-2</v>
      </c>
      <c r="DB28">
        <f t="shared" si="362"/>
        <v>3.447697390985556E-2</v>
      </c>
      <c r="DC28">
        <f t="shared" si="363"/>
        <v>3.3989391330793838E-2</v>
      </c>
      <c r="DD28">
        <f t="shared" si="364"/>
        <v>3.35086749855786E-2</v>
      </c>
      <c r="DE28">
        <f t="shared" si="365"/>
        <v>3.3034727715259601E-2</v>
      </c>
      <c r="DF28">
        <f t="shared" si="366"/>
        <v>3.2567453763076945E-2</v>
      </c>
      <c r="DG28">
        <f t="shared" si="367"/>
        <v>3.2106758753277988E-2</v>
      </c>
      <c r="DH28">
        <f t="shared" si="368"/>
        <v>3.1652549670284302E-2</v>
      </c>
      <c r="DI28">
        <f t="shared" si="369"/>
        <v>3.1204734838201353E-2</v>
      </c>
      <c r="DJ28">
        <f t="shared" si="370"/>
        <v>3.0763223900664927E-2</v>
      </c>
      <c r="DK28">
        <f t="shared" si="371"/>
        <v>3.0327927801017542E-2</v>
      </c>
      <c r="DL28">
        <f t="shared" si="372"/>
        <v>2.9898758762808807E-2</v>
      </c>
      <c r="DM28">
        <f t="shared" si="373"/>
        <v>2.9475630270613541E-2</v>
      </c>
      <c r="DN28">
        <f t="shared" si="374"/>
        <v>2.9058457051161814E-2</v>
      </c>
      <c r="DO28">
        <f t="shared" si="375"/>
        <v>2.8647155054774897E-2</v>
      </c>
      <c r="DP28">
        <f t="shared" si="376"/>
        <v>2.8241641437101561E-2</v>
      </c>
      <c r="DQ28">
        <f t="shared" si="377"/>
        <v>2.7841834541149323E-2</v>
      </c>
      <c r="DR28">
        <f t="shared" si="378"/>
        <v>2.7447653879604829E-2</v>
      </c>
      <c r="DS28">
        <f t="shared" si="379"/>
        <v>2.7059020117438326E-2</v>
      </c>
      <c r="DT28">
        <f t="shared" si="380"/>
        <v>2.66758550547871E-2</v>
      </c>
      <c r="DU28">
        <f t="shared" si="381"/>
        <v>2.6298081610112368E-2</v>
      </c>
      <c r="DV28">
        <f t="shared" si="382"/>
        <v>2.5925623803625265E-2</v>
      </c>
      <c r="DW28">
        <f t="shared" si="383"/>
        <v>2.5558406740976602E-2</v>
      </c>
      <c r="DX28">
        <f t="shared" si="384"/>
        <v>2.519635659720567E-2</v>
      </c>
      <c r="DY28">
        <f t="shared" si="385"/>
        <v>2.4839400600943785E-2</v>
      </c>
      <c r="DZ28">
        <f t="shared" si="386"/>
        <v>2.4487467018867625E-2</v>
      </c>
      <c r="EA28">
        <f t="shared" si="387"/>
        <v>2.4140485140397981E-2</v>
      </c>
      <c r="EB28">
        <f t="shared" si="388"/>
        <v>2.3798385262639877E-2</v>
      </c>
      <c r="EC28">
        <f t="shared" si="389"/>
        <v>2.3461098675559299E-2</v>
      </c>
      <c r="ED28">
        <f t="shared" si="390"/>
        <v>2.3128557647392724E-2</v>
      </c>
      <c r="EE28">
        <f t="shared" si="391"/>
        <v>2.2800695410285121E-2</v>
      </c>
      <c r="EF28">
        <f t="shared" si="392"/>
        <v>2.2477446146152723E-2</v>
      </c>
      <c r="EG28">
        <f t="shared" si="393"/>
        <v>2.2158744972766153E-2</v>
      </c>
      <c r="EH28">
        <f t="shared" si="394"/>
        <v>2.1844527930050549E-2</v>
      </c>
      <c r="EI28">
        <f t="shared" si="395"/>
        <v>2.153473196659873E-2</v>
      </c>
      <c r="EJ28">
        <f t="shared" si="396"/>
        <v>2.1229294926393562E-2</v>
      </c>
      <c r="EK28">
        <f t="shared" si="397"/>
        <v>2.092815553573606E-2</v>
      </c>
      <c r="EL28">
        <f t="shared" si="398"/>
        <v>2.0631253390375935E-2</v>
      </c>
      <c r="EM28">
        <f t="shared" si="399"/>
        <v>2.0338528942840439E-2</v>
      </c>
      <c r="EN28">
        <f t="shared" si="400"/>
        <v>2.0049923489958921E-2</v>
      </c>
      <c r="EO28">
        <f t="shared" si="401"/>
        <v>1.9765379160579112E-2</v>
      </c>
      <c r="EP28">
        <f t="shared" si="402"/>
        <v>1.9484838903472256E-2</v>
      </c>
      <c r="EQ28">
        <f t="shared" si="403"/>
        <v>1.9208246475423685E-2</v>
      </c>
      <c r="ER28">
        <f t="shared" si="404"/>
        <v>1.8935546429505835E-2</v>
      </c>
      <c r="ES28">
        <f t="shared" si="405"/>
        <v>1.8666684103530572E-2</v>
      </c>
      <c r="ET28">
        <f t="shared" si="406"/>
        <v>1.8401605608677783E-2</v>
      </c>
      <c r="EU28">
        <f t="shared" si="407"/>
        <v>1.8140257818297277E-2</v>
      </c>
      <c r="EV28">
        <f t="shared" si="408"/>
        <v>1.7882588356881134E-2</v>
      </c>
      <c r="EW28">
        <f t="shared" si="409"/>
        <v>1.7628545589203726E-2</v>
      </c>
      <c r="EX28">
        <f t="shared" si="410"/>
        <v>1.7378078609626469E-2</v>
      </c>
      <c r="EY28">
        <f t="shared" si="411"/>
        <v>1.7131137231564664E-2</v>
      </c>
      <c r="EZ28">
        <f t="shared" si="412"/>
        <v>1.6887671977113605E-2</v>
      </c>
      <c r="FA28">
        <f t="shared" si="413"/>
        <v>1.6647634066831785E-2</v>
      </c>
      <c r="FB28">
        <f t="shared" si="414"/>
        <v>1.6410975409677831E-2</v>
      </c>
      <c r="FC28">
        <f t="shared" si="415"/>
        <v>1.6177648593099427E-2</v>
      </c>
      <c r="FD28">
        <f t="shared" si="416"/>
        <v>1.5947606873271181E-2</v>
      </c>
      <c r="FE28">
        <f t="shared" si="417"/>
        <v>1.5720804165479364E-2</v>
      </c>
      <c r="FF28">
        <f t="shared" si="418"/>
        <v>1.5497195034650923E-2</v>
      </c>
      <c r="FG28">
        <f t="shared" si="419"/>
        <v>1.5276734686024297E-2</v>
      </c>
      <c r="FH28">
        <f t="shared" si="420"/>
        <v>1.5059378955960245E-2</v>
      </c>
      <c r="FI28">
        <f t="shared" si="421"/>
        <v>1.4845084302889732E-2</v>
      </c>
      <c r="FJ28">
        <f t="shared" si="422"/>
        <v>1.4633807798397337E-2</v>
      </c>
      <c r="FK28">
        <f t="shared" si="423"/>
        <v>1.4425507118437309E-2</v>
      </c>
      <c r="FL28">
        <f t="shared" si="424"/>
        <v>1.4220140534680792E-2</v>
      </c>
      <c r="FM28">
        <f t="shared" si="425"/>
        <v>1.4017666905991721E-2</v>
      </c>
      <c r="FN28">
        <f t="shared" si="426"/>
        <v>1.3818045670029311E-2</v>
      </c>
      <c r="FO28">
        <f t="shared" si="427"/>
        <v>1.3621236834975348E-2</v>
      </c>
      <c r="FP28">
        <f t="shared" si="428"/>
        <v>1.3427200971384213E-2</v>
      </c>
      <c r="FQ28">
        <f t="shared" si="429"/>
        <v>1.3235899204153422E-2</v>
      </c>
      <c r="FR28">
        <f t="shared" si="430"/>
        <v>1.3047293204613241E-2</v>
      </c>
      <c r="FS28">
        <f t="shared" si="431"/>
        <v>1.2861345182733075E-2</v>
      </c>
      <c r="FT28">
        <f t="shared" si="432"/>
        <v>1.2678017879442949E-2</v>
      </c>
      <c r="FU28">
        <f t="shared" si="433"/>
        <v>1.2497274559068339E-2</v>
      </c>
      <c r="FV28">
        <f t="shared" si="434"/>
        <v>1.2319079001876333E-2</v>
      </c>
      <c r="FW28">
        <f t="shared" si="435"/>
        <v>1.2143395496731779E-2</v>
      </c>
      <c r="FX28">
        <f t="shared" si="436"/>
        <v>1.1970188833861084E-2</v>
      </c>
      <c r="FY28">
        <f t="shared" si="437"/>
        <v>1.1799424297722539E-2</v>
      </c>
      <c r="FZ28">
        <f t="shared" si="438"/>
        <v>1.1631067659981375E-2</v>
      </c>
      <c r="GA28">
        <f t="shared" si="439"/>
        <v>1.1465085172587531E-2</v>
      </c>
      <c r="GB28">
        <f t="shared" si="440"/>
        <v>1.1301443560955093E-2</v>
      </c>
      <c r="GC28">
        <f t="shared" si="441"/>
        <v>1.1140110017241444E-2</v>
      </c>
      <c r="GD28">
        <f t="shared" si="442"/>
        <v>1.0981052193724717E-2</v>
      </c>
      <c r="GE28">
        <f t="shared" si="443"/>
        <v>1.0824238196277914E-2</v>
      </c>
      <c r="GF28">
        <f t="shared" si="444"/>
        <v>1.066963657793849E-2</v>
      </c>
      <c r="GG28">
        <f t="shared" si="445"/>
        <v>1.0517216332571433E-2</v>
      </c>
      <c r="GH28">
        <f t="shared" si="446"/>
        <v>1.0366946888624861E-2</v>
      </c>
      <c r="GI28">
        <f t="shared" si="447"/>
        <v>1.0218798102976523E-2</v>
      </c>
      <c r="GJ28">
        <f t="shared" si="448"/>
        <v>1.0072740254869683E-2</v>
      </c>
      <c r="GK28">
        <f t="shared" si="449"/>
        <v>9.9287440399373535E-3</v>
      </c>
      <c r="GL28">
        <f t="shared" si="450"/>
        <v>9.7867805643130253E-3</v>
      </c>
      <c r="GM28">
        <f t="shared" si="451"/>
        <v>9.6468213388271832E-3</v>
      </c>
      <c r="GN28">
        <f t="shared" si="452"/>
        <v>9.5088382732876117E-3</v>
      </c>
      <c r="GO28">
        <f t="shared" si="453"/>
        <v>9.3728036708428664E-3</v>
      </c>
      <c r="GP28">
        <f t="shared" si="454"/>
        <v>9.2386902224272597E-3</v>
      </c>
      <c r="GQ28">
        <f t="shared" si="455"/>
        <v>9.1064710012860092E-3</v>
      </c>
      <c r="GR28">
        <f t="shared" si="456"/>
        <v>8.9761194575798675E-3</v>
      </c>
      <c r="GS28">
        <f t="shared" si="457"/>
        <v>8.8476094130674025E-3</v>
      </c>
      <c r="GT28">
        <f t="shared" si="458"/>
        <v>8.7209150558640973E-3</v>
      </c>
      <c r="GU28">
        <f t="shared" si="459"/>
        <v>8.5960109352771989E-3</v>
      </c>
      <c r="GV28">
        <f t="shared" si="460"/>
        <v>8.4728719567147785E-3</v>
      </c>
      <c r="GW28">
        <f t="shared" si="461"/>
        <v>8.3514733766682833E-3</v>
      </c>
      <c r="GX28">
        <f t="shared" si="462"/>
        <v>8.2317907977673133E-3</v>
      </c>
      <c r="GY28">
        <f t="shared" si="463"/>
        <v>8.1138001639053381E-3</v>
      </c>
      <c r="GZ28">
        <f t="shared" si="464"/>
        <v>7.9974777554356995E-3</v>
      </c>
      <c r="HA28">
        <f t="shared" si="465"/>
        <v>7.8828001844365447E-3</v>
      </c>
      <c r="HB28">
        <f t="shared" si="466"/>
        <v>7.7697443900437198E-3</v>
      </c>
      <c r="HC28">
        <f t="shared" si="467"/>
        <v>7.6582876338506245E-3</v>
      </c>
      <c r="HD28">
        <f t="shared" si="468"/>
        <v>7.5484074953739875E-3</v>
      </c>
      <c r="HE28">
        <f t="shared" si="469"/>
        <v>7.4400818675847248E-3</v>
      </c>
      <c r="HF28">
        <f t="shared" si="470"/>
        <v>7.3332889525026812E-3</v>
      </c>
      <c r="HG28">
        <f t="shared" si="471"/>
        <v>7.2280072568544742E-3</v>
      </c>
      <c r="HH28">
        <f t="shared" si="472"/>
        <v>7.1242155877934473E-3</v>
      </c>
      <c r="HI28">
        <f t="shared" si="473"/>
        <v>7.0218930486807499E-3</v>
      </c>
      <c r="HJ28">
        <f t="shared" si="474"/>
        <v>6.9210190349267564E-3</v>
      </c>
      <c r="HK28">
        <f t="shared" si="475"/>
        <v>6.8215732298918972E-3</v>
      </c>
      <c r="HL28">
        <f t="shared" si="476"/>
        <v>6.7235356008458315E-3</v>
      </c>
      <c r="HM28">
        <f t="shared" si="477"/>
        <v>6.6268863949844881E-3</v>
      </c>
      <c r="HN28">
        <f t="shared" si="478"/>
        <v>6.5316061355036202E-3</v>
      </c>
      <c r="HO28">
        <f t="shared" si="479"/>
        <v>6.4376756177285336E-3</v>
      </c>
      <c r="HP28">
        <f t="shared" si="480"/>
        <v>6.3450759052988137E-3</v>
      </c>
      <c r="HQ28">
        <f t="shared" si="481"/>
        <v>6.2537883264073505E-3</v>
      </c>
      <c r="HR28">
        <f t="shared" si="482"/>
        <v>6.1637944700929648E-3</v>
      </c>
      <c r="HS28">
        <f t="shared" si="483"/>
        <v>6.0750761825856033E-3</v>
      </c>
      <c r="HT28">
        <f t="shared" si="484"/>
        <v>5.9876155637035968E-3</v>
      </c>
      <c r="HU28">
        <f t="shared" si="485"/>
        <v>5.9013949633020535E-3</v>
      </c>
      <c r="HV28">
        <f t="shared" si="486"/>
        <v>5.8163969777716429E-3</v>
      </c>
      <c r="HW28">
        <f t="shared" si="487"/>
        <v>5.7326044465871636E-3</v>
      </c>
      <c r="HX28">
        <f t="shared" si="488"/>
        <v>5.6500004489049571E-3</v>
      </c>
      <c r="HY28">
        <f t="shared" si="489"/>
        <v>5.5685683002086759E-3</v>
      </c>
      <c r="HZ28">
        <f t="shared" si="490"/>
        <v>5.4882915490024557E-3</v>
      </c>
      <c r="IA28">
        <f t="shared" si="491"/>
        <v>5.409153973551073E-3</v>
      </c>
      <c r="IB28">
        <f t="shared" si="492"/>
        <v>5.3311395786662108E-3</v>
      </c>
      <c r="IC28">
        <f t="shared" si="493"/>
        <v>5.2542325925381663E-3</v>
      </c>
      <c r="ID28">
        <f t="shared" si="494"/>
        <v>5.1784174636124169E-3</v>
      </c>
      <c r="IE28">
        <f t="shared" si="495"/>
        <v>5.1036788575103851E-3</v>
      </c>
      <c r="IF28">
        <f t="shared" si="496"/>
        <v>5.0300016539936761E-3</v>
      </c>
      <c r="IG28">
        <f t="shared" si="497"/>
        <v>4.9573709439713395E-3</v>
      </c>
      <c r="IH28">
        <f t="shared" si="498"/>
        <v>4.8857720265491735E-3</v>
      </c>
      <c r="II28">
        <f t="shared" si="499"/>
        <v>4.8151904061209724E-3</v>
      </c>
      <c r="IJ28">
        <f t="shared" si="500"/>
        <v>4.7456117895005477E-3</v>
      </c>
      <c r="IK28">
        <f t="shared" si="501"/>
        <v>4.6770220830944734E-3</v>
      </c>
      <c r="IL28">
        <f t="shared" si="502"/>
        <v>4.6094073901145286E-3</v>
      </c>
      <c r="IM28">
        <f t="shared" si="503"/>
        <v>4.5427540078295525E-3</v>
      </c>
      <c r="IN28">
        <f t="shared" si="504"/>
        <v>4.4770484248559343E-3</v>
      </c>
      <c r="IO28">
        <f t="shared" si="505"/>
        <v>4.4122773184862799E-3</v>
      </c>
      <c r="IP28">
        <f t="shared" si="506"/>
        <v>4.3484275520558448E-3</v>
      </c>
      <c r="IQ28">
        <f t="shared" si="507"/>
        <v>4.2854861723459316E-3</v>
      </c>
      <c r="IR28">
        <f t="shared" si="508"/>
        <v>4.2234404070237595E-3</v>
      </c>
      <c r="IS28">
        <f t="shared" si="509"/>
        <v>4.1622776621185516E-3</v>
      </c>
      <c r="IT28">
        <f t="shared" si="510"/>
        <v>4.1019855195329243E-3</v>
      </c>
      <c r="IU28">
        <f t="shared" si="511"/>
        <v>4.0425517345894059E-3</v>
      </c>
      <c r="IV28">
        <f t="shared" si="512"/>
        <v>3.9839642336113919E-3</v>
      </c>
    </row>
    <row r="29" spans="1:256" x14ac:dyDescent="0.2">
      <c r="A29" t="s">
        <v>500</v>
      </c>
      <c r="B29">
        <f t="shared" si="258"/>
        <v>-4.996247176914681E-2</v>
      </c>
      <c r="C29">
        <f t="shared" si="259"/>
        <v>-3.9976072209863517E-2</v>
      </c>
      <c r="D29">
        <f t="shared" si="260"/>
        <v>-3.9324098345531501E-2</v>
      </c>
      <c r="E29">
        <f t="shared" si="261"/>
        <v>-3.8690040216921254E-2</v>
      </c>
      <c r="F29">
        <f t="shared" si="262"/>
        <v>-3.8072968731571871E-2</v>
      </c>
      <c r="G29">
        <f t="shared" si="263"/>
        <v>-3.7471997512743702E-2</v>
      </c>
      <c r="H29">
        <f t="shared" si="264"/>
        <v>-3.6886282383215688E-2</v>
      </c>
      <c r="I29">
        <f t="shared" si="265"/>
        <v>-3.6315020583484903E-2</v>
      </c>
      <c r="J29">
        <f t="shared" si="266"/>
        <v>-3.5757449775545166E-2</v>
      </c>
      <c r="K29">
        <f t="shared" si="267"/>
        <v>-3.5466495777249821E-2</v>
      </c>
      <c r="L29">
        <f t="shared" si="268"/>
        <v>-3.5183734539130013E-2</v>
      </c>
      <c r="M29">
        <f t="shared" si="269"/>
        <v>-3.4908604190901547E-2</v>
      </c>
      <c r="N29">
        <f t="shared" si="270"/>
        <v>-3.4640563468335037E-2</v>
      </c>
      <c r="O29">
        <f t="shared" si="271"/>
        <v>-3.4379092008353297E-2</v>
      </c>
      <c r="P29">
        <f t="shared" si="272"/>
        <v>-3.4123690554635454E-2</v>
      </c>
      <c r="Q29">
        <f t="shared" si="273"/>
        <v>-3.3873881078895926E-2</v>
      </c>
      <c r="R29">
        <f t="shared" si="274"/>
        <v>-3.3629206822980054E-2</v>
      </c>
      <c r="S29">
        <f t="shared" si="275"/>
        <v>-3.3146829798774043E-2</v>
      </c>
      <c r="T29">
        <f t="shared" si="276"/>
        <v>-3.2677564946167706E-2</v>
      </c>
      <c r="U29">
        <f t="shared" si="277"/>
        <v>-3.2221104215396687E-2</v>
      </c>
      <c r="V29">
        <f t="shared" si="278"/>
        <v>-3.1777149336394563E-2</v>
      </c>
      <c r="W29">
        <f t="shared" si="279"/>
        <v>-3.1345410852105578E-2</v>
      </c>
      <c r="X29">
        <f t="shared" si="280"/>
        <v>-3.0925607160481143E-2</v>
      </c>
      <c r="Y29">
        <f t="shared" si="281"/>
        <v>-3.0517463580114101E-2</v>
      </c>
      <c r="Z29">
        <f t="shared" si="282"/>
        <v>-3.0120711451997646E-2</v>
      </c>
      <c r="AA29">
        <f t="shared" si="283"/>
        <v>-2.9508845416119013E-2</v>
      </c>
      <c r="AB29">
        <f t="shared" si="284"/>
        <v>-2.8923856767028928E-2</v>
      </c>
      <c r="AC29">
        <f t="shared" si="285"/>
        <v>-2.8364773486442101E-2</v>
      </c>
      <c r="AD29">
        <f t="shared" si="286"/>
        <v>-2.7830622612643425E-2</v>
      </c>
      <c r="AE29">
        <f t="shared" si="287"/>
        <v>-2.7320434523681804E-2</v>
      </c>
      <c r="AF29">
        <f t="shared" si="288"/>
        <v>-2.6833246746113825E-2</v>
      </c>
      <c r="AG29">
        <f t="shared" si="289"/>
        <v>-2.6368107322180513E-2</v>
      </c>
      <c r="AH29">
        <f t="shared" si="290"/>
        <v>4.1252126102069131E-2</v>
      </c>
      <c r="AI29">
        <f t="shared" si="291"/>
        <v>4.3872655540696005E-2</v>
      </c>
      <c r="AJ29">
        <f t="shared" si="292"/>
        <v>4.6617709085597592E-2</v>
      </c>
      <c r="AK29">
        <f t="shared" si="293"/>
        <v>4.9499633065713068E-2</v>
      </c>
      <c r="AL29">
        <f t="shared" si="294"/>
        <v>5.253203199997751E-2</v>
      </c>
      <c r="AM29">
        <f t="shared" si="295"/>
        <v>5.5729926567406295E-2</v>
      </c>
      <c r="AN29">
        <f t="shared" si="296"/>
        <v>5.9109935174983599E-2</v>
      </c>
      <c r="AO29">
        <f t="shared" si="297"/>
        <v>5.8975891092324817E-2</v>
      </c>
      <c r="AP29">
        <f t="shared" si="298"/>
        <v>5.8238692453670748E-2</v>
      </c>
      <c r="AQ29">
        <f t="shared" si="299"/>
        <v>5.7510708797999868E-2</v>
      </c>
      <c r="AR29">
        <f t="shared" si="300"/>
        <v>5.6791824938024857E-2</v>
      </c>
      <c r="AS29">
        <f t="shared" si="301"/>
        <v>5.6081927126299558E-2</v>
      </c>
      <c r="AT29">
        <f t="shared" si="302"/>
        <v>5.5380903037220805E-2</v>
      </c>
      <c r="AU29">
        <f t="shared" si="303"/>
        <v>5.4688641749255543E-2</v>
      </c>
      <c r="AV29">
        <f t="shared" si="304"/>
        <v>5.4005033727389851E-2</v>
      </c>
      <c r="AW29">
        <f t="shared" si="305"/>
        <v>5.3329970805797475E-2</v>
      </c>
      <c r="AX29">
        <f t="shared" si="306"/>
        <v>2.4133400750929668E-2</v>
      </c>
      <c r="AY29">
        <f t="shared" si="307"/>
        <v>2.7448989163955457E-2</v>
      </c>
      <c r="AZ29">
        <f t="shared" si="308"/>
        <v>3.0847829693567363E-2</v>
      </c>
      <c r="BA29">
        <f t="shared" si="309"/>
        <v>3.4340963319594159E-2</v>
      </c>
      <c r="BB29">
        <f t="shared" si="310"/>
        <v>3.7940325175180763E-2</v>
      </c>
      <c r="BC29">
        <f t="shared" si="311"/>
        <v>4.1658848253601014E-2</v>
      </c>
      <c r="BD29">
        <f t="shared" si="312"/>
        <v>4.5510584735117945E-2</v>
      </c>
      <c r="BE29">
        <f t="shared" si="313"/>
        <v>4.9510847570059816E-2</v>
      </c>
      <c r="BF29">
        <f t="shared" si="314"/>
        <v>4.9020948812449928E-2</v>
      </c>
      <c r="BG29">
        <f t="shared" si="315"/>
        <v>4.8408186952294305E-2</v>
      </c>
      <c r="BH29">
        <f t="shared" si="316"/>
        <v>4.7803084615390637E-2</v>
      </c>
      <c r="BI29">
        <f t="shared" si="317"/>
        <v>4.7205546057698257E-2</v>
      </c>
      <c r="BJ29">
        <f t="shared" si="318"/>
        <v>4.6615476731977024E-2</v>
      </c>
      <c r="BK29">
        <f t="shared" si="319"/>
        <v>4.6032783272827317E-2</v>
      </c>
      <c r="BL29">
        <f t="shared" si="320"/>
        <v>4.5457373481916974E-2</v>
      </c>
      <c r="BM29">
        <f t="shared" si="321"/>
        <v>4.4889156313393005E-2</v>
      </c>
      <c r="BN29">
        <f t="shared" si="322"/>
        <v>4.43280418594756E-2</v>
      </c>
      <c r="BO29">
        <f t="shared" si="323"/>
        <v>4.377394133623215E-2</v>
      </c>
      <c r="BP29">
        <f t="shared" si="324"/>
        <v>4.322676706952925E-2</v>
      </c>
      <c r="BQ29">
        <f t="shared" si="325"/>
        <v>4.2686432481160129E-2</v>
      </c>
      <c r="BR29">
        <f t="shared" si="326"/>
        <v>4.215285207514563E-2</v>
      </c>
      <c r="BS29">
        <f t="shared" si="327"/>
        <v>4.1625941424206316E-2</v>
      </c>
      <c r="BT29">
        <f t="shared" si="328"/>
        <v>4.1105617156403741E-2</v>
      </c>
      <c r="BU29">
        <f t="shared" si="329"/>
        <v>4.0591796941948685E-2</v>
      </c>
      <c r="BV29">
        <f t="shared" si="330"/>
        <v>4.0084399480174324E-2</v>
      </c>
      <c r="BW29">
        <f t="shared" si="331"/>
        <v>3.9583344486672147E-2</v>
      </c>
      <c r="BX29">
        <f t="shared" si="332"/>
        <v>3.9088552680588737E-2</v>
      </c>
      <c r="BY29">
        <f t="shared" si="333"/>
        <v>3.8599945772081382E-2</v>
      </c>
      <c r="BZ29">
        <f t="shared" si="334"/>
        <v>3.8117446449930356E-2</v>
      </c>
      <c r="CA29">
        <f t="shared" si="335"/>
        <v>3.764097836930623E-2</v>
      </c>
      <c r="CB29">
        <f t="shared" si="336"/>
        <v>3.7170466139689905E-2</v>
      </c>
      <c r="CC29">
        <f t="shared" si="337"/>
        <v>3.6705835312943781E-2</v>
      </c>
      <c r="CD29">
        <f t="shared" si="338"/>
        <v>3.6247012371531981E-2</v>
      </c>
      <c r="CE29">
        <f t="shared" si="339"/>
        <v>3.5793924716887839E-2</v>
      </c>
      <c r="CF29">
        <f t="shared" si="340"/>
        <v>3.5346500657926737E-2</v>
      </c>
      <c r="CG29">
        <f t="shared" si="341"/>
        <v>3.4904669399702659E-2</v>
      </c>
      <c r="CH29">
        <f t="shared" si="342"/>
        <v>3.4468361032206372E-2</v>
      </c>
      <c r="CI29">
        <f t="shared" si="343"/>
        <v>3.4037506519303797E-2</v>
      </c>
      <c r="CJ29">
        <f t="shared" si="344"/>
        <v>3.3612037687812499E-2</v>
      </c>
      <c r="CK29">
        <f t="shared" si="345"/>
        <v>3.3191887216714844E-2</v>
      </c>
      <c r="CL29">
        <f t="shared" si="346"/>
        <v>3.277698862650591E-2</v>
      </c>
      <c r="CM29">
        <f t="shared" si="347"/>
        <v>3.2367276268674583E-2</v>
      </c>
      <c r="CN29">
        <f t="shared" si="348"/>
        <v>3.1962685315316153E-2</v>
      </c>
      <c r="CO29">
        <f t="shared" si="349"/>
        <v>3.1563151748874696E-2</v>
      </c>
      <c r="CP29">
        <f t="shared" si="350"/>
        <v>3.1168612352013757E-2</v>
      </c>
      <c r="CQ29">
        <f t="shared" si="351"/>
        <v>3.0779004697613587E-2</v>
      </c>
      <c r="CR29">
        <f t="shared" si="352"/>
        <v>3.0394267138893417E-2</v>
      </c>
      <c r="CS29">
        <f t="shared" si="353"/>
        <v>3.0014338799657248E-2</v>
      </c>
      <c r="CT29">
        <f t="shared" si="354"/>
        <v>2.9639159564661531E-2</v>
      </c>
      <c r="CU29">
        <f t="shared" si="355"/>
        <v>2.9268670070103264E-2</v>
      </c>
      <c r="CV29">
        <f t="shared" si="356"/>
        <v>2.8902811694226972E-2</v>
      </c>
      <c r="CW29">
        <f t="shared" si="357"/>
        <v>2.8541526548049135E-2</v>
      </c>
      <c r="CX29">
        <f t="shared" si="358"/>
        <v>2.8184757466198519E-2</v>
      </c>
      <c r="CY29">
        <f t="shared" si="359"/>
        <v>2.7832447997871036E-2</v>
      </c>
      <c r="CZ29">
        <f t="shared" si="360"/>
        <v>2.748454239789765E-2</v>
      </c>
      <c r="DA29">
        <f t="shared" si="361"/>
        <v>2.714098561792393E-2</v>
      </c>
      <c r="DB29">
        <f t="shared" si="362"/>
        <v>2.6801723297699875E-2</v>
      </c>
      <c r="DC29">
        <f t="shared" si="363"/>
        <v>2.6466701756478628E-2</v>
      </c>
      <c r="DD29">
        <f t="shared" si="364"/>
        <v>2.6135867984522644E-2</v>
      </c>
      <c r="DE29">
        <f t="shared" si="365"/>
        <v>2.5809169634716113E-2</v>
      </c>
      <c r="DF29">
        <f t="shared" si="366"/>
        <v>2.5486555014282163E-2</v>
      </c>
      <c r="DG29">
        <f t="shared" si="367"/>
        <v>2.5167973076603633E-2</v>
      </c>
      <c r="DH29">
        <f t="shared" si="368"/>
        <v>2.4853373413146085E-2</v>
      </c>
      <c r="DI29">
        <f t="shared" si="369"/>
        <v>2.4542706245481761E-2</v>
      </c>
      <c r="DJ29">
        <f t="shared" si="370"/>
        <v>2.4235922417413236E-2</v>
      </c>
      <c r="DK29">
        <f t="shared" si="371"/>
        <v>2.3932973387195567E-2</v>
      </c>
      <c r="DL29">
        <f t="shared" si="372"/>
        <v>2.3633811219855628E-2</v>
      </c>
      <c r="DM29">
        <f t="shared" si="373"/>
        <v>2.3338388579607426E-2</v>
      </c>
      <c r="DN29">
        <f t="shared" si="374"/>
        <v>2.3046658722362334E-2</v>
      </c>
      <c r="DO29">
        <f t="shared" si="375"/>
        <v>2.2758575488332801E-2</v>
      </c>
      <c r="DP29">
        <f t="shared" si="376"/>
        <v>2.2474093294728638E-2</v>
      </c>
      <c r="DQ29">
        <f t="shared" si="377"/>
        <v>2.2193167128544532E-2</v>
      </c>
      <c r="DR29">
        <f t="shared" si="378"/>
        <v>2.1915752539437727E-2</v>
      </c>
      <c r="DS29">
        <f t="shared" si="379"/>
        <v>2.1641805632694754E-2</v>
      </c>
      <c r="DT29">
        <f t="shared" si="380"/>
        <v>2.1371283062286073E-2</v>
      </c>
      <c r="DU29">
        <f t="shared" si="381"/>
        <v>2.11041420240075E-2</v>
      </c>
      <c r="DV29">
        <f t="shared" si="382"/>
        <v>2.0840340248707401E-2</v>
      </c>
      <c r="DW29">
        <f t="shared" si="383"/>
        <v>2.057983599559856E-2</v>
      </c>
      <c r="DX29">
        <f t="shared" si="384"/>
        <v>2.0322588045653577E-2</v>
      </c>
      <c r="DY29">
        <f t="shared" si="385"/>
        <v>2.0068555695082913E-2</v>
      </c>
      <c r="DZ29">
        <f t="shared" si="386"/>
        <v>1.9817698748894375E-2</v>
      </c>
      <c r="EA29">
        <f t="shared" si="387"/>
        <v>1.95699775145332E-2</v>
      </c>
      <c r="EB29">
        <f t="shared" si="388"/>
        <v>1.9325352795601537E-2</v>
      </c>
      <c r="EC29">
        <f t="shared" si="389"/>
        <v>1.9083785885656512E-2</v>
      </c>
      <c r="ED29">
        <f t="shared" si="390"/>
        <v>1.8845238562085809E-2</v>
      </c>
      <c r="EE29">
        <f t="shared" si="391"/>
        <v>1.860967308005974E-2</v>
      </c>
      <c r="EF29">
        <f t="shared" si="392"/>
        <v>1.8377052166558994E-2</v>
      </c>
      <c r="EG29">
        <f t="shared" si="393"/>
        <v>1.8147339014477005E-2</v>
      </c>
      <c r="EH29">
        <f t="shared" si="394"/>
        <v>1.7920497276796045E-2</v>
      </c>
      <c r="EI29">
        <f t="shared" si="395"/>
        <v>1.7696491060836095E-2</v>
      </c>
      <c r="EJ29">
        <f t="shared" si="396"/>
        <v>1.7475284922575642E-2</v>
      </c>
      <c r="EK29">
        <f t="shared" si="397"/>
        <v>1.7256843861043446E-2</v>
      </c>
      <c r="EL29">
        <f t="shared" si="398"/>
        <v>1.7041133312780399E-2</v>
      </c>
      <c r="EM29">
        <f t="shared" si="399"/>
        <v>1.6828119146370647E-2</v>
      </c>
      <c r="EN29">
        <f t="shared" si="400"/>
        <v>1.6617767657041017E-2</v>
      </c>
      <c r="EO29">
        <f t="shared" si="401"/>
        <v>1.6410045561328003E-2</v>
      </c>
      <c r="EP29">
        <f t="shared" si="402"/>
        <v>1.6204919991811405E-2</v>
      </c>
      <c r="EQ29">
        <f t="shared" si="403"/>
        <v>1.6002358491913761E-2</v>
      </c>
      <c r="ER29">
        <f t="shared" si="404"/>
        <v>1.5802329010764837E-2</v>
      </c>
      <c r="ES29">
        <f t="shared" si="405"/>
        <v>1.5604799898130272E-2</v>
      </c>
      <c r="ET29">
        <f t="shared" si="406"/>
        <v>1.5409739899403641E-2</v>
      </c>
      <c r="EU29">
        <f t="shared" si="407"/>
        <v>1.5217118150661091E-2</v>
      </c>
      <c r="EV29">
        <f t="shared" si="408"/>
        <v>1.5026904173777823E-2</v>
      </c>
      <c r="EW29">
        <f t="shared" si="409"/>
        <v>1.4839067871605605E-2</v>
      </c>
      <c r="EX29">
        <f t="shared" si="410"/>
        <v>1.4653579523210536E-2</v>
      </c>
      <c r="EY29">
        <f t="shared" si="411"/>
        <v>1.4470409779170402E-2</v>
      </c>
      <c r="EZ29">
        <f t="shared" si="412"/>
        <v>1.4289529656930765E-2</v>
      </c>
      <c r="FA29">
        <f t="shared" si="413"/>
        <v>1.4110910536219134E-2</v>
      </c>
      <c r="FB29">
        <f t="shared" si="414"/>
        <v>1.3934524154516393E-2</v>
      </c>
      <c r="FC29">
        <f t="shared" si="415"/>
        <v>1.376034260258494E-2</v>
      </c>
      <c r="FD29">
        <f t="shared" si="416"/>
        <v>1.3588338320052629E-2</v>
      </c>
      <c r="FE29">
        <f t="shared" si="417"/>
        <v>1.3418484091051975E-2</v>
      </c>
      <c r="FF29">
        <f t="shared" si="418"/>
        <v>1.3250753039913821E-2</v>
      </c>
      <c r="FG29">
        <f t="shared" si="419"/>
        <v>1.3085118626914893E-2</v>
      </c>
      <c r="FH29">
        <f t="shared" si="420"/>
        <v>1.2921554644078459E-2</v>
      </c>
      <c r="FI29">
        <f t="shared" si="421"/>
        <v>1.2760035211027476E-2</v>
      </c>
      <c r="FJ29">
        <f t="shared" si="422"/>
        <v>1.2600534770889637E-2</v>
      </c>
      <c r="FK29">
        <f t="shared" si="423"/>
        <v>1.2443028086253517E-2</v>
      </c>
      <c r="FL29">
        <f t="shared" si="424"/>
        <v>1.2287490235175346E-2</v>
      </c>
      <c r="FM29">
        <f t="shared" si="425"/>
        <v>1.2133896607235651E-2</v>
      </c>
      <c r="FN29">
        <f t="shared" si="426"/>
        <v>1.1982222899645201E-2</v>
      </c>
      <c r="FO29">
        <f t="shared" si="427"/>
        <v>1.1832445113399637E-2</v>
      </c>
      <c r="FP29">
        <f t="shared" si="428"/>
        <v>1.1684539549482143E-2</v>
      </c>
      <c r="FQ29">
        <f t="shared" si="429"/>
        <v>1.1538482805113614E-2</v>
      </c>
      <c r="FR29">
        <f t="shared" si="430"/>
        <v>1.139425177004969E-2</v>
      </c>
      <c r="FS29">
        <f t="shared" si="431"/>
        <v>1.1251823622924073E-2</v>
      </c>
      <c r="FT29">
        <f t="shared" si="432"/>
        <v>1.111117582763752E-2</v>
      </c>
      <c r="FU29">
        <f t="shared" si="433"/>
        <v>1.0972286129792053E-2</v>
      </c>
      <c r="FV29">
        <f t="shared" si="434"/>
        <v>1.0835132553169657E-2</v>
      </c>
      <c r="FW29">
        <f t="shared" si="435"/>
        <v>1.0699693396255039E-2</v>
      </c>
      <c r="FX29">
        <f t="shared" si="436"/>
        <v>1.0565947228801853E-2</v>
      </c>
      <c r="FY29">
        <f t="shared" si="437"/>
        <v>1.0433872888441831E-2</v>
      </c>
      <c r="FZ29">
        <f t="shared" si="438"/>
        <v>1.0303449477336312E-2</v>
      </c>
      <c r="GA29">
        <f t="shared" si="439"/>
        <v>1.0174656358869605E-2</v>
      </c>
      <c r="GB29">
        <f t="shared" si="440"/>
        <v>1.0047473154383734E-2</v>
      </c>
      <c r="GC29">
        <f t="shared" si="441"/>
        <v>9.9218797399539434E-3</v>
      </c>
      <c r="GD29">
        <f t="shared" si="442"/>
        <v>9.7978562432045162E-3</v>
      </c>
      <c r="GE29">
        <f t="shared" si="443"/>
        <v>9.6753830401644647E-3</v>
      </c>
      <c r="GF29">
        <f t="shared" si="444"/>
        <v>9.5544407521624079E-3</v>
      </c>
      <c r="GG29">
        <f t="shared" si="445"/>
        <v>9.4350102427603784E-3</v>
      </c>
      <c r="GH29">
        <f t="shared" si="446"/>
        <v>9.3170726147258735E-3</v>
      </c>
      <c r="GI29">
        <f t="shared" si="447"/>
        <v>9.2006092070417989E-3</v>
      </c>
      <c r="GJ29">
        <f t="shared" si="448"/>
        <v>9.0856015919537729E-3</v>
      </c>
      <c r="GK29">
        <f t="shared" si="449"/>
        <v>8.9720315720543502E-3</v>
      </c>
      <c r="GL29">
        <f t="shared" si="450"/>
        <v>8.8598811774036716E-3</v>
      </c>
      <c r="GM29">
        <f t="shared" si="451"/>
        <v>8.749132662686121E-3</v>
      </c>
      <c r="GN29">
        <f t="shared" si="452"/>
        <v>8.6397685044025448E-3</v>
      </c>
      <c r="GO29">
        <f t="shared" si="453"/>
        <v>8.5317713980975103E-3</v>
      </c>
      <c r="GP29">
        <f t="shared" si="454"/>
        <v>8.4251242556212854E-3</v>
      </c>
      <c r="GQ29">
        <f t="shared" si="455"/>
        <v>8.3198102024260139E-3</v>
      </c>
      <c r="GR29">
        <f t="shared" si="456"/>
        <v>8.215812574895686E-3</v>
      </c>
      <c r="GS29">
        <f t="shared" si="457"/>
        <v>8.1131149177094859E-3</v>
      </c>
      <c r="GT29">
        <f t="shared" si="458"/>
        <v>8.0117009812381117E-3</v>
      </c>
      <c r="GU29">
        <f t="shared" si="459"/>
        <v>7.9115547189726361E-3</v>
      </c>
      <c r="GV29">
        <f t="shared" si="460"/>
        <v>7.8126602849854735E-3</v>
      </c>
      <c r="GW29">
        <f t="shared" si="461"/>
        <v>7.7150020314231569E-3</v>
      </c>
      <c r="GX29">
        <f t="shared" si="462"/>
        <v>7.6185645060303673E-3</v>
      </c>
      <c r="GY29">
        <f t="shared" si="463"/>
        <v>7.5233324497049892E-3</v>
      </c>
      <c r="GZ29">
        <f t="shared" si="464"/>
        <v>7.4292907940836763E-3</v>
      </c>
      <c r="HA29">
        <f t="shared" si="465"/>
        <v>7.3364246591576254E-3</v>
      </c>
      <c r="HB29">
        <f t="shared" si="466"/>
        <v>7.2447193509181497E-3</v>
      </c>
      <c r="HC29">
        <f t="shared" si="467"/>
        <v>7.1541603590316695E-3</v>
      </c>
      <c r="HD29">
        <f t="shared" si="468"/>
        <v>7.0647333545437729E-3</v>
      </c>
      <c r="HE29">
        <f t="shared" si="469"/>
        <v>6.9764241876119739E-3</v>
      </c>
      <c r="HF29">
        <f t="shared" si="470"/>
        <v>6.8892188852668233E-3</v>
      </c>
      <c r="HG29">
        <f t="shared" si="471"/>
        <v>6.803103649200992E-3</v>
      </c>
      <c r="HH29">
        <f t="shared" si="472"/>
        <v>6.7180648535859807E-3</v>
      </c>
      <c r="HI29">
        <f t="shared" si="473"/>
        <v>6.6340890429161577E-3</v>
      </c>
      <c r="HJ29">
        <f t="shared" si="474"/>
        <v>6.5511629298797055E-3</v>
      </c>
      <c r="HK29">
        <f t="shared" si="475"/>
        <v>6.4692733932562143E-3</v>
      </c>
      <c r="HL29">
        <f t="shared" si="476"/>
        <v>6.3884074758405072E-3</v>
      </c>
      <c r="HM29">
        <f t="shared" si="477"/>
        <v>6.3085523823924964E-3</v>
      </c>
      <c r="HN29">
        <f t="shared" si="478"/>
        <v>6.2296954776125844E-3</v>
      </c>
      <c r="HO29">
        <f t="shared" si="479"/>
        <v>6.1518242841424268E-3</v>
      </c>
      <c r="HP29">
        <f t="shared" si="480"/>
        <v>6.0749264805906476E-3</v>
      </c>
      <c r="HQ29">
        <f t="shared" si="481"/>
        <v>5.9989898995832626E-3</v>
      </c>
      <c r="HR29">
        <f t="shared" si="482"/>
        <v>5.9240025258384676E-3</v>
      </c>
      <c r="HS29">
        <f t="shared" si="483"/>
        <v>5.8499524942654865E-3</v>
      </c>
      <c r="HT29">
        <f t="shared" si="484"/>
        <v>5.7768280880871716E-3</v>
      </c>
      <c r="HU29">
        <f t="shared" si="485"/>
        <v>5.7046177369860836E-3</v>
      </c>
      <c r="HV29">
        <f t="shared" si="486"/>
        <v>5.6333100152737622E-3</v>
      </c>
      <c r="HW29">
        <f t="shared" si="487"/>
        <v>5.5628936400828445E-3</v>
      </c>
      <c r="HX29">
        <f t="shared" si="488"/>
        <v>5.4933574695818057E-3</v>
      </c>
      <c r="HY29">
        <f t="shared" si="489"/>
        <v>5.4246905012120374E-3</v>
      </c>
      <c r="HZ29">
        <f t="shared" si="490"/>
        <v>5.3568818699468836E-3</v>
      </c>
      <c r="IA29">
        <f t="shared" si="491"/>
        <v>5.2899208465725491E-3</v>
      </c>
      <c r="IB29">
        <f t="shared" si="492"/>
        <v>5.2237968359903908E-3</v>
      </c>
      <c r="IC29">
        <f t="shared" si="493"/>
        <v>5.1584993755405149E-3</v>
      </c>
      <c r="ID29">
        <f t="shared" si="494"/>
        <v>5.0940181333462564E-3</v>
      </c>
      <c r="IE29">
        <f t="shared" si="495"/>
        <v>5.0303429066794305E-3</v>
      </c>
      <c r="IF29">
        <f t="shared" si="496"/>
        <v>4.9674636203459353E-3</v>
      </c>
      <c r="IG29">
        <f t="shared" si="497"/>
        <v>4.9053703250916073E-3</v>
      </c>
      <c r="IH29">
        <f t="shared" si="498"/>
        <v>4.8440531960279639E-3</v>
      </c>
      <c r="II29">
        <f t="shared" si="499"/>
        <v>4.7835025310776101E-3</v>
      </c>
      <c r="IJ29">
        <f t="shared" si="500"/>
        <v>4.7237087494391376E-3</v>
      </c>
      <c r="IK29">
        <f t="shared" si="501"/>
        <v>4.6646623900711507E-3</v>
      </c>
      <c r="IL29">
        <f t="shared" si="502"/>
        <v>4.6063541101952652E-3</v>
      </c>
      <c r="IM29">
        <f t="shared" si="503"/>
        <v>4.5487746838178246E-3</v>
      </c>
      <c r="IN29">
        <f t="shared" si="504"/>
        <v>4.4919150002700973E-3</v>
      </c>
      <c r="IO29">
        <f t="shared" si="505"/>
        <v>4.4357660627667213E-3</v>
      </c>
      <c r="IP29">
        <f t="shared" si="506"/>
        <v>4.3803189869821343E-3</v>
      </c>
      <c r="IQ29">
        <f t="shared" si="507"/>
        <v>4.3255649996448596E-3</v>
      </c>
      <c r="IR29">
        <f t="shared" si="508"/>
        <v>4.2714954371492978E-3</v>
      </c>
      <c r="IS29">
        <f t="shared" si="509"/>
        <v>4.2181017441849326E-3</v>
      </c>
      <c r="IT29">
        <f t="shared" si="510"/>
        <v>4.1653754723826155E-3</v>
      </c>
      <c r="IU29">
        <f t="shared" si="511"/>
        <v>4.1133082789778343E-3</v>
      </c>
      <c r="IV29">
        <f t="shared" si="512"/>
        <v>4.0618919254906127E-3</v>
      </c>
    </row>
    <row r="30" spans="1:256" x14ac:dyDescent="0.2">
      <c r="A30" t="s">
        <v>501</v>
      </c>
      <c r="B30">
        <f t="shared" si="258"/>
        <v>5.036217495802324E-2</v>
      </c>
      <c r="C30">
        <f t="shared" si="259"/>
        <v>6.832958116568584E-2</v>
      </c>
      <c r="D30">
        <f t="shared" si="260"/>
        <v>6.7475461401114767E-2</v>
      </c>
      <c r="E30">
        <f t="shared" si="261"/>
        <v>6.663201813360084E-2</v>
      </c>
      <c r="F30">
        <f t="shared" si="262"/>
        <v>6.5799117906930826E-2</v>
      </c>
      <c r="G30">
        <f t="shared" si="263"/>
        <v>6.4976628933094194E-2</v>
      </c>
      <c r="H30">
        <f t="shared" si="264"/>
        <v>6.4164421071430527E-2</v>
      </c>
      <c r="I30">
        <f t="shared" si="265"/>
        <v>6.3362365808037641E-2</v>
      </c>
      <c r="J30">
        <f t="shared" si="266"/>
        <v>-1.1767826641016782E-2</v>
      </c>
      <c r="K30">
        <f t="shared" si="267"/>
        <v>-1.2083963867639718E-2</v>
      </c>
      <c r="L30">
        <f t="shared" si="268"/>
        <v>-1.2388409909277207E-2</v>
      </c>
      <c r="M30">
        <f t="shared" si="269"/>
        <v>-1.2681435276784461E-2</v>
      </c>
      <c r="N30">
        <f t="shared" si="270"/>
        <v>-1.2963303477154547E-2</v>
      </c>
      <c r="O30">
        <f t="shared" si="271"/>
        <v>-1.3234271366042317E-2</v>
      </c>
      <c r="P30">
        <f t="shared" si="272"/>
        <v>-1.3494589474724386E-2</v>
      </c>
      <c r="Q30">
        <f t="shared" si="273"/>
        <v>-1.3744502313288975E-2</v>
      </c>
      <c r="R30">
        <f t="shared" si="274"/>
        <v>-2.5067216818612494E-2</v>
      </c>
      <c r="S30">
        <f t="shared" si="275"/>
        <v>-2.4946197221119282E-2</v>
      </c>
      <c r="T30">
        <f t="shared" si="276"/>
        <v>-2.4823455626766584E-2</v>
      </c>
      <c r="U30">
        <f t="shared" si="277"/>
        <v>-2.4699070076166115E-2</v>
      </c>
      <c r="V30">
        <f t="shared" si="278"/>
        <v>-2.4573115811726991E-2</v>
      </c>
      <c r="W30">
        <f t="shared" si="279"/>
        <v>-2.4445665445788124E-2</v>
      </c>
      <c r="X30">
        <f t="shared" si="280"/>
        <v>-2.4316789115518458E-2</v>
      </c>
      <c r="Y30">
        <f t="shared" si="281"/>
        <v>-2.4186554625623018E-2</v>
      </c>
      <c r="Z30">
        <f t="shared" si="282"/>
        <v>-2.4055027579814321E-2</v>
      </c>
      <c r="AA30">
        <f t="shared" si="283"/>
        <v>-2.3850642672113259E-2</v>
      </c>
      <c r="AB30">
        <f t="shared" si="284"/>
        <v>-2.3647513753036635E-2</v>
      </c>
      <c r="AC30">
        <f t="shared" si="285"/>
        <v>-2.3445663937457457E-2</v>
      </c>
      <c r="AD30">
        <f t="shared" si="286"/>
        <v>-2.3245113919249698E-2</v>
      </c>
      <c r="AE30">
        <f t="shared" si="287"/>
        <v>-2.3045882132446422E-2</v>
      </c>
      <c r="AF30">
        <f t="shared" si="288"/>
        <v>-2.2847984902469816E-2</v>
      </c>
      <c r="AG30">
        <f t="shared" si="289"/>
        <v>-2.2651436588028699E-2</v>
      </c>
      <c r="AH30">
        <f t="shared" si="290"/>
        <v>-8.3710384571126779E-4</v>
      </c>
      <c r="AI30">
        <f t="shared" si="291"/>
        <v>-3.8200236985435064E-4</v>
      </c>
      <c r="AJ30">
        <f t="shared" si="292"/>
        <v>6.5750528871749697E-5</v>
      </c>
      <c r="AK30">
        <f t="shared" si="293"/>
        <v>5.0653410915770805E-4</v>
      </c>
      <c r="AL30">
        <f t="shared" si="294"/>
        <v>9.407203661472741E-4</v>
      </c>
      <c r="AM30">
        <f t="shared" si="295"/>
        <v>1.3686747374241303E-3</v>
      </c>
      <c r="AN30">
        <f t="shared" si="296"/>
        <v>1.7907567609766917E-3</v>
      </c>
      <c r="AO30">
        <f t="shared" si="297"/>
        <v>2.2073206917240739E-3</v>
      </c>
      <c r="AP30">
        <f t="shared" si="298"/>
        <v>-2.1498926650496446E-2</v>
      </c>
      <c r="AQ30">
        <f t="shared" si="299"/>
        <v>-2.0926021121147619E-2</v>
      </c>
      <c r="AR30">
        <f t="shared" si="300"/>
        <v>-2.0361438072791626E-2</v>
      </c>
      <c r="AS30">
        <f t="shared" si="301"/>
        <v>-1.9805036961875015E-2</v>
      </c>
      <c r="AT30">
        <f t="shared" si="302"/>
        <v>-1.9256678579000812E-2</v>
      </c>
      <c r="AU30">
        <f t="shared" si="303"/>
        <v>-1.871622473677579E-2</v>
      </c>
      <c r="AV30">
        <f t="shared" si="304"/>
        <v>-1.8183538000483706E-2</v>
      </c>
      <c r="AW30">
        <f t="shared" si="305"/>
        <v>-1.765848145442913E-2</v>
      </c>
      <c r="AX30">
        <f t="shared" si="306"/>
        <v>-1.7140918497994394E-2</v>
      </c>
      <c r="AY30">
        <f t="shared" si="307"/>
        <v>-1.6577874283394078E-2</v>
      </c>
      <c r="AZ30">
        <f t="shared" si="308"/>
        <v>-1.6019175722711654E-2</v>
      </c>
      <c r="BA30">
        <f t="shared" si="309"/>
        <v>-1.5464627091392721E-2</v>
      </c>
      <c r="BB30">
        <f t="shared" si="310"/>
        <v>-1.4914029860756114E-2</v>
      </c>
      <c r="BC30">
        <f t="shared" si="311"/>
        <v>-1.4367181938579776E-2</v>
      </c>
      <c r="BD30">
        <f t="shared" si="312"/>
        <v>-1.3823876985997911E-2</v>
      </c>
      <c r="BE30">
        <f t="shared" si="313"/>
        <v>-1.3283903793220458E-2</v>
      </c>
      <c r="BF30">
        <f t="shared" si="314"/>
        <v>-1.274704569989393E-2</v>
      </c>
      <c r="BG30">
        <f t="shared" si="315"/>
        <v>-1.2213080048454372E-2</v>
      </c>
      <c r="BH30">
        <f t="shared" si="316"/>
        <v>-1.1684020676952438E-2</v>
      </c>
      <c r="BI30">
        <f t="shared" si="317"/>
        <v>-1.1162574966515376E-2</v>
      </c>
      <c r="BJ30">
        <f t="shared" si="318"/>
        <v>-1.0648727275547252E-2</v>
      </c>
      <c r="BK30">
        <f t="shared" si="319"/>
        <v>-1.0142458877377778E-2</v>
      </c>
      <c r="BL30">
        <f t="shared" si="320"/>
        <v>-9.6437480966378806E-3</v>
      </c>
      <c r="BM30">
        <f t="shared" si="321"/>
        <v>-9.1525704412967288E-3</v>
      </c>
      <c r="BN30">
        <f t="shared" si="322"/>
        <v>-8.6688987304823269E-3</v>
      </c>
      <c r="BO30">
        <f t="shared" si="323"/>
        <v>-8.1927032182047502E-3</v>
      </c>
      <c r="BP30">
        <f t="shared" si="324"/>
        <v>-7.7239517130977733E-3</v>
      </c>
      <c r="BQ30">
        <f t="shared" si="325"/>
        <v>-7.2626096942916083E-3</v>
      </c>
      <c r="BR30">
        <f t="shared" si="326"/>
        <v>-6.8086404235264634E-3</v>
      </c>
      <c r="BS30">
        <f t="shared" si="327"/>
        <v>-6.3620050536137588E-3</v>
      </c>
      <c r="BT30">
        <f t="shared" si="328"/>
        <v>-5.9226627333488994E-3</v>
      </c>
      <c r="BU30">
        <f t="shared" si="329"/>
        <v>-5.4905707089767499E-3</v>
      </c>
      <c r="BV30">
        <f t="shared" si="330"/>
        <v>-5.065684422308309E-3</v>
      </c>
      <c r="BW30">
        <f t="shared" si="331"/>
        <v>-4.6479576055844518E-3</v>
      </c>
      <c r="BX30">
        <f t="shared" si="332"/>
        <v>-4.2373423731798306E-3</v>
      </c>
      <c r="BY30">
        <f t="shared" si="333"/>
        <v>-3.8337893102378755E-3</v>
      </c>
      <c r="BZ30">
        <f t="shared" si="334"/>
        <v>-3.4372475583251323E-3</v>
      </c>
      <c r="CA30">
        <f t="shared" si="335"/>
        <v>-3.0476648981908579E-3</v>
      </c>
      <c r="CB30">
        <f t="shared" si="336"/>
        <v>-2.6649878297155564E-3</v>
      </c>
      <c r="CC30">
        <f t="shared" si="337"/>
        <v>-2.2891616491298476E-3</v>
      </c>
      <c r="CD30">
        <f t="shared" si="338"/>
        <v>-1.9201305235828025E-3</v>
      </c>
      <c r="CE30">
        <f t="shared" si="339"/>
        <v>-1.5578375631368768E-3</v>
      </c>
      <c r="CF30">
        <f t="shared" si="340"/>
        <v>-1.2022248902643362E-3</v>
      </c>
      <c r="CG30">
        <f t="shared" si="341"/>
        <v>-8.5323370691827165E-4</v>
      </c>
      <c r="CH30">
        <f t="shared" si="342"/>
        <v>-5.1080435924891199E-4</v>
      </c>
      <c r="CI30">
        <f t="shared" si="343"/>
        <v>-1.7487640003466809E-4</v>
      </c>
      <c r="CJ30">
        <f t="shared" si="344"/>
        <v>1.5461135110533263E-4</v>
      </c>
      <c r="CK30">
        <f t="shared" si="345"/>
        <v>4.777207496514446E-4</v>
      </c>
      <c r="CL30">
        <f t="shared" si="346"/>
        <v>7.9451427021322578E-4</v>
      </c>
      <c r="CM30">
        <f t="shared" si="347"/>
        <v>1.1050549525865316E-3</v>
      </c>
      <c r="CN30">
        <f t="shared" si="348"/>
        <v>1.4094063497779973E-3</v>
      </c>
      <c r="CO30">
        <f t="shared" si="349"/>
        <v>1.7076324779382868E-3</v>
      </c>
      <c r="CP30">
        <f t="shared" si="350"/>
        <v>1.9997977681472322E-3</v>
      </c>
      <c r="CQ30">
        <f t="shared" si="351"/>
        <v>2.2859670199954552E-3</v>
      </c>
      <c r="CR30">
        <f t="shared" si="352"/>
        <v>2.5662053569085463E-3</v>
      </c>
      <c r="CS30">
        <f t="shared" si="353"/>
        <v>2.8405781831616073E-3</v>
      </c>
      <c r="CT30">
        <f t="shared" si="354"/>
        <v>3.1091511425329565E-3</v>
      </c>
      <c r="CU30">
        <f t="shared" si="355"/>
        <v>3.3719900785476433E-3</v>
      </c>
      <c r="CV30">
        <f t="shared" si="356"/>
        <v>3.6291609962624816E-3</v>
      </c>
      <c r="CW30">
        <f t="shared" si="357"/>
        <v>3.8807300255458087E-3</v>
      </c>
      <c r="CX30">
        <f t="shared" si="358"/>
        <v>4.1267633858062978E-3</v>
      </c>
      <c r="CY30">
        <f t="shared" si="359"/>
        <v>4.3673273521266046E-3</v>
      </c>
      <c r="CZ30">
        <f t="shared" si="360"/>
        <v>4.6024882227587941E-3</v>
      </c>
      <c r="DA30">
        <f t="shared" si="361"/>
        <v>4.8323122879394441E-3</v>
      </c>
      <c r="DB30">
        <f t="shared" si="362"/>
        <v>5.0568657999839782E-3</v>
      </c>
      <c r="DC30">
        <f t="shared" si="363"/>
        <v>5.2762149446204387E-3</v>
      </c>
      <c r="DD30">
        <f t="shared" si="364"/>
        <v>5.4904258135241744E-3</v>
      </c>
      <c r="DE30">
        <f t="shared" si="365"/>
        <v>5.6995643780162033E-3</v>
      </c>
      <c r="DF30">
        <f t="shared" si="366"/>
        <v>5.9036964638886358E-3</v>
      </c>
      <c r="DG30">
        <f t="shared" si="367"/>
        <v>6.1028877273219375E-3</v>
      </c>
      <c r="DH30">
        <f t="shared" si="368"/>
        <v>6.2972036318595936E-3</v>
      </c>
      <c r="DI30">
        <f t="shared" si="369"/>
        <v>6.4867094264068059E-3</v>
      </c>
      <c r="DJ30">
        <f t="shared" si="370"/>
        <v>6.6714701242205519E-3</v>
      </c>
      <c r="DK30">
        <f t="shared" si="371"/>
        <v>6.8515504828598247E-3</v>
      </c>
      <c r="DL30">
        <f t="shared" si="372"/>
        <v>7.0270149850648776E-3</v>
      </c>
      <c r="DM30">
        <f t="shared" si="373"/>
        <v>7.1979278205360989E-3</v>
      </c>
      <c r="DN30">
        <f t="shared" si="374"/>
        <v>7.3643528685832012E-3</v>
      </c>
      <c r="DO30">
        <f t="shared" si="375"/>
        <v>7.5263536816168822E-3</v>
      </c>
      <c r="DP30">
        <f t="shared" si="376"/>
        <v>7.683993469455236E-3</v>
      </c>
      <c r="DQ30">
        <f t="shared" si="377"/>
        <v>7.8373350844187402E-3</v>
      </c>
      <c r="DR30">
        <f t="shared" si="378"/>
        <v>7.9864410071875721E-3</v>
      </c>
      <c r="DS30">
        <f t="shared" si="379"/>
        <v>8.131373333396575E-3</v>
      </c>
      <c r="DT30">
        <f t="shared" si="380"/>
        <v>8.2721937609431251E-3</v>
      </c>
      <c r="DU30">
        <f t="shared" si="381"/>
        <v>8.4089635779845354E-3</v>
      </c>
      <c r="DV30">
        <f t="shared" si="382"/>
        <v>8.5417436516016972E-3</v>
      </c>
      <c r="DW30">
        <f t="shared" si="383"/>
        <v>8.6705944171069412E-3</v>
      </c>
      <c r="DX30">
        <f t="shared" si="384"/>
        <v>8.7955758679740988E-3</v>
      </c>
      <c r="DY30">
        <f t="shared" si="385"/>
        <v>8.9167475463699294E-3</v>
      </c>
      <c r="DZ30">
        <f t="shared" si="386"/>
        <v>9.0341685342663677E-3</v>
      </c>
      <c r="EA30">
        <f t="shared" si="387"/>
        <v>9.147897445113606E-3</v>
      </c>
      <c r="EB30">
        <f t="shared" si="388"/>
        <v>9.2579924160549228E-3</v>
      </c>
      <c r="EC30">
        <f t="shared" si="389"/>
        <v>9.3645111006643959E-3</v>
      </c>
      <c r="ED30">
        <f t="shared" si="390"/>
        <v>9.467510662189255E-3</v>
      </c>
      <c r="EE30">
        <f t="shared" si="391"/>
        <v>9.567047767279329E-3</v>
      </c>
      <c r="EF30">
        <f t="shared" si="392"/>
        <v>9.6631785801864264E-3</v>
      </c>
      <c r="EG30">
        <f t="shared" si="393"/>
        <v>9.7559587574168657E-3</v>
      </c>
      <c r="EH30">
        <f t="shared" si="394"/>
        <v>9.845443442821223E-3</v>
      </c>
      <c r="EI30">
        <f t="shared" si="395"/>
        <v>9.9316872631054313E-3</v>
      </c>
      <c r="EJ30">
        <f t="shared" si="396"/>
        <v>1.0014744323748086E-2</v>
      </c>
      <c r="EK30">
        <f t="shared" si="397"/>
        <v>1.0094668205309233E-2</v>
      </c>
      <c r="EL30">
        <f t="shared" si="398"/>
        <v>1.0171511960116186E-2</v>
      </c>
      <c r="EM30">
        <f t="shared" si="399"/>
        <v>1.0245328109312613E-2</v>
      </c>
      <c r="EN30">
        <f t="shared" si="400"/>
        <v>1.0316168640257334E-2</v>
      </c>
      <c r="EO30">
        <f t="shared" si="401"/>
        <v>1.0384085004259686E-2</v>
      </c>
      <c r="EP30">
        <f t="shared" si="402"/>
        <v>1.0449128114638884E-2</v>
      </c>
      <c r="EQ30">
        <f t="shared" si="403"/>
        <v>1.0511348345094956E-2</v>
      </c>
      <c r="ER30">
        <f t="shared" si="404"/>
        <v>1.057079552837939E-2</v>
      </c>
      <c r="ES30">
        <f t="shared" si="405"/>
        <v>1.0627518955253851E-2</v>
      </c>
      <c r="ET30">
        <f t="shared" si="406"/>
        <v>1.0681567373725753E-2</v>
      </c>
      <c r="EU30">
        <f t="shared" si="407"/>
        <v>1.0732988988549835E-2</v>
      </c>
      <c r="EV30">
        <f t="shared" si="408"/>
        <v>1.078183146098512E-2</v>
      </c>
      <c r="EW30">
        <f t="shared" si="409"/>
        <v>1.0828141908797051E-2</v>
      </c>
      <c r="EX30">
        <f t="shared" si="410"/>
        <v>1.0871966906494872E-2</v>
      </c>
      <c r="EY30">
        <f t="shared" si="411"/>
        <v>1.0913352485794742E-2</v>
      </c>
      <c r="EZ30">
        <f t="shared" si="412"/>
        <v>1.0952344136298947E-2</v>
      </c>
      <c r="FA30">
        <f t="shared" si="413"/>
        <v>1.0988986806382656E-2</v>
      </c>
      <c r="FB30">
        <f t="shared" si="414"/>
        <v>1.1023324904278996E-2</v>
      </c>
      <c r="FC30">
        <f t="shared" si="415"/>
        <v>1.1055402299354316E-2</v>
      </c>
      <c r="FD30">
        <f t="shared" si="416"/>
        <v>1.1085262323565121E-2</v>
      </c>
      <c r="FE30">
        <f t="shared" si="417"/>
        <v>1.1112947773089127E-2</v>
      </c>
      <c r="FF30">
        <f t="shared" si="418"/>
        <v>1.1138500910122218E-2</v>
      </c>
      <c r="FG30">
        <f t="shared" si="419"/>
        <v>1.1161963464834307E-2</v>
      </c>
      <c r="FH30">
        <f t="shared" si="420"/>
        <v>1.1183376637476549E-2</v>
      </c>
      <c r="FI30">
        <f t="shared" si="421"/>
        <v>1.1202781100633098E-2</v>
      </c>
      <c r="FJ30">
        <f t="shared" si="422"/>
        <v>1.122021700161056E-2</v>
      </c>
      <c r="FK30">
        <f t="shared" si="423"/>
        <v>1.1235723964958538E-2</v>
      </c>
      <c r="FL30">
        <f t="shared" si="424"/>
        <v>1.1249341095115089E-2</v>
      </c>
      <c r="FM30">
        <f t="shared" si="425"/>
        <v>1.1261106979170732E-2</v>
      </c>
      <c r="FN30">
        <f t="shared" si="426"/>
        <v>1.12710596897452E-2</v>
      </c>
      <c r="FO30">
        <f t="shared" si="427"/>
        <v>1.1279236787971242E-2</v>
      </c>
      <c r="FP30">
        <f t="shared" si="428"/>
        <v>1.1285675326579713E-2</v>
      </c>
      <c r="FQ30">
        <f t="shared" si="429"/>
        <v>1.1290411853080795E-2</v>
      </c>
      <c r="FR30">
        <f t="shared" si="430"/>
        <v>1.129348241303601E-2</v>
      </c>
      <c r="FS30">
        <f t="shared" si="431"/>
        <v>1.1294922553416038E-2</v>
      </c>
      <c r="FT30">
        <f t="shared" si="432"/>
        <v>1.1294767326039507E-2</v>
      </c>
      <c r="FU30">
        <f t="shared" si="433"/>
        <v>1.1293051291088051E-2</v>
      </c>
      <c r="FV30">
        <f t="shared" si="434"/>
        <v>1.1289808520692928E-2</v>
      </c>
      <c r="FW30">
        <f t="shared" si="435"/>
        <v>1.1285072602589296E-2</v>
      </c>
      <c r="FX30">
        <f t="shared" si="436"/>
        <v>1.1278876643833174E-2</v>
      </c>
      <c r="FY30">
        <f t="shared" si="437"/>
        <v>1.1271253274577736E-2</v>
      </c>
      <c r="FZ30">
        <f t="shared" si="438"/>
        <v>1.126223465190449E-2</v>
      </c>
      <c r="GA30">
        <f t="shared" si="439"/>
        <v>1.1251852463705737E-2</v>
      </c>
      <c r="GB30">
        <f t="shared" si="440"/>
        <v>1.1240137932614558E-2</v>
      </c>
      <c r="GC30">
        <f t="shared" si="441"/>
        <v>1.122712181997893E-2</v>
      </c>
      <c r="GD30">
        <f t="shared" si="442"/>
        <v>1.1212834429876228E-2</v>
      </c>
      <c r="GE30">
        <f t="shared" si="443"/>
        <v>1.1197305613165115E-2</v>
      </c>
      <c r="GF30">
        <f t="shared" si="444"/>
        <v>1.1180564771571566E-2</v>
      </c>
      <c r="GG30">
        <f t="shared" si="445"/>
        <v>1.1162640861805767E-2</v>
      </c>
      <c r="GH30">
        <f t="shared" si="446"/>
        <v>1.114356239970719E-2</v>
      </c>
      <c r="GI30">
        <f t="shared" si="447"/>
        <v>1.1123357464414774E-2</v>
      </c>
      <c r="GJ30">
        <f t="shared" si="448"/>
        <v>1.1102053702559584E-2</v>
      </c>
      <c r="GK30">
        <f t="shared" si="449"/>
        <v>1.1079678332477283E-2</v>
      </c>
      <c r="GL30">
        <f t="shared" si="450"/>
        <v>1.105625814843782E-2</v>
      </c>
      <c r="GM30">
        <f t="shared" si="451"/>
        <v>1.1031819524889918E-2</v>
      </c>
      <c r="GN30">
        <f t="shared" si="452"/>
        <v>1.1006388420717999E-2</v>
      </c>
      <c r="GO30">
        <f t="shared" si="453"/>
        <v>1.0979990383509197E-2</v>
      </c>
      <c r="GP30">
        <f t="shared" si="454"/>
        <v>1.0952650553828496E-2</v>
      </c>
      <c r="GQ30">
        <f t="shared" si="455"/>
        <v>1.0924393669499516E-2</v>
      </c>
      <c r="GR30">
        <f t="shared" si="456"/>
        <v>1.0895244069889348E-2</v>
      </c>
      <c r="GS30">
        <f t="shared" si="457"/>
        <v>1.0865225700195196E-2</v>
      </c>
      <c r="GT30">
        <f t="shared" si="458"/>
        <v>1.0834362115731055E-2</v>
      </c>
      <c r="GU30">
        <f t="shared" si="459"/>
        <v>1.0802676486212715E-2</v>
      </c>
      <c r="GV30">
        <f t="shared" si="460"/>
        <v>1.0770191600039235E-2</v>
      </c>
      <c r="GW30">
        <f t="shared" si="461"/>
        <v>1.0736929868569379E-2</v>
      </c>
      <c r="GX30">
        <f t="shared" si="462"/>
        <v>1.0702913330391301E-2</v>
      </c>
      <c r="GY30">
        <f t="shared" si="463"/>
        <v>1.0668163655584133E-2</v>
      </c>
      <c r="GZ30">
        <f t="shared" si="464"/>
        <v>1.0632702149969869E-2</v>
      </c>
      <c r="HA30">
        <f t="shared" si="465"/>
        <v>1.0596549759354229E-2</v>
      </c>
      <c r="HB30">
        <f t="shared" si="466"/>
        <v>1.055972707375517E-2</v>
      </c>
      <c r="HC30">
        <f t="shared" si="467"/>
        <v>1.0522254331617858E-2</v>
      </c>
      <c r="HD30">
        <f t="shared" si="468"/>
        <v>1.048415142401472E-2</v>
      </c>
      <c r="HE30">
        <f t="shared" si="469"/>
        <v>1.0445437898829513E-2</v>
      </c>
      <c r="HF30">
        <f t="shared" si="470"/>
        <v>1.0406132964924448E-2</v>
      </c>
      <c r="HG30">
        <f t="shared" si="471"/>
        <v>1.0366255496288956E-2</v>
      </c>
      <c r="HH30">
        <f t="shared" si="472"/>
        <v>1.0325824036169523E-2</v>
      </c>
      <c r="HI30">
        <f t="shared" si="473"/>
        <v>1.0284856801179265E-2</v>
      </c>
      <c r="HJ30">
        <f t="shared" si="474"/>
        <v>1.0243371685386599E-2</v>
      </c>
      <c r="HK30">
        <f t="shared" si="475"/>
        <v>1.0201386264382013E-2</v>
      </c>
      <c r="HL30">
        <f t="shared" si="476"/>
        <v>1.0158917799322154E-2</v>
      </c>
      <c r="HM30">
        <f t="shared" si="477"/>
        <v>1.011598324095046E-2</v>
      </c>
      <c r="HN30">
        <f t="shared" si="478"/>
        <v>1.007259923359346E-2</v>
      </c>
      <c r="HO30">
        <f t="shared" si="479"/>
        <v>1.0028782119132473E-2</v>
      </c>
      <c r="HP30">
        <f t="shared" si="480"/>
        <v>9.9845479409493842E-3</v>
      </c>
      <c r="HQ30">
        <f t="shared" si="481"/>
        <v>9.9399124478464392E-3</v>
      </c>
      <c r="HR30">
        <f t="shared" si="482"/>
        <v>9.8948910979393227E-3</v>
      </c>
      <c r="HS30">
        <f t="shared" si="483"/>
        <v>9.8494990625226653E-3</v>
      </c>
      <c r="HT30">
        <f t="shared" si="484"/>
        <v>9.8037512299079706E-3</v>
      </c>
      <c r="HU30">
        <f t="shared" si="485"/>
        <v>9.757662209232975E-3</v>
      </c>
      <c r="HV30">
        <f t="shared" si="486"/>
        <v>9.7112463342424078E-3</v>
      </c>
      <c r="HW30">
        <f t="shared" si="487"/>
        <v>9.6645176670393691E-3</v>
      </c>
      <c r="HX30">
        <f t="shared" si="488"/>
        <v>9.6174900018071944E-3</v>
      </c>
      <c r="HY30">
        <f t="shared" si="489"/>
        <v>9.5701768685012741E-3</v>
      </c>
      <c r="HZ30">
        <f t="shared" si="490"/>
        <v>9.5225915365105655E-3</v>
      </c>
      <c r="IA30">
        <f t="shared" si="491"/>
        <v>9.474747018288399E-3</v>
      </c>
      <c r="IB30">
        <f t="shared" si="492"/>
        <v>9.4266560729524378E-3</v>
      </c>
      <c r="IC30">
        <f t="shared" si="493"/>
        <v>9.3783312098532964E-3</v>
      </c>
      <c r="ID30">
        <f t="shared" si="494"/>
        <v>9.329784692111787E-3</v>
      </c>
      <c r="IE30">
        <f t="shared" si="495"/>
        <v>9.2810285401244749E-3</v>
      </c>
      <c r="IF30">
        <f t="shared" si="496"/>
        <v>9.232074535037332E-3</v>
      </c>
      <c r="IG30">
        <f t="shared" si="497"/>
        <v>9.1829342221873226E-3</v>
      </c>
      <c r="IH30">
        <f t="shared" si="498"/>
        <v>9.1336189145117715E-3</v>
      </c>
      <c r="II30">
        <f t="shared" si="499"/>
        <v>9.0841396959253588E-3</v>
      </c>
      <c r="IJ30">
        <f t="shared" si="500"/>
        <v>9.0345074246646843E-3</v>
      </c>
      <c r="IK30">
        <f t="shared" si="501"/>
        <v>8.9847327366001546E-3</v>
      </c>
      <c r="IL30">
        <f t="shared" si="502"/>
        <v>8.9348260485152767E-3</v>
      </c>
      <c r="IM30">
        <f t="shared" si="503"/>
        <v>8.8847975613531357E-3</v>
      </c>
      <c r="IN30">
        <f t="shared" si="504"/>
        <v>8.8346572634301172E-3</v>
      </c>
      <c r="IO30">
        <f t="shared" si="505"/>
        <v>8.7844149336168235E-3</v>
      </c>
      <c r="IP30">
        <f t="shared" si="506"/>
        <v>8.7340801444860117E-3</v>
      </c>
      <c r="IQ30">
        <f t="shared" si="507"/>
        <v>8.6836622654278047E-3</v>
      </c>
      <c r="IR30">
        <f t="shared" si="508"/>
        <v>8.6331704657319208E-3</v>
      </c>
      <c r="IS30">
        <f t="shared" si="509"/>
        <v>8.5826137176371435E-3</v>
      </c>
      <c r="IT30">
        <f t="shared" si="510"/>
        <v>8.5320007993478827E-3</v>
      </c>
      <c r="IU30">
        <f t="shared" si="511"/>
        <v>8.4813402980180586E-3</v>
      </c>
      <c r="IV30">
        <f t="shared" si="512"/>
        <v>8.4306406127022011E-3</v>
      </c>
    </row>
    <row r="31" spans="1:256" x14ac:dyDescent="0.2">
      <c r="A31" t="s">
        <v>502</v>
      </c>
      <c r="B31">
        <f t="shared" si="258"/>
        <v>2.3748855590820316E-2</v>
      </c>
      <c r="C31">
        <f t="shared" si="259"/>
        <v>2.4565060948761762E-3</v>
      </c>
      <c r="D31">
        <f t="shared" si="260"/>
        <v>4.2306745840283713E-4</v>
      </c>
      <c r="E31">
        <f t="shared" si="261"/>
        <v>-1.4476834528292294E-3</v>
      </c>
      <c r="F31">
        <f t="shared" si="262"/>
        <v>-3.1717193997781502E-3</v>
      </c>
      <c r="G31">
        <f t="shared" si="263"/>
        <v>-4.7631451171396668E-3</v>
      </c>
      <c r="H31">
        <f t="shared" si="264"/>
        <v>-6.234461935301072E-3</v>
      </c>
      <c r="I31">
        <f t="shared" si="265"/>
        <v>-7.5967883264025041E-3</v>
      </c>
      <c r="J31">
        <f t="shared" si="266"/>
        <v>2.37061727044122E-2</v>
      </c>
      <c r="K31">
        <f t="shared" si="267"/>
        <v>2.3409845545607044E-2</v>
      </c>
      <c r="L31">
        <f t="shared" si="268"/>
        <v>2.3117222476286958E-2</v>
      </c>
      <c r="M31">
        <f t="shared" si="269"/>
        <v>2.2828257195333369E-2</v>
      </c>
      <c r="N31">
        <f t="shared" si="270"/>
        <v>2.2542903980391705E-2</v>
      </c>
      <c r="O31">
        <f t="shared" si="271"/>
        <v>2.2261117680636811E-2</v>
      </c>
      <c r="P31">
        <f t="shared" si="272"/>
        <v>2.1982853709628845E-2</v>
      </c>
      <c r="Q31">
        <f t="shared" si="273"/>
        <v>2.1708068038258487E-2</v>
      </c>
      <c r="R31">
        <f t="shared" si="274"/>
        <v>2.1436717187780251E-2</v>
      </c>
      <c r="S31">
        <f t="shared" si="275"/>
        <v>2.1168758222933005E-2</v>
      </c>
      <c r="T31">
        <f t="shared" si="276"/>
        <v>2.0904148745146345E-2</v>
      </c>
      <c r="U31">
        <f t="shared" si="277"/>
        <v>2.0642846885832011E-2</v>
      </c>
      <c r="V31">
        <f t="shared" si="278"/>
        <v>2.0384811299759109E-2</v>
      </c>
      <c r="W31">
        <f t="shared" si="279"/>
        <v>2.0130001158512122E-2</v>
      </c>
      <c r="X31">
        <f t="shared" si="280"/>
        <v>1.9878376144030718E-2</v>
      </c>
      <c r="Y31">
        <f t="shared" si="281"/>
        <v>1.9629896442230333E-2</v>
      </c>
      <c r="Z31">
        <f t="shared" si="282"/>
        <v>1.9384522736702457E-2</v>
      </c>
      <c r="AA31">
        <f t="shared" si="283"/>
        <v>1.9142216202493678E-2</v>
      </c>
      <c r="AB31">
        <f t="shared" si="284"/>
        <v>1.8902938499962506E-2</v>
      </c>
      <c r="AC31">
        <f t="shared" si="285"/>
        <v>1.8666651768712971E-2</v>
      </c>
      <c r="AD31">
        <f t="shared" si="286"/>
        <v>1.8433318621604057E-2</v>
      </c>
      <c r="AE31">
        <f t="shared" si="287"/>
        <v>1.820290213883401E-2</v>
      </c>
      <c r="AF31">
        <f t="shared" si="288"/>
        <v>1.797536586209858E-2</v>
      </c>
      <c r="AG31">
        <f t="shared" si="289"/>
        <v>1.7750673788822346E-2</v>
      </c>
      <c r="AH31">
        <f t="shared" si="290"/>
        <v>-2.1590821611237977E-2</v>
      </c>
      <c r="AI31">
        <f t="shared" si="291"/>
        <v>-2.3173784856338909E-2</v>
      </c>
      <c r="AJ31">
        <f t="shared" si="292"/>
        <v>-2.4665120048526556E-2</v>
      </c>
      <c r="AK31">
        <f t="shared" si="293"/>
        <v>-2.607027785358116E-2</v>
      </c>
      <c r="AL31">
        <f t="shared" si="294"/>
        <v>-2.7394324095019972E-2</v>
      </c>
      <c r="AM31">
        <f t="shared" si="295"/>
        <v>-2.8641971947662513E-2</v>
      </c>
      <c r="AN31">
        <f t="shared" si="296"/>
        <v>-2.9817611030677836E-2</v>
      </c>
      <c r="AO31">
        <f t="shared" si="297"/>
        <v>-3.0925333736411466E-2</v>
      </c>
      <c r="AP31">
        <f t="shared" si="298"/>
        <v>1.5879800886388473E-2</v>
      </c>
      <c r="AQ31">
        <f t="shared" si="299"/>
        <v>1.4300584492258661E-2</v>
      </c>
      <c r="AR31">
        <f t="shared" si="300"/>
        <v>1.281801682523288E-2</v>
      </c>
      <c r="AS31">
        <f t="shared" si="301"/>
        <v>1.1423141688999383E-2</v>
      </c>
      <c r="AT31">
        <f t="shared" si="302"/>
        <v>1.0107835391106568E-2</v>
      </c>
      <c r="AU31">
        <f t="shared" si="303"/>
        <v>8.8647065980819503E-3</v>
      </c>
      <c r="AV31">
        <f t="shared" si="304"/>
        <v>7.6870107865452007E-3</v>
      </c>
      <c r="AW31">
        <f t="shared" si="305"/>
        <v>6.5685769228901571E-3</v>
      </c>
      <c r="AX31">
        <f t="shared" si="306"/>
        <v>7.4609556515957691E-4</v>
      </c>
      <c r="AY31">
        <f t="shared" si="307"/>
        <v>-1.7629587790665923E-3</v>
      </c>
      <c r="AZ31">
        <f t="shared" si="308"/>
        <v>-4.1314125459772089E-3</v>
      </c>
      <c r="BA31">
        <f t="shared" si="309"/>
        <v>-6.3746666636439351E-3</v>
      </c>
      <c r="BB31">
        <f t="shared" si="310"/>
        <v>-8.5059297805784688E-3</v>
      </c>
      <c r="BC31">
        <f t="shared" si="311"/>
        <v>-1.0536562574982023E-2</v>
      </c>
      <c r="BD31">
        <f t="shared" si="312"/>
        <v>-1.2476359041854212E-2</v>
      </c>
      <c r="BE31">
        <f t="shared" si="313"/>
        <v>-1.4333778001695885E-2</v>
      </c>
      <c r="BF31">
        <f t="shared" si="314"/>
        <v>-1.6116134963333983E-2</v>
      </c>
      <c r="BG31">
        <f t="shared" si="315"/>
        <v>-1.7829762160609153E-2</v>
      </c>
      <c r="BH31">
        <f t="shared" si="316"/>
        <v>-1.9480142847296999E-2</v>
      </c>
      <c r="BI31">
        <f t="shared" si="317"/>
        <v>-2.1071835220670999E-2</v>
      </c>
      <c r="BJ31">
        <f t="shared" si="318"/>
        <v>-2.259319358916332E-2</v>
      </c>
      <c r="BK31">
        <f t="shared" si="319"/>
        <v>-2.4035380304948541E-2</v>
      </c>
      <c r="BL31">
        <f t="shared" si="320"/>
        <v>-2.5403653540935146E-2</v>
      </c>
      <c r="BM31">
        <f t="shared" si="321"/>
        <v>-2.6702633611259619E-2</v>
      </c>
      <c r="BN31">
        <f t="shared" si="322"/>
        <v>-2.7936422636033485E-2</v>
      </c>
      <c r="BO31">
        <f t="shared" si="323"/>
        <v>-2.9108670156236867E-2</v>
      </c>
      <c r="BP31">
        <f t="shared" si="324"/>
        <v>-3.0222630361381182E-2</v>
      </c>
      <c r="BQ31">
        <f t="shared" si="325"/>
        <v>-3.128121214956249E-2</v>
      </c>
      <c r="BR31">
        <f t="shared" si="326"/>
        <v>-3.2287023025491246E-2</v>
      </c>
      <c r="BS31">
        <f t="shared" si="327"/>
        <v>-3.3242407670365091E-2</v>
      </c>
      <c r="BT31">
        <f t="shared" si="328"/>
        <v>-3.4149481879194109E-2</v>
      </c>
      <c r="BU31">
        <f t="shared" si="329"/>
        <v>-3.5010162449506228E-2</v>
      </c>
      <c r="BV31">
        <f t="shared" si="330"/>
        <v>-3.58261935148428E-2</v>
      </c>
      <c r="BW31">
        <f t="shared" si="331"/>
        <v>-3.6595378533976326E-2</v>
      </c>
      <c r="BX31">
        <f t="shared" si="332"/>
        <v>-3.7314981251112891E-2</v>
      </c>
      <c r="BY31">
        <f t="shared" si="333"/>
        <v>-3.7987362592462978E-2</v>
      </c>
      <c r="BZ31">
        <f t="shared" si="334"/>
        <v>-3.8614708353415628E-2</v>
      </c>
      <c r="CA31">
        <f t="shared" si="335"/>
        <v>-3.9199048672600711E-2</v>
      </c>
      <c r="CB31">
        <f t="shared" si="336"/>
        <v>-3.9742275218260383E-2</v>
      </c>
      <c r="CC31">
        <f t="shared" si="337"/>
        <v>-4.0246156349395427E-2</v>
      </c>
      <c r="CD31">
        <f t="shared" si="338"/>
        <v>-4.0712350481784509E-2</v>
      </c>
      <c r="CE31">
        <f t="shared" si="339"/>
        <v>-4.1142417861448469E-2</v>
      </c>
      <c r="CF31">
        <f t="shared" si="340"/>
        <v>-4.1537830924586266E-2</v>
      </c>
      <c r="CG31">
        <f t="shared" si="341"/>
        <v>-4.1899983402740662E-2</v>
      </c>
      <c r="CH31">
        <f t="shared" si="342"/>
        <v>-4.2230198314395076E-2</v>
      </c>
      <c r="CI31">
        <f t="shared" si="343"/>
        <v>-4.2512704403664774E-2</v>
      </c>
      <c r="CJ31">
        <f t="shared" si="344"/>
        <v>-4.275089400877001E-2</v>
      </c>
      <c r="CK31">
        <f t="shared" si="345"/>
        <v>-4.2947890942129988E-2</v>
      </c>
      <c r="CL31">
        <f t="shared" si="346"/>
        <v>-4.3106782528747237E-2</v>
      </c>
      <c r="CM31">
        <f t="shared" si="347"/>
        <v>-4.3230400899170365E-2</v>
      </c>
      <c r="CN31">
        <f t="shared" si="348"/>
        <v>-4.3321347749601474E-2</v>
      </c>
      <c r="CO31">
        <f t="shared" si="349"/>
        <v>-4.3382016334151265E-2</v>
      </c>
      <c r="CP31">
        <f t="shared" si="350"/>
        <v>-4.34146110382789E-2</v>
      </c>
      <c r="CQ31">
        <f t="shared" si="351"/>
        <v>-4.3421164833582951E-2</v>
      </c>
      <c r="CR31">
        <f t="shared" si="352"/>
        <v>-4.3403554872740432E-2</v>
      </c>
      <c r="CS31">
        <f t="shared" si="353"/>
        <v>-4.3363516448275255E-2</v>
      </c>
      <c r="CT31">
        <f t="shared" si="354"/>
        <v>-4.3302655508948018E-2</v>
      </c>
      <c r="CU31">
        <f t="shared" si="355"/>
        <v>-4.3222459902052326E-2</v>
      </c>
      <c r="CV31">
        <f t="shared" si="356"/>
        <v>-4.3124309488080527E-2</v>
      </c>
      <c r="CW31">
        <f t="shared" si="357"/>
        <v>-4.3009485255506776E-2</v>
      </c>
      <c r="CX31">
        <f t="shared" si="358"/>
        <v>-4.2879177547345285E-2</v>
      </c>
      <c r="CY31">
        <f t="shared" si="359"/>
        <v>-4.2734493497278384E-2</v>
      </c>
      <c r="CZ31">
        <f t="shared" si="360"/>
        <v>-4.2576463761175645E-2</v>
      </c>
      <c r="DA31">
        <f t="shared" si="361"/>
        <v>-4.2406048619463829E-2</v>
      </c>
      <c r="DB31">
        <f t="shared" si="362"/>
        <v>-4.2224143516819149E-2</v>
      </c>
      <c r="DC31">
        <f t="shared" si="363"/>
        <v>-4.2031584097843459E-2</v>
      </c>
      <c r="DD31">
        <f t="shared" si="364"/>
        <v>-4.1829150790583206E-2</v>
      </c>
      <c r="DE31">
        <f t="shared" si="365"/>
        <v>-4.1617572983815729E-2</v>
      </c>
      <c r="DF31">
        <f t="shared" si="366"/>
        <v>-4.1397532838838923E-2</v>
      </c>
      <c r="DG31">
        <f t="shared" si="367"/>
        <v>-4.1169668771956672E-2</v>
      </c>
      <c r="DH31">
        <f t="shared" si="368"/>
        <v>-4.0934578639866284E-2</v>
      </c>
      <c r="DI31">
        <f t="shared" si="369"/>
        <v>-4.0692822656650064E-2</v>
      </c>
      <c r="DJ31">
        <f t="shared" si="370"/>
        <v>-4.0444926067989259E-2</v>
      </c>
      <c r="DK31">
        <f t="shared" si="371"/>
        <v>-4.0191381605497789E-2</v>
      </c>
      <c r="DL31">
        <f t="shared" si="372"/>
        <v>-3.9932651741671668E-2</v>
      </c>
      <c r="DM31">
        <f t="shared" si="373"/>
        <v>-3.9669170763823716E-2</v>
      </c>
      <c r="DN31">
        <f t="shared" si="374"/>
        <v>-3.9401346683490955E-2</v>
      </c>
      <c r="DO31">
        <f t="shared" si="375"/>
        <v>-3.9129562996130698E-2</v>
      </c>
      <c r="DP31">
        <f t="shared" si="376"/>
        <v>-3.8854180304436908E-2</v>
      </c>
      <c r="DQ31">
        <f t="shared" si="377"/>
        <v>-3.857553781728703E-2</v>
      </c>
      <c r="DR31">
        <f t="shared" si="378"/>
        <v>-3.8293954735152472E-2</v>
      </c>
      <c r="DS31">
        <f t="shared" si="379"/>
        <v>-3.8009731531755117E-2</v>
      </c>
      <c r="DT31">
        <f t="shared" si="380"/>
        <v>-3.7723151140813989E-2</v>
      </c>
      <c r="DU31">
        <f t="shared" si="381"/>
        <v>-3.7434480055886218E-2</v>
      </c>
      <c r="DV31">
        <f t="shared" si="382"/>
        <v>-3.714396935055489E-2</v>
      </c>
      <c r="DW31">
        <f t="shared" si="383"/>
        <v>-3.6851855625541288E-2</v>
      </c>
      <c r="DX31">
        <f t="shared" si="384"/>
        <v>-3.6558361888714044E-2</v>
      </c>
      <c r="DY31">
        <f t="shared" si="385"/>
        <v>-3.6263698373423116E-2</v>
      </c>
      <c r="DZ31">
        <f t="shared" si="386"/>
        <v>-3.5968063300096428E-2</v>
      </c>
      <c r="EA31">
        <f t="shared" si="387"/>
        <v>-3.5671643585596415E-2</v>
      </c>
      <c r="EB31">
        <f t="shared" si="388"/>
        <v>-3.5374615504434728E-2</v>
      </c>
      <c r="EC31">
        <f t="shared" si="389"/>
        <v>-3.5077145305585068E-2</v>
      </c>
      <c r="ED31">
        <f t="shared" si="390"/>
        <v>-3.4779389788308517E-2</v>
      </c>
      <c r="EE31">
        <f t="shared" si="391"/>
        <v>-3.4481496840112556E-2</v>
      </c>
      <c r="EF31">
        <f t="shared" si="392"/>
        <v>-3.4183605939698727E-2</v>
      </c>
      <c r="EG31">
        <f t="shared" si="393"/>
        <v>-3.3885848627512823E-2</v>
      </c>
      <c r="EH31">
        <f t="shared" si="394"/>
        <v>-3.3588348946292833E-2</v>
      </c>
      <c r="EI31">
        <f t="shared" si="395"/>
        <v>-3.3291223853811183E-2</v>
      </c>
      <c r="EJ31">
        <f t="shared" si="396"/>
        <v>-3.2994583609827301E-2</v>
      </c>
      <c r="EK31">
        <f t="shared" si="397"/>
        <v>-3.269853213910253E-2</v>
      </c>
      <c r="EL31">
        <f t="shared" si="398"/>
        <v>-3.2403167372179589E-2</v>
      </c>
      <c r="EM31">
        <f t="shared" si="399"/>
        <v>-3.2108581565492907E-2</v>
      </c>
      <c r="EN31">
        <f t="shared" si="400"/>
        <v>-3.1814861602251734E-2</v>
      </c>
      <c r="EO31">
        <f t="shared" si="401"/>
        <v>-3.1522089275424693E-2</v>
      </c>
      <c r="EP31">
        <f t="shared" si="402"/>
        <v>-3.1230341554050661E-2</v>
      </c>
      <c r="EQ31">
        <f t="shared" si="403"/>
        <v>-3.0939690834006727E-2</v>
      </c>
      <c r="ER31">
        <f t="shared" si="404"/>
        <v>-3.0650205174276746E-2</v>
      </c>
      <c r="ES31">
        <f t="shared" si="405"/>
        <v>-3.0361948519685201E-2</v>
      </c>
      <c r="ET31">
        <f t="shared" si="406"/>
        <v>-3.007498091098838E-2</v>
      </c>
      <c r="EU31">
        <f t="shared" si="407"/>
        <v>-2.9789358683148158E-2</v>
      </c>
      <c r="EV31">
        <f t="shared" si="408"/>
        <v>-2.9505134652552768E-2</v>
      </c>
      <c r="EW31">
        <f t="shared" si="409"/>
        <v>-2.922235829389274E-2</v>
      </c>
      <c r="EX31">
        <f t="shared" si="410"/>
        <v>-2.8941075907348783E-2</v>
      </c>
      <c r="EY31">
        <f t="shared" si="411"/>
        <v>-2.8661330776700911E-2</v>
      </c>
      <c r="EZ31">
        <f t="shared" si="412"/>
        <v>-2.8383163318924608E-2</v>
      </c>
      <c r="FA31">
        <f t="shared" si="413"/>
        <v>-2.8106611225799726E-2</v>
      </c>
      <c r="FB31">
        <f t="shared" si="414"/>
        <v>-2.7831709598020726E-2</v>
      </c>
      <c r="FC31">
        <f t="shared" si="415"/>
        <v>-2.755849107226303E-2</v>
      </c>
      <c r="FD31">
        <f t="shared" si="416"/>
        <v>-2.7286985941628615E-2</v>
      </c>
      <c r="FE31">
        <f t="shared" si="417"/>
        <v>-2.7017222269865037E-2</v>
      </c>
      <c r="FF31">
        <f t="shared" si="418"/>
        <v>-2.6749225999725457E-2</v>
      </c>
      <c r="FG31">
        <f t="shared" si="419"/>
        <v>-2.6483021055812173E-2</v>
      </c>
      <c r="FH31">
        <f t="shared" si="420"/>
        <v>-2.6218629442223557E-2</v>
      </c>
      <c r="FI31">
        <f t="shared" si="421"/>
        <v>-2.5956071335302911E-2</v>
      </c>
      <c r="FJ31">
        <f t="shared" si="422"/>
        <v>-2.5695365171768365E-2</v>
      </c>
      <c r="FK31">
        <f t="shared" si="423"/>
        <v>-2.5436527732484438E-2</v>
      </c>
      <c r="FL31">
        <f t="shared" si="424"/>
        <v>-2.5179574222119434E-2</v>
      </c>
      <c r="FM31">
        <f t="shared" si="425"/>
        <v>-2.4924518344916925E-2</v>
      </c>
      <c r="FN31">
        <f t="shared" si="426"/>
        <v>-2.4671372376795158E-2</v>
      </c>
      <c r="FO31">
        <f t="shared" si="427"/>
        <v>-2.4420147233974902E-2</v>
      </c>
      <c r="FP31">
        <f t="shared" si="428"/>
        <v>-2.4170852538323451E-2</v>
      </c>
      <c r="FQ31">
        <f t="shared" si="429"/>
        <v>-2.3923496679591181E-2</v>
      </c>
      <c r="FR31">
        <f t="shared" si="430"/>
        <v>-2.3678086874705982E-2</v>
      </c>
      <c r="FS31">
        <f t="shared" si="431"/>
        <v>-2.3434629224281033E-2</v>
      </c>
      <c r="FT31">
        <f t="shared" si="432"/>
        <v>-2.3193128766481792E-2</v>
      </c>
      <c r="FU31">
        <f t="shared" si="433"/>
        <v>-2.2953589528389513E-2</v>
      </c>
      <c r="FV31">
        <f t="shared" si="434"/>
        <v>-2.2716014574990364E-2</v>
      </c>
      <c r="FW31">
        <f t="shared" si="435"/>
        <v>-2.2480406055911652E-2</v>
      </c>
      <c r="FX31">
        <f t="shared" si="436"/>
        <v>-2.2246765250019486E-2</v>
      </c>
      <c r="FY31">
        <f t="shared" si="437"/>
        <v>-2.2015092607985766E-2</v>
      </c>
      <c r="FZ31">
        <f t="shared" si="438"/>
        <v>-2.1785387792925923E-2</v>
      </c>
      <c r="GA31">
        <f t="shared" si="439"/>
        <v>-2.1557649719203341E-2</v>
      </c>
      <c r="GB31">
        <f t="shared" si="440"/>
        <v>-2.1331876589490744E-2</v>
      </c>
      <c r="GC31">
        <f t="shared" si="441"/>
        <v>-2.1108065930173874E-2</v>
      </c>
      <c r="GD31">
        <f t="shared" si="442"/>
        <v>-2.0886214625178041E-2</v>
      </c>
      <c r="GE31">
        <f t="shared" si="443"/>
        <v>-2.0666318948293627E-2</v>
      </c>
      <c r="GF31">
        <f t="shared" si="444"/>
        <v>-2.0448374594072512E-2</v>
      </c>
      <c r="GG31">
        <f t="shared" si="445"/>
        <v>-2.0232376707363438E-2</v>
      </c>
      <c r="GH31">
        <f t="shared" si="446"/>
        <v>-2.0018319911550723E-2</v>
      </c>
      <c r="GI31">
        <f t="shared" si="447"/>
        <v>-1.9806198335557159E-2</v>
      </c>
      <c r="GJ31">
        <f t="shared" si="448"/>
        <v>-1.9596005639668894E-2</v>
      </c>
      <c r="GK31">
        <f t="shared" si="449"/>
        <v>-1.938773504023689E-2</v>
      </c>
      <c r="GL31">
        <f t="shared" si="450"/>
        <v>-1.9181379333306735E-2</v>
      </c>
      <c r="GM31">
        <f t="shared" si="451"/>
        <v>-1.8976930917225993E-2</v>
      </c>
      <c r="GN31">
        <f t="shared" si="452"/>
        <v>-1.8774381814275543E-2</v>
      </c>
      <c r="GO31">
        <f t="shared" si="453"/>
        <v>-1.8573723691369233E-2</v>
      </c>
      <c r="GP31">
        <f t="shared" si="454"/>
        <v>-1.8374947879863747E-2</v>
      </c>
      <c r="GQ31">
        <f t="shared" si="455"/>
        <v>-1.8178045394518449E-2</v>
      </c>
      <c r="GR31">
        <f t="shared" si="456"/>
        <v>-1.7983006951643201E-2</v>
      </c>
      <c r="GS31">
        <f t="shared" si="457"/>
        <v>-1.7789822986469965E-2</v>
      </c>
      <c r="GT31">
        <f t="shared" si="458"/>
        <v>-1.7598483669782471E-2</v>
      </c>
      <c r="GU31">
        <f t="shared" si="459"/>
        <v>-1.7408978923836454E-2</v>
      </c>
      <c r="GV31">
        <f t="shared" si="460"/>
        <v>-1.7221298437601333E-2</v>
      </c>
      <c r="GW31">
        <f t="shared" si="461"/>
        <v>-1.7035431681352818E-2</v>
      </c>
      <c r="GX31">
        <f t="shared" si="462"/>
        <v>-1.6851367920644494E-2</v>
      </c>
      <c r="GY31">
        <f t="shared" si="463"/>
        <v>-1.6669096229684939E-2</v>
      </c>
      <c r="GZ31">
        <f t="shared" si="464"/>
        <v>-1.6488605504145989E-2</v>
      </c>
      <c r="HA31">
        <f t="shared" si="465"/>
        <v>-1.6309884473426167E-2</v>
      </c>
      <c r="HB31">
        <f t="shared" si="466"/>
        <v>-1.6132921712392518E-2</v>
      </c>
      <c r="HC31">
        <f t="shared" si="467"/>
        <v>-1.5957705652622806E-2</v>
      </c>
      <c r="HD31">
        <f t="shared" si="468"/>
        <v>-1.5784224593169055E-2</v>
      </c>
      <c r="HE31">
        <f t="shared" si="469"/>
        <v>-1.5612466710862477E-2</v>
      </c>
      <c r="HF31">
        <f t="shared" si="470"/>
        <v>-1.5442420070178941E-2</v>
      </c>
      <c r="HG31">
        <f t="shared" si="471"/>
        <v>-1.5274072632683208E-2</v>
      </c>
      <c r="HH31">
        <f t="shared" si="472"/>
        <v>-1.5107412266069287E-2</v>
      </c>
      <c r="HI31">
        <f t="shared" si="473"/>
        <v>-1.4942426752813714E-2</v>
      </c>
      <c r="HJ31">
        <f t="shared" si="474"/>
        <v>-1.4779103798457493E-2</v>
      </c>
      <c r="HK31">
        <f t="shared" si="475"/>
        <v>-1.4617431039532031E-2</v>
      </c>
      <c r="HL31">
        <f t="shared" si="476"/>
        <v>-1.4457396051143451E-2</v>
      </c>
      <c r="HM31">
        <f t="shared" si="477"/>
        <v>-1.4298986354229326E-2</v>
      </c>
      <c r="HN31">
        <f t="shared" si="478"/>
        <v>-1.4142189422500992E-2</v>
      </c>
      <c r="HO31">
        <f t="shared" si="479"/>
        <v>-1.39869926890842E-2</v>
      </c>
      <c r="HP31">
        <f t="shared" si="480"/>
        <v>-1.3833383552870272E-2</v>
      </c>
      <c r="HQ31">
        <f t="shared" si="481"/>
        <v>-1.3681349384589359E-2</v>
      </c>
      <c r="HR31">
        <f t="shared" si="482"/>
        <v>-1.353087753261697E-2</v>
      </c>
      <c r="HS31">
        <f t="shared" si="483"/>
        <v>-1.3381955328524407E-2</v>
      </c>
      <c r="HT31">
        <f t="shared" si="484"/>
        <v>-1.3234570092383357E-2</v>
      </c>
      <c r="HU31">
        <f t="shared" si="485"/>
        <v>-1.3088709137834382E-2</v>
      </c>
      <c r="HV31">
        <f t="shared" si="486"/>
        <v>-1.2944359776928654E-2</v>
      </c>
      <c r="HW31">
        <f t="shared" si="487"/>
        <v>-1.2801509324752052E-2</v>
      </c>
      <c r="HX31">
        <f t="shared" si="488"/>
        <v>-1.2660145103840028E-2</v>
      </c>
      <c r="HY31">
        <f t="shared" si="489"/>
        <v>-1.2520254448391633E-2</v>
      </c>
      <c r="HZ31">
        <f t="shared" si="490"/>
        <v>-1.2381824708290575E-2</v>
      </c>
      <c r="IA31">
        <f t="shared" si="491"/>
        <v>-1.2244843252940911E-2</v>
      </c>
      <c r="IB31">
        <f t="shared" si="492"/>
        <v>-1.2109297474924572E-2</v>
      </c>
      <c r="IC31">
        <f t="shared" si="493"/>
        <v>-1.1975174793487824E-2</v>
      </c>
      <c r="ID31">
        <f t="shared" si="494"/>
        <v>-1.1842462657863258E-2</v>
      </c>
      <c r="IE31">
        <f t="shared" si="495"/>
        <v>-1.1711148550433804E-2</v>
      </c>
      <c r="IF31">
        <f t="shared" si="496"/>
        <v>-1.1581219989744873E-2</v>
      </c>
      <c r="IG31">
        <f t="shared" si="497"/>
        <v>-1.1452664533370635E-2</v>
      </c>
      <c r="IH31">
        <f t="shared" si="498"/>
        <v>-1.1325469780640023E-2</v>
      </c>
      <c r="II31">
        <f t="shared" si="499"/>
        <v>-1.1199623375228021E-2</v>
      </c>
      <c r="IJ31">
        <f t="shared" si="500"/>
        <v>-1.1075113007617371E-2</v>
      </c>
      <c r="IK31">
        <f t="shared" si="501"/>
        <v>-1.095192641743585E-2</v>
      </c>
      <c r="IL31">
        <f t="shared" si="502"/>
        <v>-1.0830051395673867E-2</v>
      </c>
      <c r="IM31">
        <f t="shared" si="503"/>
        <v>-1.0709475786787067E-2</v>
      </c>
      <c r="IN31">
        <f t="shared" si="504"/>
        <v>-1.0590187490688427E-2</v>
      </c>
      <c r="IO31">
        <f t="shared" si="505"/>
        <v>-1.0472174464634082E-2</v>
      </c>
      <c r="IP31">
        <f t="shared" si="506"/>
        <v>-1.0355424725007082E-2</v>
      </c>
      <c r="IQ31">
        <f t="shared" si="507"/>
        <v>-1.0239926349002984E-2</v>
      </c>
      <c r="IR31">
        <f t="shared" si="508"/>
        <v>-1.0125667476221128E-2</v>
      </c>
      <c r="IS31">
        <f t="shared" si="509"/>
        <v>-1.0012636310165263E-2</v>
      </c>
      <c r="IT31">
        <f t="shared" si="510"/>
        <v>-9.9008211196570332E-3</v>
      </c>
      <c r="IU31">
        <f t="shared" si="511"/>
        <v>-9.7902102401657455E-3</v>
      </c>
      <c r="IV31">
        <f t="shared" si="512"/>
        <v>-9.6807920750576516E-3</v>
      </c>
    </row>
    <row r="32" spans="1:256" x14ac:dyDescent="0.2">
      <c r="A32" t="s">
        <v>503</v>
      </c>
      <c r="B32">
        <f t="shared" si="258"/>
        <v>4.426391601562496E-3</v>
      </c>
      <c r="C32">
        <f t="shared" si="259"/>
        <v>1.0428984069824222E-2</v>
      </c>
      <c r="D32">
        <f t="shared" si="260"/>
        <v>1.0298621768951421E-2</v>
      </c>
      <c r="E32">
        <f t="shared" si="261"/>
        <v>1.0169888996839526E-2</v>
      </c>
      <c r="F32">
        <f t="shared" si="262"/>
        <v>1.0042765384379038E-2</v>
      </c>
      <c r="G32">
        <f t="shared" si="263"/>
        <v>9.9172308170742962E-3</v>
      </c>
      <c r="H32">
        <f t="shared" si="264"/>
        <v>9.7932654318608654E-3</v>
      </c>
      <c r="I32">
        <f t="shared" si="265"/>
        <v>9.6708496139626069E-3</v>
      </c>
      <c r="J32">
        <f t="shared" si="266"/>
        <v>9.5499639937880691E-3</v>
      </c>
      <c r="K32">
        <f t="shared" si="267"/>
        <v>9.4305894438657216E-3</v>
      </c>
      <c r="L32">
        <f t="shared" si="268"/>
        <v>9.3127070758174061E-3</v>
      </c>
      <c r="M32">
        <f t="shared" si="269"/>
        <v>9.1962982373696937E-3</v>
      </c>
      <c r="N32">
        <f t="shared" si="270"/>
        <v>9.0813445094025669E-3</v>
      </c>
      <c r="O32">
        <f t="shared" si="271"/>
        <v>8.9678277030350358E-3</v>
      </c>
      <c r="P32">
        <f t="shared" si="272"/>
        <v>8.8557298567470966E-3</v>
      </c>
      <c r="Q32">
        <f t="shared" si="273"/>
        <v>8.7450332335377579E-3</v>
      </c>
      <c r="R32">
        <f t="shared" si="274"/>
        <v>8.6357203181185345E-3</v>
      </c>
      <c r="S32">
        <f t="shared" si="275"/>
        <v>8.5277738141420478E-3</v>
      </c>
      <c r="T32">
        <f t="shared" si="276"/>
        <v>8.421176641465267E-3</v>
      </c>
      <c r="U32">
        <f t="shared" si="277"/>
        <v>8.3159119334469504E-3</v>
      </c>
      <c r="V32">
        <f t="shared" si="278"/>
        <v>8.2119630342788689E-3</v>
      </c>
      <c r="W32">
        <f t="shared" si="279"/>
        <v>8.1093134963503791E-3</v>
      </c>
      <c r="X32">
        <f t="shared" si="280"/>
        <v>8.0079470776459934E-3</v>
      </c>
      <c r="Y32">
        <f t="shared" si="281"/>
        <v>7.9078477391754214E-3</v>
      </c>
      <c r="Z32">
        <f t="shared" si="282"/>
        <v>7.8089996424357318E-3</v>
      </c>
      <c r="AA32">
        <f t="shared" si="283"/>
        <v>7.711387146905291E-3</v>
      </c>
      <c r="AB32">
        <f t="shared" si="284"/>
        <v>7.6149948075689752E-3</v>
      </c>
      <c r="AC32">
        <f t="shared" si="285"/>
        <v>7.5198073724743629E-3</v>
      </c>
      <c r="AD32">
        <f t="shared" si="286"/>
        <v>7.4258097803184377E-3</v>
      </c>
      <c r="AE32">
        <f t="shared" si="287"/>
        <v>7.3329871580644522E-3</v>
      </c>
      <c r="AF32">
        <f t="shared" si="288"/>
        <v>7.241324818588646E-3</v>
      </c>
      <c r="AG32">
        <f t="shared" si="289"/>
        <v>7.1508082583562893E-3</v>
      </c>
      <c r="AH32">
        <f t="shared" si="290"/>
        <v>-1.628776895806926E-2</v>
      </c>
      <c r="AI32">
        <f t="shared" si="291"/>
        <v>-1.6460146217443915E-2</v>
      </c>
      <c r="AJ32">
        <f t="shared" si="292"/>
        <v>-1.662566908143448E-2</v>
      </c>
      <c r="AK32">
        <f t="shared" si="293"/>
        <v>-1.6784481975978836E-2</v>
      </c>
      <c r="AL32">
        <f t="shared" si="294"/>
        <v>-1.6936726787365596E-2</v>
      </c>
      <c r="AM32">
        <f t="shared" si="295"/>
        <v>-1.7082542903158936E-2</v>
      </c>
      <c r="AN32">
        <f t="shared" si="296"/>
        <v>-1.722206725249692E-2</v>
      </c>
      <c r="AO32">
        <f t="shared" si="297"/>
        <v>-1.7355434345772823E-2</v>
      </c>
      <c r="AP32">
        <f t="shared" si="298"/>
        <v>8.7458586241483394E-3</v>
      </c>
      <c r="AQ32">
        <f t="shared" si="299"/>
        <v>8.6365353913464889E-3</v>
      </c>
      <c r="AR32">
        <f t="shared" si="300"/>
        <v>8.5285786989546582E-3</v>
      </c>
      <c r="AS32">
        <f t="shared" si="301"/>
        <v>8.4219714652177258E-3</v>
      </c>
      <c r="AT32">
        <f t="shared" si="302"/>
        <v>8.3166968219025028E-3</v>
      </c>
      <c r="AU32">
        <f t="shared" si="303"/>
        <v>8.212738111628726E-3</v>
      </c>
      <c r="AV32">
        <f t="shared" si="304"/>
        <v>8.110078885233362E-3</v>
      </c>
      <c r="AW32">
        <f t="shared" si="305"/>
        <v>8.008702899167941E-3</v>
      </c>
      <c r="AX32">
        <f t="shared" si="306"/>
        <v>1.1980087355634606E-3</v>
      </c>
      <c r="AY32">
        <f t="shared" si="307"/>
        <v>1.5457954731880942E-3</v>
      </c>
      <c r="AZ32">
        <f t="shared" si="308"/>
        <v>1.884700353507207E-3</v>
      </c>
      <c r="BA32">
        <f t="shared" si="309"/>
        <v>2.2148910812756608E-3</v>
      </c>
      <c r="BB32">
        <f t="shared" si="310"/>
        <v>2.5365325564196462E-3</v>
      </c>
      <c r="BC32">
        <f t="shared" si="311"/>
        <v>2.8497869179536115E-3</v>
      </c>
      <c r="BD32">
        <f t="shared" si="312"/>
        <v>3.1548135872372595E-3</v>
      </c>
      <c r="BE32">
        <f t="shared" si="313"/>
        <v>3.4517693105828974E-3</v>
      </c>
      <c r="BF32">
        <f t="shared" si="314"/>
        <v>3.740808201221879E-3</v>
      </c>
      <c r="BG32">
        <f t="shared" si="315"/>
        <v>4.0220817806400962E-3</v>
      </c>
      <c r="BH32">
        <f t="shared" si="316"/>
        <v>4.2957390192914337E-3</v>
      </c>
      <c r="BI32">
        <f t="shared" si="317"/>
        <v>4.5619263766982776E-3</v>
      </c>
      <c r="BJ32">
        <f t="shared" si="318"/>
        <v>4.8207878409481488E-3</v>
      </c>
      <c r="BK32">
        <f t="shared" si="319"/>
        <v>5.0724649675954357E-3</v>
      </c>
      <c r="BL32">
        <f t="shared" si="320"/>
        <v>5.317096917976394E-3</v>
      </c>
      <c r="BM32">
        <f t="shared" si="321"/>
        <v>5.5548204969466334E-3</v>
      </c>
      <c r="BN32">
        <f t="shared" si="322"/>
        <v>5.785770190049189E-3</v>
      </c>
      <c r="BO32">
        <f t="shared" si="323"/>
        <v>6.010078200121549E-3</v>
      </c>
      <c r="BP32">
        <f t="shared" si="324"/>
        <v>6.2278744833498823E-3</v>
      </c>
      <c r="BQ32">
        <f t="shared" si="325"/>
        <v>6.4392867847787531E-3</v>
      </c>
      <c r="BR32">
        <f t="shared" si="326"/>
        <v>6.6444406732838694E-3</v>
      </c>
      <c r="BS32">
        <f t="shared" si="327"/>
        <v>6.81697568857047E-3</v>
      </c>
      <c r="BT32">
        <f t="shared" si="328"/>
        <v>6.7317634924633383E-3</v>
      </c>
      <c r="BU32">
        <f t="shared" si="329"/>
        <v>6.647616448807547E-3</v>
      </c>
      <c r="BV32">
        <f t="shared" si="330"/>
        <v>6.564521243197452E-3</v>
      </c>
      <c r="BW32">
        <f t="shared" si="331"/>
        <v>6.4824647276574884E-3</v>
      </c>
      <c r="BX32">
        <f t="shared" si="332"/>
        <v>6.4014339185617716E-3</v>
      </c>
      <c r="BY32">
        <f t="shared" si="333"/>
        <v>6.3214159945797488E-3</v>
      </c>
      <c r="BZ32">
        <f t="shared" si="334"/>
        <v>6.2423982946474997E-3</v>
      </c>
      <c r="CA32">
        <f t="shared" si="335"/>
        <v>6.1643683159644082E-3</v>
      </c>
      <c r="CB32">
        <f t="shared" si="336"/>
        <v>6.087313712014852E-3</v>
      </c>
      <c r="CC32">
        <f t="shared" si="337"/>
        <v>6.0112222906146704E-3</v>
      </c>
      <c r="CD32">
        <f t="shared" si="338"/>
        <v>5.9360820119819914E-3</v>
      </c>
      <c r="CE32">
        <f t="shared" si="339"/>
        <v>5.861880986832213E-3</v>
      </c>
      <c r="CF32">
        <f t="shared" si="340"/>
        <v>5.7886074744968093E-3</v>
      </c>
      <c r="CG32">
        <f t="shared" si="341"/>
        <v>5.7162498810656047E-3</v>
      </c>
      <c r="CH32">
        <f t="shared" si="342"/>
        <v>5.6447967575522836E-3</v>
      </c>
      <c r="CI32">
        <f t="shared" si="343"/>
        <v>5.5742367980828765E-3</v>
      </c>
      <c r="CJ32">
        <f t="shared" si="344"/>
        <v>5.5045588381068431E-3</v>
      </c>
      <c r="CK32">
        <f t="shared" si="345"/>
        <v>5.4357518526305104E-3</v>
      </c>
      <c r="CL32">
        <f t="shared" si="346"/>
        <v>5.3678049544726323E-3</v>
      </c>
      <c r="CM32">
        <f t="shared" si="347"/>
        <v>5.3007073925417257E-3</v>
      </c>
      <c r="CN32">
        <f t="shared" si="348"/>
        <v>5.2344485501349515E-3</v>
      </c>
      <c r="CO32">
        <f t="shared" si="349"/>
        <v>5.1690179432582698E-3</v>
      </c>
      <c r="CP32">
        <f t="shared" si="350"/>
        <v>5.1044052189675448E-3</v>
      </c>
      <c r="CQ32">
        <f t="shared" si="351"/>
        <v>5.040600153730446E-3</v>
      </c>
      <c r="CR32">
        <f t="shared" si="352"/>
        <v>4.9775926518088156E-3</v>
      </c>
      <c r="CS32">
        <f t="shared" si="353"/>
        <v>4.9153727436612058E-3</v>
      </c>
      <c r="CT32">
        <f t="shared" si="354"/>
        <v>4.8539305843654399E-3</v>
      </c>
      <c r="CU32">
        <f t="shared" si="355"/>
        <v>4.793256452060868E-3</v>
      </c>
      <c r="CV32">
        <f t="shared" si="356"/>
        <v>4.7333407464101081E-3</v>
      </c>
      <c r="CW32">
        <f t="shared" si="357"/>
        <v>4.674173987079977E-3</v>
      </c>
      <c r="CX32">
        <f t="shared" si="358"/>
        <v>4.6157468122414724E-3</v>
      </c>
      <c r="CY32">
        <f t="shared" si="359"/>
        <v>4.5580499770884516E-3</v>
      </c>
      <c r="CZ32">
        <f t="shared" si="360"/>
        <v>4.5010743523748453E-3</v>
      </c>
      <c r="DA32">
        <f t="shared" si="361"/>
        <v>4.4448109229701547E-3</v>
      </c>
      <c r="DB32">
        <f t="shared" si="362"/>
        <v>4.3892507864330297E-3</v>
      </c>
      <c r="DC32">
        <f t="shared" si="363"/>
        <v>4.3343851516026155E-3</v>
      </c>
      <c r="DD32">
        <f t="shared" si="364"/>
        <v>4.2802053372075878E-3</v>
      </c>
      <c r="DE32">
        <f t="shared" si="365"/>
        <v>4.2267027704924968E-3</v>
      </c>
      <c r="DF32">
        <f t="shared" si="366"/>
        <v>4.1738689858613395E-3</v>
      </c>
      <c r="DG32">
        <f t="shared" si="367"/>
        <v>4.1216956235380683E-3</v>
      </c>
      <c r="DH32">
        <f t="shared" si="368"/>
        <v>4.0701744282438442E-3</v>
      </c>
      <c r="DI32">
        <f t="shared" si="369"/>
        <v>4.0192972478907962E-3</v>
      </c>
      <c r="DJ32">
        <f t="shared" si="370"/>
        <v>3.9690560322921623E-3</v>
      </c>
      <c r="DK32">
        <f t="shared" si="371"/>
        <v>3.919442831888509E-3</v>
      </c>
      <c r="DL32">
        <f t="shared" si="372"/>
        <v>3.8704497964899055E-3</v>
      </c>
      <c r="DM32">
        <f t="shared" si="373"/>
        <v>3.8220691740337822E-3</v>
      </c>
      <c r="DN32">
        <f t="shared" si="374"/>
        <v>3.7742933093583564E-3</v>
      </c>
      <c r="DO32">
        <f t="shared" si="375"/>
        <v>3.7271146429913803E-3</v>
      </c>
      <c r="DP32">
        <f t="shared" si="376"/>
        <v>3.6805257099539858E-3</v>
      </c>
      <c r="DQ32">
        <f t="shared" si="377"/>
        <v>3.6345191385795616E-3</v>
      </c>
      <c r="DR32">
        <f t="shared" si="378"/>
        <v>3.5890876493473224E-3</v>
      </c>
      <c r="DS32">
        <f t="shared" si="379"/>
        <v>3.5442240537304826E-3</v>
      </c>
      <c r="DT32">
        <f t="shared" si="380"/>
        <v>3.4999212530588465E-3</v>
      </c>
      <c r="DU32">
        <f t="shared" si="381"/>
        <v>3.4561722373956162E-3</v>
      </c>
      <c r="DV32">
        <f t="shared" si="382"/>
        <v>3.4129700844281684E-3</v>
      </c>
      <c r="DW32">
        <f t="shared" si="383"/>
        <v>3.3703079583728202E-3</v>
      </c>
      <c r="DX32">
        <f t="shared" si="384"/>
        <v>3.3281791088931589E-3</v>
      </c>
      <c r="DY32">
        <f t="shared" si="385"/>
        <v>3.2865768700319985E-3</v>
      </c>
      <c r="DZ32">
        <f t="shared" si="386"/>
        <v>3.2454946591566002E-3</v>
      </c>
      <c r="EA32">
        <f t="shared" si="387"/>
        <v>3.2049259759171387E-3</v>
      </c>
      <c r="EB32">
        <f t="shared" si="388"/>
        <v>3.1648644012181705E-3</v>
      </c>
      <c r="EC32">
        <f t="shared" si="389"/>
        <v>3.1253035962029441E-3</v>
      </c>
      <c r="ED32">
        <f t="shared" si="390"/>
        <v>3.0862373012504052E-3</v>
      </c>
      <c r="EE32">
        <f t="shared" si="391"/>
        <v>3.0476593349847759E-3</v>
      </c>
      <c r="EF32">
        <f t="shared" si="392"/>
        <v>3.0095635932974709E-3</v>
      </c>
      <c r="EG32">
        <f t="shared" si="393"/>
        <v>2.9719440483812476E-3</v>
      </c>
      <c r="EH32">
        <f t="shared" si="394"/>
        <v>2.9347947477764815E-3</v>
      </c>
      <c r="EI32">
        <f t="shared" si="395"/>
        <v>2.8981098134292726E-3</v>
      </c>
      <c r="EJ32">
        <f t="shared" si="396"/>
        <v>2.8618834407614035E-3</v>
      </c>
      <c r="EK32">
        <f t="shared" si="397"/>
        <v>2.8261098977518826E-3</v>
      </c>
      <c r="EL32">
        <f t="shared" si="398"/>
        <v>2.7907835240299828E-3</v>
      </c>
      <c r="EM32">
        <f t="shared" si="399"/>
        <v>2.7558987299796112E-3</v>
      </c>
      <c r="EN32">
        <f t="shared" si="400"/>
        <v>2.7214499958548633E-3</v>
      </c>
      <c r="EO32">
        <f t="shared" si="401"/>
        <v>2.6874318709066759E-3</v>
      </c>
      <c r="EP32">
        <f t="shared" si="402"/>
        <v>2.6538389725203394E-3</v>
      </c>
      <c r="EQ32">
        <f t="shared" si="403"/>
        <v>2.6206659853638347E-3</v>
      </c>
      <c r="ER32">
        <f t="shared" si="404"/>
        <v>2.5879076605467843E-3</v>
      </c>
      <c r="ES32">
        <f t="shared" si="405"/>
        <v>2.5555588147899489E-3</v>
      </c>
      <c r="ET32">
        <f t="shared" si="406"/>
        <v>2.5236143296050728E-3</v>
      </c>
      <c r="EU32">
        <f t="shared" si="407"/>
        <v>2.4920691504850103E-3</v>
      </c>
      <c r="EV32">
        <f t="shared" si="408"/>
        <v>2.4609182861039525E-3</v>
      </c>
      <c r="EW32">
        <f t="shared" si="409"/>
        <v>2.4301568075276504E-3</v>
      </c>
      <c r="EX32">
        <f t="shared" si="410"/>
        <v>2.3997798474335585E-3</v>
      </c>
      <c r="EY32">
        <f t="shared" si="411"/>
        <v>2.3697825993406418E-3</v>
      </c>
      <c r="EZ32">
        <f t="shared" si="412"/>
        <v>2.3401603168488826E-3</v>
      </c>
      <c r="FA32">
        <f t="shared" si="413"/>
        <v>2.3109083128882713E-3</v>
      </c>
      <c r="FB32">
        <f t="shared" si="414"/>
        <v>2.282021958977165E-3</v>
      </c>
      <c r="FC32">
        <f t="shared" si="415"/>
        <v>2.2534966844899528E-3</v>
      </c>
      <c r="FD32">
        <f t="shared" si="416"/>
        <v>2.2253279759338329E-3</v>
      </c>
      <c r="FE32">
        <f t="shared" si="417"/>
        <v>2.197511376234662E-3</v>
      </c>
      <c r="FF32">
        <f t="shared" si="418"/>
        <v>2.170042484031731E-3</v>
      </c>
      <c r="FG32">
        <f t="shared" si="419"/>
        <v>2.1429169529813331E-3</v>
      </c>
      <c r="FH32">
        <f t="shared" si="420"/>
        <v>2.1161304910690681E-3</v>
      </c>
      <c r="FI32">
        <f t="shared" si="421"/>
        <v>2.0896788599306993E-3</v>
      </c>
      <c r="FJ32">
        <f t="shared" si="422"/>
        <v>2.0635578741815654E-3</v>
      </c>
      <c r="FK32">
        <f t="shared" si="423"/>
        <v>2.0377634007543001E-3</v>
      </c>
      <c r="FL32">
        <f t="shared" si="424"/>
        <v>2.0122913582448663E-3</v>
      </c>
      <c r="FM32">
        <f t="shared" si="425"/>
        <v>1.9871377162668071E-3</v>
      </c>
      <c r="FN32">
        <f t="shared" si="426"/>
        <v>1.9622984948134748E-3</v>
      </c>
      <c r="FO32">
        <f t="shared" si="427"/>
        <v>1.9377697636283053E-3</v>
      </c>
      <c r="FP32">
        <f t="shared" si="428"/>
        <v>1.9135476415829467E-3</v>
      </c>
      <c r="FQ32">
        <f t="shared" si="429"/>
        <v>1.8896282960631616E-3</v>
      </c>
      <c r="FR32">
        <f t="shared" si="430"/>
        <v>1.8660079423623687E-3</v>
      </c>
      <c r="FS32">
        <f t="shared" si="431"/>
        <v>1.8426828430828436E-3</v>
      </c>
      <c r="FT32">
        <f t="shared" si="432"/>
        <v>1.8196493075443132E-3</v>
      </c>
      <c r="FU32">
        <f t="shared" si="433"/>
        <v>1.7969036912000135E-3</v>
      </c>
      <c r="FV32">
        <f t="shared" si="434"/>
        <v>1.7744423950600164E-3</v>
      </c>
      <c r="FW32">
        <f t="shared" si="435"/>
        <v>1.7522618651217626E-3</v>
      </c>
      <c r="FX32">
        <f t="shared" si="436"/>
        <v>1.7303585918077458E-3</v>
      </c>
      <c r="FY32">
        <f t="shared" si="437"/>
        <v>1.7087291094101454E-3</v>
      </c>
      <c r="FZ32">
        <f t="shared" si="438"/>
        <v>1.6873699955425204E-3</v>
      </c>
      <c r="GA32">
        <f t="shared" si="439"/>
        <v>1.6662778705982429E-3</v>
      </c>
      <c r="GB32">
        <f t="shared" si="440"/>
        <v>1.6454493972157703E-3</v>
      </c>
      <c r="GC32">
        <f t="shared" si="441"/>
        <v>1.6248812797505785E-3</v>
      </c>
      <c r="GD32">
        <f t="shared" si="442"/>
        <v>1.6045702637536908E-3</v>
      </c>
      <c r="GE32">
        <f t="shared" si="443"/>
        <v>1.5845131354567665E-3</v>
      </c>
      <c r="GF32">
        <f t="shared" si="444"/>
        <v>1.5647067212635536E-3</v>
      </c>
      <c r="GG32">
        <f t="shared" si="445"/>
        <v>1.5451478872477553E-3</v>
      </c>
      <c r="GH32">
        <f t="shared" si="446"/>
        <v>1.5258335386571619E-3</v>
      </c>
      <c r="GI32">
        <f t="shared" si="447"/>
        <v>1.5067606194239525E-3</v>
      </c>
      <c r="GJ32">
        <f t="shared" si="448"/>
        <v>1.4879261116811481E-3</v>
      </c>
      <c r="GK32">
        <f t="shared" si="449"/>
        <v>1.4693270352851284E-3</v>
      </c>
      <c r="GL32">
        <f t="shared" si="450"/>
        <v>1.4509604473440629E-3</v>
      </c>
      <c r="GM32">
        <f t="shared" si="451"/>
        <v>1.4328234417522623E-3</v>
      </c>
      <c r="GN32">
        <f t="shared" si="452"/>
        <v>1.4149131487303569E-3</v>
      </c>
      <c r="GO32">
        <f t="shared" si="453"/>
        <v>1.3972267343712263E-3</v>
      </c>
      <c r="GP32">
        <f t="shared" si="454"/>
        <v>1.3797614001915814E-3</v>
      </c>
      <c r="GQ32">
        <f t="shared" si="455"/>
        <v>1.3625143826891839E-3</v>
      </c>
      <c r="GR32">
        <f t="shared" si="456"/>
        <v>1.3454829529055746E-3</v>
      </c>
      <c r="GS32">
        <f t="shared" si="457"/>
        <v>1.3286644159942519E-3</v>
      </c>
      <c r="GT32">
        <f t="shared" si="458"/>
        <v>1.312056110794324E-3</v>
      </c>
      <c r="GU32">
        <f t="shared" si="459"/>
        <v>1.2956554094093909E-3</v>
      </c>
      <c r="GV32">
        <f t="shared" si="460"/>
        <v>1.2794597167917754E-3</v>
      </c>
      <c r="GW32">
        <f t="shared" si="461"/>
        <v>1.2634664703318754E-3</v>
      </c>
      <c r="GX32">
        <f t="shared" si="462"/>
        <v>1.2476731394527318E-3</v>
      </c>
      <c r="GY32">
        <f t="shared" si="463"/>
        <v>1.2320772252095713E-3</v>
      </c>
      <c r="GZ32">
        <f t="shared" si="464"/>
        <v>1.2166762598944559E-3</v>
      </c>
      <c r="HA32">
        <f t="shared" si="465"/>
        <v>1.2014678066457729E-3</v>
      </c>
      <c r="HB32">
        <f t="shared" si="466"/>
        <v>1.1864494590626995E-3</v>
      </c>
      <c r="HC32">
        <f t="shared" si="467"/>
        <v>1.1716188408244176E-3</v>
      </c>
      <c r="HD32">
        <f t="shared" si="468"/>
        <v>1.1569736053141156E-3</v>
      </c>
      <c r="HE32">
        <f t="shared" si="469"/>
        <v>1.1425114352476839E-3</v>
      </c>
      <c r="HF32">
        <f t="shared" si="470"/>
        <v>1.128230042307088E-3</v>
      </c>
      <c r="HG32">
        <f t="shared" si="471"/>
        <v>1.1141271667782448E-3</v>
      </c>
      <c r="HH32">
        <f t="shared" si="472"/>
        <v>1.1002005771935219E-3</v>
      </c>
      <c r="HI32">
        <f t="shared" si="473"/>
        <v>1.0864480699786072E-3</v>
      </c>
      <c r="HJ32">
        <f t="shared" si="474"/>
        <v>1.0728674691038776E-3</v>
      </c>
      <c r="HK32">
        <f t="shared" si="475"/>
        <v>1.059456625740074E-3</v>
      </c>
      <c r="HL32">
        <f t="shared" si="476"/>
        <v>1.0462134179183181E-3</v>
      </c>
      <c r="HM32">
        <f t="shared" si="477"/>
        <v>1.033135750194336E-3</v>
      </c>
      <c r="HN32">
        <f t="shared" si="478"/>
        <v>1.0202215533169023E-3</v>
      </c>
      <c r="HO32">
        <f t="shared" si="479"/>
        <v>1.0074687839004449E-3</v>
      </c>
      <c r="HP32">
        <f t="shared" si="480"/>
        <v>9.9487542410169332E-4</v>
      </c>
      <c r="HQ32">
        <f t="shared" si="481"/>
        <v>9.8243948130042344E-4</v>
      </c>
      <c r="HR32">
        <f t="shared" si="482"/>
        <v>9.701589877841643E-4</v>
      </c>
      <c r="HS32">
        <f t="shared" si="483"/>
        <v>9.5803200043685925E-4</v>
      </c>
      <c r="HT32">
        <f t="shared" si="484"/>
        <v>9.4605660043139972E-4</v>
      </c>
      <c r="HU32">
        <f t="shared" si="485"/>
        <v>9.3423089292600232E-4</v>
      </c>
      <c r="HV32">
        <f t="shared" si="486"/>
        <v>9.2255300676442604E-4</v>
      </c>
      <c r="HW32">
        <f t="shared" si="487"/>
        <v>9.1102109417987573E-4</v>
      </c>
      <c r="HX32">
        <f t="shared" si="488"/>
        <v>8.9963333050262499E-4</v>
      </c>
      <c r="HY32">
        <f t="shared" si="489"/>
        <v>8.883879138713469E-4</v>
      </c>
      <c r="HZ32">
        <f t="shared" si="490"/>
        <v>8.7728306494795345E-4</v>
      </c>
      <c r="IA32">
        <f t="shared" si="491"/>
        <v>8.6631702663609862E-4</v>
      </c>
      <c r="IB32">
        <f t="shared" si="492"/>
        <v>8.5548806380314479E-4</v>
      </c>
      <c r="IC32">
        <f t="shared" si="493"/>
        <v>8.4479446300560483E-4</v>
      </c>
      <c r="ID32">
        <f t="shared" si="494"/>
        <v>8.3423453221803667E-4</v>
      </c>
      <c r="IE32">
        <f t="shared" si="495"/>
        <v>8.2380660056531325E-4</v>
      </c>
      <c r="IF32">
        <f t="shared" si="496"/>
        <v>8.1350901805824492E-4</v>
      </c>
      <c r="IG32">
        <f t="shared" si="497"/>
        <v>8.0334015533252141E-4</v>
      </c>
      <c r="IH32">
        <f t="shared" si="498"/>
        <v>7.9329840339086304E-4</v>
      </c>
      <c r="II32">
        <f t="shared" si="499"/>
        <v>7.8338217334847913E-4</v>
      </c>
      <c r="IJ32">
        <f t="shared" si="500"/>
        <v>7.7358989618162564E-4</v>
      </c>
      <c r="IK32">
        <f t="shared" si="501"/>
        <v>7.6392002247935851E-4</v>
      </c>
      <c r="IL32">
        <f t="shared" si="502"/>
        <v>7.5437102219836347E-4</v>
      </c>
      <c r="IM32">
        <f t="shared" si="503"/>
        <v>7.4494138442088298E-4</v>
      </c>
      <c r="IN32">
        <f t="shared" si="504"/>
        <v>7.3562961711561849E-4</v>
      </c>
      <c r="IO32">
        <f t="shared" si="505"/>
        <v>7.2643424690167486E-4</v>
      </c>
      <c r="IP32">
        <f t="shared" si="506"/>
        <v>7.1735381881540274E-4</v>
      </c>
      <c r="IQ32">
        <f t="shared" si="507"/>
        <v>7.0838689608021532E-4</v>
      </c>
      <c r="IR32">
        <f t="shared" si="508"/>
        <v>6.9953205987921541E-4</v>
      </c>
      <c r="IS32">
        <f t="shared" si="509"/>
        <v>6.9078790913073011E-4</v>
      </c>
      <c r="IT32">
        <f t="shared" si="510"/>
        <v>6.8215306026659923E-4</v>
      </c>
      <c r="IU32">
        <f t="shared" si="511"/>
        <v>6.7362614701326211E-4</v>
      </c>
      <c r="IV32">
        <f t="shared" si="512"/>
        <v>6.6520582017559615E-4</v>
      </c>
    </row>
    <row r="33" spans="1:256" x14ac:dyDescent="0.2">
      <c r="A33" t="s">
        <v>504</v>
      </c>
      <c r="B33">
        <f t="shared" si="258"/>
        <v>2.9887602521985097E-2</v>
      </c>
      <c r="C33">
        <f t="shared" si="259"/>
        <v>2.9514007490460282E-2</v>
      </c>
      <c r="D33">
        <f t="shared" si="260"/>
        <v>2.914508239682953E-2</v>
      </c>
      <c r="E33">
        <f t="shared" si="261"/>
        <v>2.8780768866869161E-2</v>
      </c>
      <c r="F33">
        <f t="shared" si="262"/>
        <v>2.8421009256033296E-2</v>
      </c>
      <c r="G33">
        <f t="shared" si="263"/>
        <v>2.8065746640332883E-2</v>
      </c>
      <c r="H33">
        <f t="shared" si="264"/>
        <v>2.7714924807328723E-2</v>
      </c>
      <c r="I33">
        <f t="shared" si="265"/>
        <v>2.7368488247237116E-2</v>
      </c>
      <c r="J33">
        <f t="shared" si="266"/>
        <v>6.0632885914886171E-2</v>
      </c>
      <c r="K33">
        <f t="shared" si="267"/>
        <v>5.9874974840950092E-2</v>
      </c>
      <c r="L33">
        <f t="shared" si="268"/>
        <v>5.9126537655438217E-2</v>
      </c>
      <c r="M33">
        <f t="shared" si="269"/>
        <v>5.8387455934745237E-2</v>
      </c>
      <c r="N33">
        <f t="shared" si="270"/>
        <v>5.7657612735560915E-2</v>
      </c>
      <c r="O33">
        <f t="shared" si="271"/>
        <v>5.6936892576366402E-2</v>
      </c>
      <c r="P33">
        <f t="shared" si="272"/>
        <v>5.6225181419161829E-2</v>
      </c>
      <c r="Q33">
        <f t="shared" si="273"/>
        <v>5.5522366651422309E-2</v>
      </c>
      <c r="R33">
        <f t="shared" si="274"/>
        <v>5.4828337068279519E-2</v>
      </c>
      <c r="S33">
        <f t="shared" si="275"/>
        <v>5.4142982854926025E-2</v>
      </c>
      <c r="T33">
        <f t="shared" si="276"/>
        <v>5.3466195569239462E-2</v>
      </c>
      <c r="U33">
        <f t="shared" si="277"/>
        <v>5.2797868124623969E-2</v>
      </c>
      <c r="V33">
        <f t="shared" si="278"/>
        <v>5.2137894773066164E-2</v>
      </c>
      <c r="W33">
        <f t="shared" si="279"/>
        <v>5.1486171088402831E-2</v>
      </c>
      <c r="X33">
        <f t="shared" si="280"/>
        <v>5.0842593949797801E-2</v>
      </c>
      <c r="Y33">
        <f t="shared" si="281"/>
        <v>5.0207061525425332E-2</v>
      </c>
      <c r="Z33">
        <f t="shared" si="282"/>
        <v>4.9579473256357517E-2</v>
      </c>
      <c r="AA33">
        <f t="shared" si="283"/>
        <v>4.8959729840653055E-2</v>
      </c>
      <c r="AB33">
        <f t="shared" si="284"/>
        <v>4.8347733217644892E-2</v>
      </c>
      <c r="AC33">
        <f t="shared" si="285"/>
        <v>4.7743386552424341E-2</v>
      </c>
      <c r="AD33">
        <f t="shared" si="286"/>
        <v>4.7146594220519034E-2</v>
      </c>
      <c r="AE33">
        <f t="shared" si="287"/>
        <v>4.6557261792762553E-2</v>
      </c>
      <c r="AF33">
        <f t="shared" si="288"/>
        <v>4.5975296020353017E-2</v>
      </c>
      <c r="AG33">
        <f t="shared" si="289"/>
        <v>4.5400604820098597E-2</v>
      </c>
      <c r="AH33">
        <f t="shared" si="290"/>
        <v>-1.2265344817789353E-2</v>
      </c>
      <c r="AI33">
        <f t="shared" si="291"/>
        <v>-1.2112028007566982E-2</v>
      </c>
      <c r="AJ33">
        <f t="shared" si="292"/>
        <v>-1.1960627657472394E-2</v>
      </c>
      <c r="AK33">
        <f t="shared" si="293"/>
        <v>-1.1811119811753996E-2</v>
      </c>
      <c r="AL33">
        <f t="shared" si="294"/>
        <v>-1.1663480814107069E-2</v>
      </c>
      <c r="AM33">
        <f t="shared" si="295"/>
        <v>-1.151768730393073E-2</v>
      </c>
      <c r="AN33">
        <f t="shared" si="296"/>
        <v>-1.1373716212631595E-2</v>
      </c>
      <c r="AO33">
        <f t="shared" si="297"/>
        <v>-1.1231544759973705E-2</v>
      </c>
      <c r="AP33">
        <f t="shared" si="298"/>
        <v>3.1810407471889249E-2</v>
      </c>
      <c r="AQ33">
        <f t="shared" si="299"/>
        <v>3.1412777378490631E-2</v>
      </c>
      <c r="AR33">
        <f t="shared" si="300"/>
        <v>3.1020117661259495E-2</v>
      </c>
      <c r="AS33">
        <f t="shared" si="301"/>
        <v>3.0632366190493754E-2</v>
      </c>
      <c r="AT33">
        <f t="shared" si="302"/>
        <v>3.0249461613112583E-2</v>
      </c>
      <c r="AU33">
        <f t="shared" si="303"/>
        <v>2.9871343342948675E-2</v>
      </c>
      <c r="AV33">
        <f t="shared" si="304"/>
        <v>2.9497951551161816E-2</v>
      </c>
      <c r="AW33">
        <f t="shared" si="305"/>
        <v>2.9129227156772297E-2</v>
      </c>
      <c r="AX33">
        <f t="shared" si="306"/>
        <v>4.2961995972586077E-2</v>
      </c>
      <c r="AY33">
        <f t="shared" si="307"/>
        <v>4.2424971022928748E-2</v>
      </c>
      <c r="AZ33">
        <f t="shared" si="308"/>
        <v>4.1894658885142141E-2</v>
      </c>
      <c r="BA33">
        <f t="shared" si="309"/>
        <v>4.1370975649077865E-2</v>
      </c>
      <c r="BB33">
        <f t="shared" si="310"/>
        <v>4.0853838453464394E-2</v>
      </c>
      <c r="BC33">
        <f t="shared" si="311"/>
        <v>4.0343165472796094E-2</v>
      </c>
      <c r="BD33">
        <f t="shared" si="312"/>
        <v>3.9838875904386138E-2</v>
      </c>
      <c r="BE33">
        <f t="shared" si="313"/>
        <v>3.9340889955581312E-2</v>
      </c>
      <c r="BF33">
        <f t="shared" si="314"/>
        <v>3.8849128831136545E-2</v>
      </c>
      <c r="BG33">
        <f t="shared" si="315"/>
        <v>3.8363514720747338E-2</v>
      </c>
      <c r="BH33">
        <f t="shared" si="316"/>
        <v>3.7883970786737997E-2</v>
      </c>
      <c r="BI33">
        <f t="shared" si="317"/>
        <v>3.7410421151903774E-2</v>
      </c>
      <c r="BJ33">
        <f t="shared" si="318"/>
        <v>3.6942790887504975E-2</v>
      </c>
      <c r="BK33">
        <f t="shared" si="319"/>
        <v>3.6481006001411166E-2</v>
      </c>
      <c r="BL33">
        <f t="shared" si="320"/>
        <v>3.6024993426393523E-2</v>
      </c>
      <c r="BM33">
        <f t="shared" si="321"/>
        <v>3.5574681008563605E-2</v>
      </c>
      <c r="BN33">
        <f t="shared" si="322"/>
        <v>3.5129997495956557E-2</v>
      </c>
      <c r="BO33">
        <f t="shared" si="323"/>
        <v>3.4690872527257097E-2</v>
      </c>
      <c r="BP33">
        <f t="shared" si="324"/>
        <v>3.425723662066639E-2</v>
      </c>
      <c r="BQ33">
        <f t="shared" si="325"/>
        <v>3.3829021162908056E-2</v>
      </c>
      <c r="BR33">
        <f t="shared" si="326"/>
        <v>3.3406158398371709E-2</v>
      </c>
      <c r="BS33">
        <f t="shared" si="327"/>
        <v>3.298858141839206E-2</v>
      </c>
      <c r="BT33">
        <f t="shared" si="328"/>
        <v>3.2576224150662157E-2</v>
      </c>
      <c r="BU33">
        <f t="shared" si="329"/>
        <v>3.216902134877888E-2</v>
      </c>
      <c r="BV33">
        <f t="shared" si="330"/>
        <v>3.1766908581919141E-2</v>
      </c>
      <c r="BW33">
        <f t="shared" si="331"/>
        <v>3.1369822224645148E-2</v>
      </c>
      <c r="BX33">
        <f t="shared" si="332"/>
        <v>3.0977699446837082E-2</v>
      </c>
      <c r="BY33">
        <f t="shared" si="333"/>
        <v>3.0590478203751614E-2</v>
      </c>
      <c r="BZ33">
        <f t="shared" si="334"/>
        <v>3.0208097226204721E-2</v>
      </c>
      <c r="CA33">
        <f t="shared" si="335"/>
        <v>2.9830496010877162E-2</v>
      </c>
      <c r="CB33">
        <f t="shared" si="336"/>
        <v>2.9457614810741196E-2</v>
      </c>
      <c r="CC33">
        <f t="shared" si="337"/>
        <v>2.9089394625606935E-2</v>
      </c>
      <c r="CD33">
        <f t="shared" si="338"/>
        <v>2.872577719278685E-2</v>
      </c>
      <c r="CE33">
        <f t="shared" si="339"/>
        <v>2.8366704977877012E-2</v>
      </c>
      <c r="CF33">
        <f t="shared" si="340"/>
        <v>2.8012121165653547E-2</v>
      </c>
      <c r="CG33">
        <f t="shared" si="341"/>
        <v>2.7661969651082873E-2</v>
      </c>
      <c r="CH33">
        <f t="shared" si="342"/>
        <v>2.7316195030444336E-2</v>
      </c>
      <c r="CI33">
        <f t="shared" si="343"/>
        <v>2.6974742592563782E-2</v>
      </c>
      <c r="CJ33">
        <f t="shared" si="344"/>
        <v>2.6637558310156739E-2</v>
      </c>
      <c r="CK33">
        <f t="shared" si="345"/>
        <v>2.6304588831279785E-2</v>
      </c>
      <c r="CL33">
        <f t="shared" si="346"/>
        <v>2.5975781470888793E-2</v>
      </c>
      <c r="CM33">
        <f t="shared" si="347"/>
        <v>2.5651084202502682E-2</v>
      </c>
      <c r="CN33">
        <f t="shared" si="348"/>
        <v>2.53304456499714E-2</v>
      </c>
      <c r="CO33">
        <f t="shared" si="349"/>
        <v>2.5013815079346757E-2</v>
      </c>
      <c r="CP33">
        <f t="shared" si="350"/>
        <v>2.4701142390854924E-2</v>
      </c>
      <c r="CQ33">
        <f t="shared" si="351"/>
        <v>2.4392378110969237E-2</v>
      </c>
      <c r="CR33">
        <f t="shared" si="352"/>
        <v>2.4087473384582125E-2</v>
      </c>
      <c r="CS33">
        <f t="shared" si="353"/>
        <v>2.378637996727485E-2</v>
      </c>
      <c r="CT33">
        <f t="shared" si="354"/>
        <v>2.3489050217683917E-2</v>
      </c>
      <c r="CU33">
        <f t="shared" si="355"/>
        <v>2.3195437089962866E-2</v>
      </c>
      <c r="CV33">
        <f t="shared" si="356"/>
        <v>2.2905494126338334E-2</v>
      </c>
      <c r="CW33">
        <f t="shared" si="357"/>
        <v>2.26191754497591E-2</v>
      </c>
      <c r="CX33">
        <f t="shared" si="358"/>
        <v>2.2336435756637109E-2</v>
      </c>
      <c r="CY33">
        <f t="shared" si="359"/>
        <v>2.2057230309679144E-2</v>
      </c>
      <c r="CZ33">
        <f t="shared" si="360"/>
        <v>2.1781514930808155E-2</v>
      </c>
      <c r="DA33">
        <f t="shared" si="361"/>
        <v>2.1509245994173053E-2</v>
      </c>
      <c r="DB33">
        <f t="shared" si="362"/>
        <v>2.1240380419245884E-2</v>
      </c>
      <c r="DC33">
        <f t="shared" si="363"/>
        <v>2.097487566400531E-2</v>
      </c>
      <c r="DD33">
        <f t="shared" si="364"/>
        <v>2.0712689718205245E-2</v>
      </c>
      <c r="DE33">
        <f t="shared" si="365"/>
        <v>2.0453781096727686E-2</v>
      </c>
      <c r="DF33">
        <f t="shared" si="366"/>
        <v>2.0198108833018591E-2</v>
      </c>
      <c r="DG33">
        <f t="shared" si="367"/>
        <v>1.9945632472605855E-2</v>
      </c>
      <c r="DH33">
        <f t="shared" si="368"/>
        <v>1.9696312066698286E-2</v>
      </c>
      <c r="DI33">
        <f t="shared" si="369"/>
        <v>1.9450108165864555E-2</v>
      </c>
      <c r="DJ33">
        <f t="shared" si="370"/>
        <v>1.9206981813791248E-2</v>
      </c>
      <c r="DK33">
        <f t="shared" si="371"/>
        <v>1.8966894541118849E-2</v>
      </c>
      <c r="DL33">
        <f t="shared" si="372"/>
        <v>1.8729808359354859E-2</v>
      </c>
      <c r="DM33">
        <f t="shared" si="373"/>
        <v>1.8495685754862923E-2</v>
      </c>
      <c r="DN33">
        <f t="shared" si="374"/>
        <v>1.8264489682927133E-2</v>
      </c>
      <c r="DO33">
        <f t="shared" si="375"/>
        <v>1.8036183561890538E-2</v>
      </c>
      <c r="DP33">
        <f t="shared" si="376"/>
        <v>1.781073126736691E-2</v>
      </c>
      <c r="DQ33">
        <f t="shared" si="377"/>
        <v>1.7588097126524826E-2</v>
      </c>
      <c r="DR33">
        <f t="shared" si="378"/>
        <v>1.7368245912443271E-2</v>
      </c>
      <c r="DS33">
        <f t="shared" si="379"/>
        <v>1.7151142838537727E-2</v>
      </c>
      <c r="DT33">
        <f t="shared" si="380"/>
        <v>1.6936753553056006E-2</v>
      </c>
      <c r="DU33">
        <f t="shared" si="381"/>
        <v>1.6725044133642807E-2</v>
      </c>
      <c r="DV33">
        <f t="shared" si="382"/>
        <v>1.6515981081972275E-2</v>
      </c>
      <c r="DW33">
        <f t="shared" si="383"/>
        <v>1.6309531318447625E-2</v>
      </c>
      <c r="DX33">
        <f t="shared" si="384"/>
        <v>1.6105662176967028E-2</v>
      </c>
      <c r="DY33">
        <f t="shared" si="385"/>
        <v>1.590434139975494E-2</v>
      </c>
      <c r="DZ33">
        <f t="shared" si="386"/>
        <v>1.5705537132258009E-2</v>
      </c>
      <c r="EA33">
        <f t="shared" si="387"/>
        <v>1.5509217918104778E-2</v>
      </c>
      <c r="EB33">
        <f t="shared" si="388"/>
        <v>1.5315352694128471E-2</v>
      </c>
      <c r="EC33">
        <f t="shared" si="389"/>
        <v>1.5123910785451866E-2</v>
      </c>
      <c r="ED33">
        <f t="shared" si="390"/>
        <v>1.4934861900633723E-2</v>
      </c>
      <c r="EE33">
        <f t="shared" si="391"/>
        <v>1.47481761268758E-2</v>
      </c>
      <c r="EF33">
        <f t="shared" si="392"/>
        <v>1.4563823925289853E-2</v>
      </c>
      <c r="EG33">
        <f t="shared" si="393"/>
        <v>1.4381776126223733E-2</v>
      </c>
      <c r="EH33">
        <f t="shared" si="394"/>
        <v>1.4202003924645934E-2</v>
      </c>
      <c r="EI33">
        <f t="shared" si="395"/>
        <v>1.4024478875587864E-2</v>
      </c>
      <c r="EJ33">
        <f t="shared" si="396"/>
        <v>1.3849172889643014E-2</v>
      </c>
      <c r="EK33">
        <f t="shared" si="397"/>
        <v>1.367605822852248E-2</v>
      </c>
      <c r="EL33">
        <f t="shared" si="398"/>
        <v>1.3505107500665947E-2</v>
      </c>
      <c r="EM33">
        <f t="shared" si="399"/>
        <v>1.3336293656907628E-2</v>
      </c>
      <c r="EN33">
        <f t="shared" si="400"/>
        <v>1.3169589986196283E-2</v>
      </c>
      <c r="EO33">
        <f t="shared" si="401"/>
        <v>1.300497011136883E-2</v>
      </c>
      <c r="EP33">
        <f t="shared" si="402"/>
        <v>1.2842407984976722E-2</v>
      </c>
      <c r="EQ33">
        <f t="shared" si="403"/>
        <v>1.2681877885164516E-2</v>
      </c>
      <c r="ER33">
        <f t="shared" si="404"/>
        <v>1.2523354411599963E-2</v>
      </c>
      <c r="ES33">
        <f t="shared" si="405"/>
        <v>1.2366812481454959E-2</v>
      </c>
      <c r="ET33">
        <f t="shared" si="406"/>
        <v>1.2212227325436776E-2</v>
      </c>
      <c r="EU33">
        <f t="shared" si="407"/>
        <v>1.2059574483868818E-2</v>
      </c>
      <c r="EV33">
        <f t="shared" si="408"/>
        <v>1.1908829802820453E-2</v>
      </c>
      <c r="EW33">
        <f t="shared" si="409"/>
        <v>1.17599694302852E-2</v>
      </c>
      <c r="EX33">
        <f t="shared" si="410"/>
        <v>1.1612969812406638E-2</v>
      </c>
      <c r="EY33">
        <f t="shared" si="411"/>
        <v>1.1467807689751553E-2</v>
      </c>
      <c r="EZ33">
        <f t="shared" si="412"/>
        <v>1.1324460093629663E-2</v>
      </c>
      <c r="FA33">
        <f t="shared" si="413"/>
        <v>1.1182904342459287E-2</v>
      </c>
      <c r="FB33">
        <f t="shared" si="414"/>
        <v>1.1043118038178545E-2</v>
      </c>
      <c r="FC33">
        <f t="shared" si="415"/>
        <v>1.0905079062701318E-2</v>
      </c>
      <c r="FD33">
        <f t="shared" si="416"/>
        <v>1.076876557441755E-2</v>
      </c>
      <c r="FE33">
        <f t="shared" si="417"/>
        <v>1.0634156004737327E-2</v>
      </c>
      <c r="FF33">
        <f t="shared" si="418"/>
        <v>1.0501229054678107E-2</v>
      </c>
      <c r="FG33">
        <f t="shared" si="419"/>
        <v>1.0369963691494632E-2</v>
      </c>
      <c r="FH33">
        <f t="shared" si="420"/>
        <v>1.0240339145350951E-2</v>
      </c>
      <c r="FI33">
        <f t="shared" si="421"/>
        <v>1.0112334906034059E-2</v>
      </c>
      <c r="FJ33">
        <f t="shared" si="422"/>
        <v>9.9859307197086352E-3</v>
      </c>
      <c r="FK33">
        <f t="shared" si="423"/>
        <v>9.8611065857122752E-3</v>
      </c>
      <c r="FL33">
        <f t="shared" si="424"/>
        <v>9.7378427533908688E-3</v>
      </c>
      <c r="FM33">
        <f t="shared" si="425"/>
        <v>9.6161197189734808E-3</v>
      </c>
      <c r="FN33">
        <f t="shared" si="426"/>
        <v>9.4959182224863097E-3</v>
      </c>
      <c r="FO33">
        <f t="shared" si="427"/>
        <v>9.3772192447052257E-3</v>
      </c>
      <c r="FP33">
        <f t="shared" si="428"/>
        <v>9.2600040041464163E-3</v>
      </c>
      <c r="FQ33">
        <f t="shared" si="429"/>
        <v>9.1442539540945826E-3</v>
      </c>
      <c r="FR33">
        <f t="shared" si="430"/>
        <v>9.0299507796684046E-3</v>
      </c>
      <c r="FS33">
        <f t="shared" si="431"/>
        <v>8.9170763949225525E-3</v>
      </c>
      <c r="FT33">
        <f t="shared" si="432"/>
        <v>8.8056129399860187E-3</v>
      </c>
      <c r="FU33">
        <f t="shared" si="433"/>
        <v>8.6955427782361983E-3</v>
      </c>
      <c r="FV33">
        <f t="shared" si="434"/>
        <v>8.5868484935082475E-3</v>
      </c>
      <c r="FW33">
        <f t="shared" si="435"/>
        <v>8.479512887339391E-3</v>
      </c>
      <c r="FX33">
        <f t="shared" si="436"/>
        <v>8.3735189762476521E-3</v>
      </c>
      <c r="FY33">
        <f t="shared" si="437"/>
        <v>8.268849989044558E-3</v>
      </c>
      <c r="FZ33">
        <f t="shared" si="438"/>
        <v>8.1654893641814989E-3</v>
      </c>
      <c r="GA33">
        <f t="shared" si="439"/>
        <v>8.0634207471292352E-3</v>
      </c>
      <c r="GB33">
        <f t="shared" si="440"/>
        <v>7.962627987790117E-3</v>
      </c>
      <c r="GC33">
        <f t="shared" si="441"/>
        <v>7.8630951379427445E-3</v>
      </c>
      <c r="GD33">
        <f t="shared" si="442"/>
        <v>7.7648064487184643E-3</v>
      </c>
      <c r="GE33">
        <f t="shared" si="443"/>
        <v>7.6677463681094852E-3</v>
      </c>
      <c r="GF33">
        <f t="shared" si="444"/>
        <v>7.57189953850812E-3</v>
      </c>
      <c r="GG33">
        <f t="shared" si="445"/>
        <v>7.4772507942767689E-3</v>
      </c>
      <c r="GH33">
        <f t="shared" si="446"/>
        <v>7.3837851593483109E-3</v>
      </c>
      <c r="GI33">
        <f t="shared" si="447"/>
        <v>7.2914878448564592E-3</v>
      </c>
      <c r="GJ33">
        <f t="shared" si="448"/>
        <v>7.2003442467957531E-3</v>
      </c>
      <c r="GK33">
        <f t="shared" si="449"/>
        <v>7.1103399437108085E-3</v>
      </c>
      <c r="GL33">
        <f t="shared" si="450"/>
        <v>7.0214606944144272E-3</v>
      </c>
      <c r="GM33">
        <f t="shared" si="451"/>
        <v>6.9336924357342507E-3</v>
      </c>
      <c r="GN33">
        <f t="shared" si="452"/>
        <v>6.8470212802875683E-3</v>
      </c>
      <c r="GO33">
        <f t="shared" si="453"/>
        <v>6.7614335142839764E-3</v>
      </c>
      <c r="GP33">
        <f t="shared" si="454"/>
        <v>6.6769155953554258E-3</v>
      </c>
      <c r="GQ33">
        <f t="shared" si="455"/>
        <v>6.5934541504134806E-3</v>
      </c>
      <c r="GR33">
        <f t="shared" si="456"/>
        <v>6.5110359735333079E-3</v>
      </c>
      <c r="GS33">
        <f t="shared" si="457"/>
        <v>6.4296480238641429E-3</v>
      </c>
      <c r="GT33">
        <f t="shared" si="458"/>
        <v>6.3492774235658356E-3</v>
      </c>
      <c r="GU33">
        <f t="shared" si="459"/>
        <v>6.2699114557712597E-3</v>
      </c>
      <c r="GV33">
        <f t="shared" si="460"/>
        <v>6.1915375625741231E-3</v>
      </c>
      <c r="GW33">
        <f t="shared" si="461"/>
        <v>6.1141433430419445E-3</v>
      </c>
      <c r="GX33">
        <f t="shared" si="462"/>
        <v>6.0377165512539247E-3</v>
      </c>
      <c r="GY33">
        <f t="shared" si="463"/>
        <v>5.9622450943632496E-3</v>
      </c>
      <c r="GZ33">
        <f t="shared" si="464"/>
        <v>5.8877170306837149E-3</v>
      </c>
      <c r="HA33">
        <f t="shared" si="465"/>
        <v>5.8141205678001627E-3</v>
      </c>
      <c r="HB33">
        <f t="shared" si="466"/>
        <v>5.7414440607026608E-3</v>
      </c>
      <c r="HC33">
        <f t="shared" si="467"/>
        <v>5.6696760099438802E-3</v>
      </c>
      <c r="HD33">
        <f t="shared" si="468"/>
        <v>5.5988050598195782E-3</v>
      </c>
      <c r="HE33">
        <f t="shared" si="469"/>
        <v>5.5288199965718319E-3</v>
      </c>
      <c r="HF33">
        <f t="shared" si="470"/>
        <v>5.4597097466146825E-3</v>
      </c>
      <c r="HG33">
        <f t="shared" si="471"/>
        <v>5.3914633747820014E-3</v>
      </c>
      <c r="HH33">
        <f t="shared" si="472"/>
        <v>5.3240700825972322E-3</v>
      </c>
      <c r="HI33">
        <f t="shared" si="473"/>
        <v>5.2575192065647649E-3</v>
      </c>
      <c r="HJ33">
        <f t="shared" si="474"/>
        <v>5.1918002164827006E-3</v>
      </c>
      <c r="HK33">
        <f t="shared" si="475"/>
        <v>5.1269027137766706E-3</v>
      </c>
      <c r="HL33">
        <f t="shared" si="476"/>
        <v>5.0628164298544666E-3</v>
      </c>
      <c r="HM33">
        <f t="shared" si="477"/>
        <v>4.999531224481291E-3</v>
      </c>
      <c r="HN33">
        <f t="shared" si="478"/>
        <v>4.9370370841752779E-3</v>
      </c>
      <c r="HO33">
        <f t="shared" si="479"/>
        <v>4.8753241206230813E-3</v>
      </c>
      <c r="HP33">
        <f t="shared" si="480"/>
        <v>4.8143825691152938E-3</v>
      </c>
      <c r="HQ33">
        <f t="shared" si="481"/>
        <v>4.7542027870013494E-3</v>
      </c>
      <c r="HR33">
        <f t="shared" si="482"/>
        <v>4.6947752521638297E-3</v>
      </c>
      <c r="HS33">
        <f t="shared" si="483"/>
        <v>4.6360905615117857E-3</v>
      </c>
      <c r="HT33">
        <f t="shared" si="484"/>
        <v>4.5781394294928893E-3</v>
      </c>
      <c r="HU33">
        <f t="shared" si="485"/>
        <v>4.520912686624223E-3</v>
      </c>
      <c r="HV33">
        <f t="shared" si="486"/>
        <v>4.4644012780414187E-3</v>
      </c>
      <c r="HW33">
        <f t="shared" si="487"/>
        <v>4.4085962620659001E-3</v>
      </c>
      <c r="HX33">
        <f t="shared" si="488"/>
        <v>4.353488808790074E-3</v>
      </c>
      <c r="HY33">
        <f t="shared" si="489"/>
        <v>4.2990701986801994E-3</v>
      </c>
      <c r="HZ33">
        <f t="shared" si="490"/>
        <v>4.2453318211966963E-3</v>
      </c>
      <c r="IA33">
        <f t="shared" si="491"/>
        <v>4.1922651734317418E-3</v>
      </c>
      <c r="IB33">
        <f t="shared" si="492"/>
        <v>4.139861858763849E-3</v>
      </c>
      <c r="IC33">
        <f t="shared" si="493"/>
        <v>4.088113585529296E-3</v>
      </c>
      <c r="ID33">
        <f t="shared" si="494"/>
        <v>4.0370121657101743E-3</v>
      </c>
      <c r="IE33">
        <f t="shared" si="495"/>
        <v>3.9865495136387928E-3</v>
      </c>
      <c r="IF33">
        <f t="shared" si="496"/>
        <v>3.9367176447183128E-3</v>
      </c>
      <c r="IG33">
        <f t="shared" si="497"/>
        <v>3.8875086741593347E-3</v>
      </c>
      <c r="IH33">
        <f t="shared" si="498"/>
        <v>3.8389148157323416E-3</v>
      </c>
      <c r="II33">
        <f t="shared" si="499"/>
        <v>3.7909283805356853E-3</v>
      </c>
      <c r="IJ33">
        <f t="shared" si="500"/>
        <v>3.7435417757789914E-3</v>
      </c>
      <c r="IK33">
        <f t="shared" si="501"/>
        <v>3.6967475035817542E-3</v>
      </c>
      <c r="IL33">
        <f t="shared" si="502"/>
        <v>3.6505381597869866E-3</v>
      </c>
      <c r="IM33">
        <f t="shared" si="503"/>
        <v>3.604906432789645E-3</v>
      </c>
      <c r="IN33">
        <f t="shared" si="504"/>
        <v>3.5598451023797772E-3</v>
      </c>
      <c r="IO33">
        <f t="shared" si="505"/>
        <v>3.5153470386000253E-3</v>
      </c>
      <c r="IP33">
        <f t="shared" si="506"/>
        <v>3.4714052006175277E-3</v>
      </c>
      <c r="IQ33">
        <f t="shared" si="507"/>
        <v>3.4280126356098116E-3</v>
      </c>
      <c r="IR33">
        <f t="shared" si="508"/>
        <v>3.385162477664694E-3</v>
      </c>
      <c r="IS33">
        <f t="shared" si="509"/>
        <v>3.3428479466938834E-3</v>
      </c>
      <c r="IT33">
        <f t="shared" si="510"/>
        <v>3.3010623473602061E-3</v>
      </c>
      <c r="IU33">
        <f t="shared" si="511"/>
        <v>3.2597990680181986E-3</v>
      </c>
      <c r="IV33">
        <f t="shared" si="512"/>
        <v>3.2190515796679752E-3</v>
      </c>
    </row>
    <row r="34" spans="1:256" x14ac:dyDescent="0.2">
      <c r="A34" t="s">
        <v>505</v>
      </c>
      <c r="B34">
        <f t="shared" si="258"/>
        <v>-1.0695329123072228E-2</v>
      </c>
      <c r="C34">
        <f t="shared" si="259"/>
        <v>-1.0561637509033828E-2</v>
      </c>
      <c r="D34">
        <f t="shared" si="260"/>
        <v>-1.0429617040170902E-2</v>
      </c>
      <c r="E34">
        <f t="shared" si="261"/>
        <v>-1.0299246827168762E-2</v>
      </c>
      <c r="F34">
        <f t="shared" si="262"/>
        <v>-1.0170506241829158E-2</v>
      </c>
      <c r="G34">
        <f t="shared" si="263"/>
        <v>-1.0043374913806292E-2</v>
      </c>
      <c r="H34">
        <f t="shared" si="264"/>
        <v>-9.9178327273837137E-3</v>
      </c>
      <c r="I34">
        <f t="shared" si="265"/>
        <v>-9.7938598182914175E-3</v>
      </c>
      <c r="J34">
        <f t="shared" si="266"/>
        <v>2.1351842173334211E-2</v>
      </c>
      <c r="K34">
        <f t="shared" si="267"/>
        <v>2.1084944146167538E-2</v>
      </c>
      <c r="L34">
        <f t="shared" si="268"/>
        <v>2.0821382344340444E-2</v>
      </c>
      <c r="M34">
        <f t="shared" si="269"/>
        <v>2.0561115065036183E-2</v>
      </c>
      <c r="N34">
        <f t="shared" si="270"/>
        <v>2.0304101126723227E-2</v>
      </c>
      <c r="O34">
        <f t="shared" si="271"/>
        <v>2.0050299862639186E-2</v>
      </c>
      <c r="P34">
        <f t="shared" si="272"/>
        <v>1.9799671114356199E-2</v>
      </c>
      <c r="Q34">
        <f t="shared" si="273"/>
        <v>1.9552175225426748E-2</v>
      </c>
      <c r="R34">
        <f t="shared" si="274"/>
        <v>-1.4833604121242927E-2</v>
      </c>
      <c r="S34">
        <f t="shared" si="275"/>
        <v>-1.4648184069727389E-2</v>
      </c>
      <c r="T34">
        <f t="shared" si="276"/>
        <v>-1.4465081768855793E-2</v>
      </c>
      <c r="U34">
        <f t="shared" si="277"/>
        <v>-1.4284268246745091E-2</v>
      </c>
      <c r="V34">
        <f t="shared" si="278"/>
        <v>-1.4105714893660781E-2</v>
      </c>
      <c r="W34">
        <f t="shared" si="279"/>
        <v>-1.3929393457490025E-2</v>
      </c>
      <c r="X34">
        <f t="shared" si="280"/>
        <v>-1.3755276039271402E-2</v>
      </c>
      <c r="Y34">
        <f t="shared" si="281"/>
        <v>-1.3583335088780513E-2</v>
      </c>
      <c r="Z34">
        <f t="shared" si="282"/>
        <v>2.509640207969226E-2</v>
      </c>
      <c r="AA34">
        <f t="shared" si="283"/>
        <v>2.4782697053696102E-2</v>
      </c>
      <c r="AB34">
        <f t="shared" si="284"/>
        <v>2.4472913340524906E-2</v>
      </c>
      <c r="AC34">
        <f t="shared" si="285"/>
        <v>2.416700192376834E-2</v>
      </c>
      <c r="AD34">
        <f t="shared" si="286"/>
        <v>2.3864914399721236E-2</v>
      </c>
      <c r="AE34">
        <f t="shared" si="287"/>
        <v>2.3566602969724727E-2</v>
      </c>
      <c r="AF34">
        <f t="shared" si="288"/>
        <v>2.3272020432603169E-2</v>
      </c>
      <c r="AG34">
        <f t="shared" si="289"/>
        <v>2.2981120177195623E-2</v>
      </c>
      <c r="AH34">
        <f t="shared" si="290"/>
        <v>-3.0335105006659951E-2</v>
      </c>
      <c r="AI34">
        <f t="shared" si="291"/>
        <v>-2.9955916194076698E-2</v>
      </c>
      <c r="AJ34">
        <f t="shared" si="292"/>
        <v>-2.9581467241650745E-2</v>
      </c>
      <c r="AK34">
        <f t="shared" si="293"/>
        <v>-2.9211698901130106E-2</v>
      </c>
      <c r="AL34">
        <f t="shared" si="294"/>
        <v>-2.8846552664865983E-2</v>
      </c>
      <c r="AM34">
        <f t="shared" si="295"/>
        <v>-2.8485970756555162E-2</v>
      </c>
      <c r="AN34">
        <f t="shared" si="296"/>
        <v>-2.8129896122098225E-2</v>
      </c>
      <c r="AO34">
        <f t="shared" si="297"/>
        <v>-2.7778272420571997E-2</v>
      </c>
      <c r="AP34">
        <f t="shared" si="298"/>
        <v>1.9539994803044535E-2</v>
      </c>
      <c r="AQ34">
        <f t="shared" si="299"/>
        <v>1.9295744868006483E-2</v>
      </c>
      <c r="AR34">
        <f t="shared" si="300"/>
        <v>1.9054548057156395E-2</v>
      </c>
      <c r="AS34">
        <f t="shared" si="301"/>
        <v>1.8816366206441937E-2</v>
      </c>
      <c r="AT34">
        <f t="shared" si="302"/>
        <v>1.858116162886141E-2</v>
      </c>
      <c r="AU34">
        <f t="shared" si="303"/>
        <v>1.8348897108500638E-2</v>
      </c>
      <c r="AV34">
        <f t="shared" si="304"/>
        <v>1.8119535894644379E-2</v>
      </c>
      <c r="AW34">
        <f t="shared" si="305"/>
        <v>1.7893041695961322E-2</v>
      </c>
      <c r="AX34">
        <f t="shared" si="306"/>
        <v>2.3727300894102112E-2</v>
      </c>
      <c r="AY34">
        <f t="shared" si="307"/>
        <v>2.3430709632925838E-2</v>
      </c>
      <c r="AZ34">
        <f t="shared" si="308"/>
        <v>2.3137825762514264E-2</v>
      </c>
      <c r="BA34">
        <f t="shared" si="309"/>
        <v>2.2848602940482833E-2</v>
      </c>
      <c r="BB34">
        <f t="shared" si="310"/>
        <v>2.2562995403726794E-2</v>
      </c>
      <c r="BC34">
        <f t="shared" si="311"/>
        <v>2.2280957961180202E-2</v>
      </c>
      <c r="BD34">
        <f t="shared" si="312"/>
        <v>2.2002445986665453E-2</v>
      </c>
      <c r="BE34">
        <f t="shared" si="313"/>
        <v>2.1727415411832131E-2</v>
      </c>
      <c r="BF34">
        <f t="shared" si="314"/>
        <v>2.1455822719184225E-2</v>
      </c>
      <c r="BG34">
        <f t="shared" si="315"/>
        <v>2.1187624935194427E-2</v>
      </c>
      <c r="BH34">
        <f t="shared" si="316"/>
        <v>2.0922779623504494E-2</v>
      </c>
      <c r="BI34">
        <f t="shared" si="317"/>
        <v>2.0661244878210694E-2</v>
      </c>
      <c r="BJ34">
        <f t="shared" si="318"/>
        <v>2.0402979317233061E-2</v>
      </c>
      <c r="BK34">
        <f t="shared" si="319"/>
        <v>2.0147942075767644E-2</v>
      </c>
      <c r="BL34">
        <f t="shared" si="320"/>
        <v>1.9896092799820554E-2</v>
      </c>
      <c r="BM34">
        <f t="shared" si="321"/>
        <v>1.9647391639822799E-2</v>
      </c>
      <c r="BN34">
        <f t="shared" si="322"/>
        <v>1.9401799244325012E-2</v>
      </c>
      <c r="BO34">
        <f t="shared" si="323"/>
        <v>1.9159276753770948E-2</v>
      </c>
      <c r="BP34">
        <f t="shared" si="324"/>
        <v>1.891978579434881E-2</v>
      </c>
      <c r="BQ34">
        <f t="shared" si="325"/>
        <v>1.8683288471919447E-2</v>
      </c>
      <c r="BR34">
        <f t="shared" si="326"/>
        <v>1.8449747366020453E-2</v>
      </c>
      <c r="BS34">
        <f t="shared" si="327"/>
        <v>1.8219125523945202E-2</v>
      </c>
      <c r="BT34">
        <f t="shared" si="328"/>
        <v>1.7991386454895886E-2</v>
      </c>
      <c r="BU34">
        <f t="shared" si="329"/>
        <v>1.7766494124209685E-2</v>
      </c>
      <c r="BV34">
        <f t="shared" si="330"/>
        <v>1.7544412947657063E-2</v>
      </c>
      <c r="BW34">
        <f t="shared" si="331"/>
        <v>1.7325107785811346E-2</v>
      </c>
      <c r="BX34">
        <f t="shared" si="332"/>
        <v>1.7108543938488707E-2</v>
      </c>
      <c r="BY34">
        <f t="shared" si="333"/>
        <v>1.6894687139257604E-2</v>
      </c>
      <c r="BZ34">
        <f t="shared" si="334"/>
        <v>1.6683503550016889E-2</v>
      </c>
      <c r="CA34">
        <f t="shared" si="335"/>
        <v>1.6474959755641672E-2</v>
      </c>
      <c r="CB34">
        <f t="shared" si="336"/>
        <v>1.6269022758696149E-2</v>
      </c>
      <c r="CC34">
        <f t="shared" si="337"/>
        <v>1.6065659974212443E-2</v>
      </c>
      <c r="CD34">
        <f t="shared" si="338"/>
        <v>1.5864839224534789E-2</v>
      </c>
      <c r="CE34">
        <f t="shared" si="339"/>
        <v>1.5666528734228101E-2</v>
      </c>
      <c r="CF34">
        <f t="shared" si="340"/>
        <v>1.5470697125050248E-2</v>
      </c>
      <c r="CG34">
        <f t="shared" si="341"/>
        <v>1.5277313410987115E-2</v>
      </c>
      <c r="CH34">
        <f t="shared" si="342"/>
        <v>1.5086346993349774E-2</v>
      </c>
      <c r="CI34">
        <f t="shared" si="343"/>
        <v>1.4897767655932903E-2</v>
      </c>
      <c r="CJ34">
        <f t="shared" si="344"/>
        <v>1.4711545560233741E-2</v>
      </c>
      <c r="CK34">
        <f t="shared" si="345"/>
        <v>1.4527651240730821E-2</v>
      </c>
      <c r="CL34">
        <f t="shared" si="346"/>
        <v>1.4346055600221685E-2</v>
      </c>
      <c r="CM34">
        <f t="shared" si="347"/>
        <v>1.4166729905218911E-2</v>
      </c>
      <c r="CN34">
        <f t="shared" si="348"/>
        <v>1.3989645781403669E-2</v>
      </c>
      <c r="CO34">
        <f t="shared" si="349"/>
        <v>1.3814775209136121E-2</v>
      </c>
      <c r="CP34">
        <f t="shared" si="350"/>
        <v>1.3642090519021922E-2</v>
      </c>
      <c r="CQ34">
        <f t="shared" si="351"/>
        <v>1.3471564387534152E-2</v>
      </c>
      <c r="CR34">
        <f t="shared" si="352"/>
        <v>1.3303169832689976E-2</v>
      </c>
      <c r="CS34">
        <f t="shared" si="353"/>
        <v>1.3136880209781354E-2</v>
      </c>
      <c r="CT34">
        <f t="shared" si="354"/>
        <v>1.2972669207159082E-2</v>
      </c>
      <c r="CU34">
        <f t="shared" si="355"/>
        <v>1.2810510842069588E-2</v>
      </c>
      <c r="CV34">
        <f t="shared" si="356"/>
        <v>1.2650379456543714E-2</v>
      </c>
      <c r="CW34">
        <f t="shared" si="357"/>
        <v>1.2492249713336923E-2</v>
      </c>
      <c r="CX34">
        <f t="shared" si="358"/>
        <v>1.2336096591920209E-2</v>
      </c>
      <c r="CY34">
        <f t="shared" si="359"/>
        <v>1.2181895384521201E-2</v>
      </c>
      <c r="CZ34">
        <f t="shared" si="360"/>
        <v>1.2029621692214687E-2</v>
      </c>
      <c r="DA34">
        <f t="shared" si="361"/>
        <v>1.1879251421061998E-2</v>
      </c>
      <c r="DB34">
        <f t="shared" si="362"/>
        <v>1.173076077829872E-2</v>
      </c>
      <c r="DC34">
        <f t="shared" si="363"/>
        <v>1.1584126268569982E-2</v>
      </c>
      <c r="DD34">
        <f t="shared" si="364"/>
        <v>1.143932469021286E-2</v>
      </c>
      <c r="DE34">
        <f t="shared" si="365"/>
        <v>1.1296333131585201E-2</v>
      </c>
      <c r="DF34">
        <f t="shared" si="366"/>
        <v>1.1155128967440387E-2</v>
      </c>
      <c r="DG34">
        <f t="shared" si="367"/>
        <v>1.1015689855347377E-2</v>
      </c>
      <c r="DH34">
        <f t="shared" si="368"/>
        <v>1.0877993732155533E-2</v>
      </c>
      <c r="DI34">
        <f t="shared" si="369"/>
        <v>1.0742018810503583E-2</v>
      </c>
      <c r="DJ34">
        <f t="shared" si="370"/>
        <v>1.0607743575372286E-2</v>
      </c>
      <c r="DK34">
        <f t="shared" si="371"/>
        <v>1.0475146780680133E-2</v>
      </c>
      <c r="DL34">
        <f t="shared" si="372"/>
        <v>1.0344207445921627E-2</v>
      </c>
      <c r="DM34">
        <f t="shared" si="373"/>
        <v>1.0214904852847605E-2</v>
      </c>
      <c r="DN34">
        <f t="shared" si="374"/>
        <v>1.0087218542187016E-2</v>
      </c>
      <c r="DO34">
        <f t="shared" si="375"/>
        <v>9.9611283104096733E-3</v>
      </c>
      <c r="DP34">
        <f t="shared" si="376"/>
        <v>9.8366142065295474E-3</v>
      </c>
      <c r="DQ34">
        <f t="shared" si="377"/>
        <v>9.7136565289479334E-3</v>
      </c>
      <c r="DR34">
        <f t="shared" si="378"/>
        <v>9.5922358223360822E-3</v>
      </c>
      <c r="DS34">
        <f t="shared" si="379"/>
        <v>9.4723328745568765E-3</v>
      </c>
      <c r="DT34">
        <f t="shared" si="380"/>
        <v>9.3539287136249153E-3</v>
      </c>
      <c r="DU34">
        <f t="shared" si="381"/>
        <v>9.2370046047046024E-3</v>
      </c>
      <c r="DV34">
        <f t="shared" si="382"/>
        <v>9.1215420471457923E-3</v>
      </c>
      <c r="DW34">
        <f t="shared" si="383"/>
        <v>9.007522771556465E-3</v>
      </c>
      <c r="DX34">
        <f t="shared" si="384"/>
        <v>8.8949287369120104E-3</v>
      </c>
      <c r="DY34">
        <f t="shared" si="385"/>
        <v>8.7837421277006111E-3</v>
      </c>
      <c r="DZ34">
        <f t="shared" si="386"/>
        <v>8.6739453511043511E-3</v>
      </c>
      <c r="EA34">
        <f t="shared" si="387"/>
        <v>8.5655210342155501E-3</v>
      </c>
      <c r="EB34">
        <f t="shared" si="388"/>
        <v>8.4584520212878551E-3</v>
      </c>
      <c r="EC34">
        <f t="shared" si="389"/>
        <v>8.3527213710217537E-3</v>
      </c>
      <c r="ED34">
        <f t="shared" si="390"/>
        <v>8.2483123538839801E-3</v>
      </c>
      <c r="EE34">
        <f t="shared" si="391"/>
        <v>8.1452084494604282E-3</v>
      </c>
      <c r="EF34">
        <f t="shared" si="392"/>
        <v>8.0433933438421763E-3</v>
      </c>
      <c r="EG34">
        <f t="shared" si="393"/>
        <v>7.9428509270441545E-3</v>
      </c>
      <c r="EH34">
        <f t="shared" si="394"/>
        <v>7.8435652904561004E-3</v>
      </c>
      <c r="EI34">
        <f t="shared" si="395"/>
        <v>7.7455207243253945E-3</v>
      </c>
      <c r="EJ34">
        <f t="shared" si="396"/>
        <v>7.6487017152713221E-3</v>
      </c>
      <c r="EK34">
        <f t="shared" si="397"/>
        <v>7.5530929438304304E-3</v>
      </c>
      <c r="EL34">
        <f t="shared" si="398"/>
        <v>7.4586792820325546E-3</v>
      </c>
      <c r="EM34">
        <f t="shared" si="399"/>
        <v>7.3654457910071521E-3</v>
      </c>
      <c r="EN34">
        <f t="shared" si="400"/>
        <v>7.2733777186195668E-3</v>
      </c>
      <c r="EO34">
        <f t="shared" si="401"/>
        <v>7.182460497136822E-3</v>
      </c>
      <c r="EP34">
        <f t="shared" si="402"/>
        <v>7.0926797409226142E-3</v>
      </c>
      <c r="EQ34">
        <f t="shared" si="403"/>
        <v>7.0040212441610846E-3</v>
      </c>
      <c r="ER34">
        <f t="shared" si="404"/>
        <v>6.916470978609068E-3</v>
      </c>
      <c r="ES34">
        <f t="shared" si="405"/>
        <v>6.8300150913764516E-3</v>
      </c>
      <c r="ET34">
        <f t="shared" si="406"/>
        <v>6.7446399027342504E-3</v>
      </c>
      <c r="EU34">
        <f t="shared" si="407"/>
        <v>6.6603319039500678E-3</v>
      </c>
      <c r="EV34">
        <f t="shared" si="408"/>
        <v>6.5770777551506952E-3</v>
      </c>
      <c r="EW34">
        <f t="shared" si="409"/>
        <v>6.4948642832113098E-3</v>
      </c>
      <c r="EX34">
        <f t="shared" si="410"/>
        <v>6.4136784796711699E-3</v>
      </c>
      <c r="EY34">
        <f t="shared" si="411"/>
        <v>6.3335074986752837E-3</v>
      </c>
      <c r="EZ34">
        <f t="shared" si="412"/>
        <v>6.2543386549418377E-3</v>
      </c>
      <c r="FA34">
        <f t="shared" si="413"/>
        <v>6.1761594217550671E-3</v>
      </c>
      <c r="FB34">
        <f t="shared" si="414"/>
        <v>6.0989574289831315E-3</v>
      </c>
      <c r="FC34">
        <f t="shared" si="415"/>
        <v>6.0227204611208451E-3</v>
      </c>
      <c r="FD34">
        <f t="shared" si="416"/>
        <v>5.947436455356836E-3</v>
      </c>
      <c r="FE34">
        <f t="shared" si="417"/>
        <v>5.8730934996648722E-3</v>
      </c>
      <c r="FF34">
        <f t="shared" si="418"/>
        <v>5.7996798309190578E-3</v>
      </c>
      <c r="FG34">
        <f t="shared" si="419"/>
        <v>5.7271838330325677E-3</v>
      </c>
      <c r="FH34">
        <f t="shared" si="420"/>
        <v>5.6555940351196597E-3</v>
      </c>
      <c r="FI34">
        <f t="shared" si="421"/>
        <v>5.5848991096806629E-3</v>
      </c>
      <c r="FJ34">
        <f t="shared" si="422"/>
        <v>5.5150878708096537E-3</v>
      </c>
      <c r="FK34">
        <f t="shared" si="423"/>
        <v>5.4461492724245386E-3</v>
      </c>
      <c r="FL34">
        <f t="shared" si="424"/>
        <v>5.37807240651923E-3</v>
      </c>
      <c r="FM34">
        <f t="shared" si="425"/>
        <v>5.3108465014377378E-3</v>
      </c>
      <c r="FN34">
        <f t="shared" si="426"/>
        <v>5.2444609201697688E-3</v>
      </c>
      <c r="FO34">
        <f t="shared" si="427"/>
        <v>5.178905158667646E-3</v>
      </c>
      <c r="FP34">
        <f t="shared" si="428"/>
        <v>5.1141688441842968E-3</v>
      </c>
      <c r="FQ34">
        <f t="shared" si="429"/>
        <v>5.0502417336319881E-3</v>
      </c>
      <c r="FR34">
        <f t="shared" si="430"/>
        <v>4.9871137119615883E-3</v>
      </c>
      <c r="FS34">
        <f t="shared" si="431"/>
        <v>4.9247747905620696E-3</v>
      </c>
      <c r="FT34">
        <f t="shared" si="432"/>
        <v>4.8632151056800408E-3</v>
      </c>
      <c r="FU34">
        <f t="shared" si="433"/>
        <v>4.8024249168590379E-3</v>
      </c>
      <c r="FV34">
        <f t="shared" si="434"/>
        <v>4.7423946053983031E-3</v>
      </c>
      <c r="FW34">
        <f t="shared" si="435"/>
        <v>4.6831146728308235E-3</v>
      </c>
      <c r="FX34">
        <f t="shared" si="436"/>
        <v>4.6245757394204334E-3</v>
      </c>
      <c r="FY34">
        <f t="shared" si="437"/>
        <v>4.5667685426776794E-3</v>
      </c>
      <c r="FZ34">
        <f t="shared" si="438"/>
        <v>4.5096839358942046E-3</v>
      </c>
      <c r="GA34">
        <f t="shared" si="439"/>
        <v>4.4533128866955261E-3</v>
      </c>
      <c r="GB34">
        <f t="shared" si="440"/>
        <v>4.3976464756118275E-3</v>
      </c>
      <c r="GC34">
        <f t="shared" si="441"/>
        <v>4.3426758946666809E-3</v>
      </c>
      <c r="GD34">
        <f t="shared" si="442"/>
        <v>4.2883924459833469E-3</v>
      </c>
      <c r="GE34">
        <f t="shared" si="443"/>
        <v>4.2347875404085576E-3</v>
      </c>
      <c r="GF34">
        <f t="shared" si="444"/>
        <v>4.1818526961534541E-3</v>
      </c>
      <c r="GG34">
        <f t="shared" si="445"/>
        <v>4.1295795374515333E-3</v>
      </c>
      <c r="GH34">
        <f t="shared" si="446"/>
        <v>4.0779597932333878E-3</v>
      </c>
      <c r="GI34">
        <f t="shared" si="447"/>
        <v>4.0269852958179754E-3</v>
      </c>
      <c r="GJ34">
        <f t="shared" si="448"/>
        <v>3.9766479796202511E-3</v>
      </c>
      <c r="GK34">
        <f t="shared" si="449"/>
        <v>3.9269398798750018E-3</v>
      </c>
      <c r="GL34">
        <f t="shared" si="450"/>
        <v>3.877853131376563E-3</v>
      </c>
      <c r="GM34">
        <f t="shared" si="451"/>
        <v>3.8293799672343585E-3</v>
      </c>
      <c r="GN34">
        <f t="shared" si="452"/>
        <v>3.7815127176439312E-3</v>
      </c>
      <c r="GO34">
        <f t="shared" si="453"/>
        <v>3.7342438086733877E-3</v>
      </c>
      <c r="GP34">
        <f t="shared" si="454"/>
        <v>3.6875657610649704E-3</v>
      </c>
      <c r="GQ34">
        <f t="shared" si="455"/>
        <v>3.6414711890516592E-3</v>
      </c>
      <c r="GR34">
        <f t="shared" si="456"/>
        <v>3.5959527991885178E-3</v>
      </c>
      <c r="GS34">
        <f t="shared" si="457"/>
        <v>3.551003389198659E-3</v>
      </c>
      <c r="GT34">
        <f t="shared" si="458"/>
        <v>3.5066158468336716E-3</v>
      </c>
      <c r="GU34">
        <f t="shared" si="459"/>
        <v>3.4627831487482495E-3</v>
      </c>
      <c r="GV34">
        <f t="shared" si="460"/>
        <v>3.4194983593888949E-3</v>
      </c>
      <c r="GW34">
        <f t="shared" si="461"/>
        <v>3.376754629896539E-3</v>
      </c>
      <c r="GX34">
        <f t="shared" si="462"/>
        <v>3.3345451970228312E-3</v>
      </c>
      <c r="GY34">
        <f t="shared" si="463"/>
        <v>3.2928633820600408E-3</v>
      </c>
      <c r="GZ34">
        <f t="shared" si="464"/>
        <v>3.2517025897842887E-3</v>
      </c>
      <c r="HA34">
        <f t="shared" si="465"/>
        <v>3.211056307411986E-3</v>
      </c>
      <c r="HB34">
        <f t="shared" si="466"/>
        <v>3.1709181035693311E-3</v>
      </c>
      <c r="HC34">
        <f t="shared" si="467"/>
        <v>3.1312816272747179E-3</v>
      </c>
      <c r="HD34">
        <f t="shared" si="468"/>
        <v>3.0921406069337799E-3</v>
      </c>
      <c r="HE34">
        <f t="shared" si="469"/>
        <v>3.0534888493471079E-3</v>
      </c>
      <c r="HF34">
        <f t="shared" si="470"/>
        <v>3.0153202387302679E-3</v>
      </c>
      <c r="HG34">
        <f t="shared" si="471"/>
        <v>2.9776287357461406E-3</v>
      </c>
      <c r="HH34">
        <f t="shared" si="472"/>
        <v>2.9404083765493085E-3</v>
      </c>
      <c r="HI34">
        <f t="shared" si="473"/>
        <v>2.9036532718424435E-3</v>
      </c>
      <c r="HJ34">
        <f t="shared" si="474"/>
        <v>2.8673576059444093E-3</v>
      </c>
      <c r="HK34">
        <f t="shared" si="475"/>
        <v>2.8315156358701076E-3</v>
      </c>
      <c r="HL34">
        <f t="shared" si="476"/>
        <v>2.7961216904217267E-3</v>
      </c>
      <c r="HM34">
        <f t="shared" si="477"/>
        <v>2.7611701692914605E-3</v>
      </c>
      <c r="HN34">
        <f t="shared" si="478"/>
        <v>2.7266555421753156E-3</v>
      </c>
      <c r="HO34">
        <f t="shared" si="479"/>
        <v>2.6925723478981255E-3</v>
      </c>
      <c r="HP34">
        <f t="shared" si="480"/>
        <v>2.6589151935493939E-3</v>
      </c>
      <c r="HQ34">
        <f t="shared" si="481"/>
        <v>2.6256787536300232E-3</v>
      </c>
      <c r="HR34">
        <f t="shared" si="482"/>
        <v>2.5928577692096444E-3</v>
      </c>
      <c r="HS34">
        <f t="shared" si="483"/>
        <v>2.5604470470945275E-3</v>
      </c>
      <c r="HT34">
        <f t="shared" si="484"/>
        <v>2.5284414590058478E-3</v>
      </c>
      <c r="HU34">
        <f t="shared" si="485"/>
        <v>2.4968359407682716E-3</v>
      </c>
      <c r="HV34">
        <f t="shared" si="486"/>
        <v>2.4656254915086718E-3</v>
      </c>
      <c r="HW34">
        <f t="shared" si="487"/>
        <v>2.4348051728648179E-3</v>
      </c>
      <c r="HX34">
        <f t="shared" si="488"/>
        <v>2.4043701082040124E-3</v>
      </c>
      <c r="HY34">
        <f t="shared" si="489"/>
        <v>2.3743154818514633E-3</v>
      </c>
      <c r="HZ34">
        <f t="shared" si="490"/>
        <v>2.3446365383283153E-3</v>
      </c>
      <c r="IA34">
        <f t="shared" si="491"/>
        <v>2.3153285815992073E-3</v>
      </c>
      <c r="IB34">
        <f t="shared" si="492"/>
        <v>2.2863869743292133E-3</v>
      </c>
      <c r="IC34">
        <f t="shared" si="493"/>
        <v>2.257807137150103E-3</v>
      </c>
      <c r="ID34">
        <f t="shared" si="494"/>
        <v>2.2295845479357256E-3</v>
      </c>
      <c r="IE34">
        <f t="shared" si="495"/>
        <v>2.2017147410865246E-3</v>
      </c>
      <c r="IF34">
        <f t="shared" si="496"/>
        <v>2.1741933068229469E-3</v>
      </c>
      <c r="IG34">
        <f t="shared" si="497"/>
        <v>2.147015890487658E-3</v>
      </c>
      <c r="IH34">
        <f t="shared" si="498"/>
        <v>2.1201781918565588E-3</v>
      </c>
      <c r="II34">
        <f t="shared" si="499"/>
        <v>2.0936759644583523E-3</v>
      </c>
      <c r="IJ34">
        <f t="shared" si="500"/>
        <v>2.0675050149026263E-3</v>
      </c>
      <c r="IK34">
        <f t="shared" si="501"/>
        <v>2.0416612022163385E-3</v>
      </c>
      <c r="IL34">
        <f t="shared" si="502"/>
        <v>2.0161404371886295E-3</v>
      </c>
      <c r="IM34">
        <f t="shared" si="503"/>
        <v>1.9909386817237749E-3</v>
      </c>
      <c r="IN34">
        <f t="shared" si="504"/>
        <v>1.9660519482022298E-3</v>
      </c>
      <c r="IO34">
        <f t="shared" si="505"/>
        <v>1.9414762988496982E-3</v>
      </c>
      <c r="IP34">
        <f t="shared" si="506"/>
        <v>1.9172078451140772E-3</v>
      </c>
      <c r="IQ34">
        <f t="shared" si="507"/>
        <v>1.8932427470501501E-3</v>
      </c>
      <c r="IR34">
        <f t="shared" si="508"/>
        <v>1.8695772127120258E-3</v>
      </c>
      <c r="IS34">
        <f t="shared" si="509"/>
        <v>1.8462074975531205E-3</v>
      </c>
      <c r="IT34">
        <f t="shared" si="510"/>
        <v>1.823129903833709E-3</v>
      </c>
      <c r="IU34">
        <f t="shared" si="511"/>
        <v>1.8003407800357917E-3</v>
      </c>
      <c r="IV34">
        <f t="shared" si="512"/>
        <v>1.7778365202853474E-3</v>
      </c>
    </row>
    <row r="35" spans="1:256" x14ac:dyDescent="0.2">
      <c r="A35" t="s">
        <v>506</v>
      </c>
      <c r="B35">
        <f t="shared" si="258"/>
        <v>-5.0712442109340262E-2</v>
      </c>
      <c r="C35">
        <f t="shared" si="259"/>
        <v>-3.3431546702628524E-2</v>
      </c>
      <c r="D35">
        <f t="shared" si="260"/>
        <v>-3.2263239942793787E-2</v>
      </c>
      <c r="E35">
        <f t="shared" si="261"/>
        <v>-3.1111700141523591E-2</v>
      </c>
      <c r="F35">
        <f t="shared" si="262"/>
        <v>-2.9977251322628812E-2</v>
      </c>
      <c r="G35">
        <f t="shared" si="263"/>
        <v>-2.8860135792972547E-2</v>
      </c>
      <c r="H35">
        <f t="shared" si="264"/>
        <v>-2.7760518496410602E-2</v>
      </c>
      <c r="I35">
        <f t="shared" si="265"/>
        <v>-2.6678491382534898E-2</v>
      </c>
      <c r="J35">
        <f t="shared" si="266"/>
        <v>-3.53169053896576E-2</v>
      </c>
      <c r="K35">
        <f t="shared" si="267"/>
        <v>-3.508423586270483E-2</v>
      </c>
      <c r="L35">
        <f t="shared" si="268"/>
        <v>-3.4858789436275836E-2</v>
      </c>
      <c r="M35">
        <f t="shared" si="269"/>
        <v>-3.4639978925180406E-2</v>
      </c>
      <c r="N35">
        <f t="shared" si="270"/>
        <v>-3.4427239195961759E-2</v>
      </c>
      <c r="O35">
        <f t="shared" si="271"/>
        <v>-3.422002745542143E-2</v>
      </c>
      <c r="P35">
        <f t="shared" si="272"/>
        <v>-3.401782345567296E-2</v>
      </c>
      <c r="Q35">
        <f t="shared" si="273"/>
        <v>-3.3820129619273095E-2</v>
      </c>
      <c r="R35">
        <f t="shared" si="274"/>
        <v>-2.260570598431744E-2</v>
      </c>
      <c r="S35">
        <f t="shared" si="275"/>
        <v>-2.2757725653678503E-2</v>
      </c>
      <c r="T35">
        <f t="shared" si="276"/>
        <v>-2.2899214507224163E-2</v>
      </c>
      <c r="U35">
        <f t="shared" si="277"/>
        <v>-2.3030750492503665E-2</v>
      </c>
      <c r="V35">
        <f t="shared" si="278"/>
        <v>-2.3152878242287362E-2</v>
      </c>
      <c r="W35">
        <f t="shared" si="279"/>
        <v>-2.3266109734088186E-2</v>
      </c>
      <c r="X35">
        <f t="shared" si="280"/>
        <v>-2.3370925040327378E-2</v>
      </c>
      <c r="Y35">
        <f t="shared" si="281"/>
        <v>-2.346777316215002E-2</v>
      </c>
      <c r="Z35">
        <f t="shared" si="282"/>
        <v>-1.6390243643328258E-2</v>
      </c>
      <c r="AA35">
        <f t="shared" si="283"/>
        <v>-1.6807793110550816E-2</v>
      </c>
      <c r="AB35">
        <f t="shared" si="284"/>
        <v>-1.7203710007484559E-2</v>
      </c>
      <c r="AC35">
        <f t="shared" si="285"/>
        <v>-1.7578806458716737E-2</v>
      </c>
      <c r="AD35">
        <f t="shared" si="286"/>
        <v>-1.7933862177929069E-2</v>
      </c>
      <c r="AE35">
        <f t="shared" si="287"/>
        <v>-1.8269625707588805E-2</v>
      </c>
      <c r="AF35">
        <f t="shared" si="288"/>
        <v>-1.8586815662177916E-2</v>
      </c>
      <c r="AG35">
        <f t="shared" si="289"/>
        <v>-1.8886121964122364E-2</v>
      </c>
      <c r="AH35">
        <f t="shared" si="290"/>
        <v>1.3204062007188844E-2</v>
      </c>
      <c r="AI35">
        <f t="shared" si="291"/>
        <v>1.4607499267675229E-2</v>
      </c>
      <c r="AJ35">
        <f t="shared" si="292"/>
        <v>1.6085720398505941E-2</v>
      </c>
      <c r="AK35">
        <f t="shared" si="293"/>
        <v>1.7645076527307652E-2</v>
      </c>
      <c r="AL35">
        <f t="shared" si="294"/>
        <v>1.92925614136636E-2</v>
      </c>
      <c r="AM35">
        <f t="shared" si="295"/>
        <v>2.1035894576079489E-2</v>
      </c>
      <c r="AN35">
        <f t="shared" si="296"/>
        <v>2.2883616425571879E-2</v>
      </c>
      <c r="AO35">
        <f t="shared" si="297"/>
        <v>2.4845197454875588E-2</v>
      </c>
      <c r="AP35">
        <f t="shared" si="298"/>
        <v>-3.2458743766211537E-2</v>
      </c>
      <c r="AQ35">
        <f t="shared" si="299"/>
        <v>-3.1899999567393013E-2</v>
      </c>
      <c r="AR35">
        <f t="shared" si="300"/>
        <v>-3.1341833479746194E-2</v>
      </c>
      <c r="AS35">
        <f t="shared" si="301"/>
        <v>-3.0783752346492988E-2</v>
      </c>
      <c r="AT35">
        <f t="shared" si="302"/>
        <v>-3.0225268088202174E-2</v>
      </c>
      <c r="AU35">
        <f t="shared" si="303"/>
        <v>-2.9665894872367028E-2</v>
      </c>
      <c r="AV35">
        <f t="shared" si="304"/>
        <v>-2.9105146224415391E-2</v>
      </c>
      <c r="AW35">
        <f t="shared" si="305"/>
        <v>-2.8542532074557907E-2</v>
      </c>
      <c r="AX35">
        <f t="shared" si="306"/>
        <v>-2.7977555732921024E-2</v>
      </c>
      <c r="AY35">
        <f t="shared" si="307"/>
        <v>-2.7548124625112004E-2</v>
      </c>
      <c r="AZ35">
        <f t="shared" si="308"/>
        <v>-2.7093997817049319E-2</v>
      </c>
      <c r="BA35">
        <f t="shared" si="309"/>
        <v>-2.661434887354559E-2</v>
      </c>
      <c r="BB35">
        <f t="shared" si="310"/>
        <v>-2.6108082297510597E-2</v>
      </c>
      <c r="BC35">
        <f t="shared" si="311"/>
        <v>-2.5573809988712098E-2</v>
      </c>
      <c r="BD35">
        <f t="shared" si="312"/>
        <v>-2.5009822327934327E-2</v>
      </c>
      <c r="BE35">
        <f t="shared" si="313"/>
        <v>-2.4414052992918357E-2</v>
      </c>
      <c r="BF35">
        <f t="shared" si="314"/>
        <v>-2.3784036407753815E-2</v>
      </c>
      <c r="BG35">
        <f t="shared" si="315"/>
        <v>-2.3131893024014229E-2</v>
      </c>
      <c r="BH35">
        <f t="shared" si="316"/>
        <v>-2.2455784741758592E-2</v>
      </c>
      <c r="BI35">
        <f t="shared" si="317"/>
        <v>-2.1753293912019432E-2</v>
      </c>
      <c r="BJ35">
        <f t="shared" si="318"/>
        <v>-2.1025823059265879E-2</v>
      </c>
      <c r="BK35">
        <f t="shared" si="319"/>
        <v>-2.0293404447292482E-2</v>
      </c>
      <c r="BL35">
        <f t="shared" si="320"/>
        <v>-1.9555976673444667E-2</v>
      </c>
      <c r="BM35">
        <f t="shared" si="321"/>
        <v>-1.8812832970761653E-2</v>
      </c>
      <c r="BN35">
        <f t="shared" si="322"/>
        <v>-1.8063256265835111E-2</v>
      </c>
      <c r="BO35">
        <f t="shared" si="323"/>
        <v>-1.7306519179967152E-2</v>
      </c>
      <c r="BP35">
        <f t="shared" si="324"/>
        <v>-1.6541883981647309E-2</v>
      </c>
      <c r="BQ35">
        <f t="shared" si="325"/>
        <v>-1.5768602495543318E-2</v>
      </c>
      <c r="BR35">
        <f t="shared" si="326"/>
        <v>-1.498591597298834E-2</v>
      </c>
      <c r="BS35">
        <f t="shared" si="327"/>
        <v>-1.4193054928723439E-2</v>
      </c>
      <c r="BT35">
        <f t="shared" si="328"/>
        <v>-1.338923894842001E-2</v>
      </c>
      <c r="BU35">
        <f t="shared" si="329"/>
        <v>-1.2573676471266637E-2</v>
      </c>
      <c r="BV35">
        <f t="shared" si="330"/>
        <v>-1.1745564551660806E-2</v>
      </c>
      <c r="BW35">
        <f t="shared" si="331"/>
        <v>-1.0904088603799562E-2</v>
      </c>
      <c r="BX35">
        <f t="shared" si="332"/>
        <v>-1.0048422132717973E-2</v>
      </c>
      <c r="BY35">
        <f t="shared" si="333"/>
        <v>-9.1777268034321322E-3</v>
      </c>
      <c r="BZ35">
        <f t="shared" si="334"/>
        <v>-8.2911526402313553E-3</v>
      </c>
      <c r="CA35">
        <f t="shared" si="335"/>
        <v>-7.3878378091075444E-3</v>
      </c>
      <c r="CB35">
        <f t="shared" si="336"/>
        <v>-6.4669083980461008E-3</v>
      </c>
      <c r="CC35">
        <f t="shared" si="337"/>
        <v>-5.5274781975287405E-3</v>
      </c>
      <c r="CD35">
        <f t="shared" si="338"/>
        <v>-4.5686484833921178E-3</v>
      </c>
      <c r="CE35">
        <f t="shared" si="339"/>
        <v>-3.5895078039863081E-3</v>
      </c>
      <c r="CF35">
        <f t="shared" si="340"/>
        <v>-2.5891317733850007E-3</v>
      </c>
      <c r="CG35">
        <f t="shared" si="341"/>
        <v>-1.5665828722145724E-3</v>
      </c>
      <c r="CH35">
        <f t="shared" si="342"/>
        <v>-5.209102574928792E-4</v>
      </c>
      <c r="CI35">
        <f t="shared" si="343"/>
        <v>5.2744114423334263E-4</v>
      </c>
      <c r="CJ35">
        <f t="shared" si="344"/>
        <v>1.5784374147102208E-3</v>
      </c>
      <c r="CK35">
        <f t="shared" si="345"/>
        <v>2.6320571162888108E-3</v>
      </c>
      <c r="CL35">
        <f t="shared" si="346"/>
        <v>3.6882780701458285E-3</v>
      </c>
      <c r="CM35">
        <f t="shared" si="347"/>
        <v>4.747076945099171E-3</v>
      </c>
      <c r="CN35">
        <f t="shared" si="348"/>
        <v>5.8084288669822568E-3</v>
      </c>
      <c r="CO35">
        <f t="shared" si="349"/>
        <v>6.872307049180698E-3</v>
      </c>
      <c r="CP35">
        <f t="shared" si="350"/>
        <v>7.9386824447947035E-3</v>
      </c>
      <c r="CQ35">
        <f t="shared" si="351"/>
        <v>9.0075234207610769E-3</v>
      </c>
      <c r="CR35">
        <f t="shared" si="352"/>
        <v>1.0078795454148576E-2</v>
      </c>
      <c r="CS35">
        <f t="shared" si="353"/>
        <v>1.1152460850729518E-2</v>
      </c>
      <c r="CT35">
        <f t="shared" si="354"/>
        <v>1.2228478485828942E-2</v>
      </c>
      <c r="CU35">
        <f t="shared" si="355"/>
        <v>1.3306803567359133E-2</v>
      </c>
      <c r="CV35">
        <f t="shared" si="356"/>
        <v>1.4387387420861847E-2</v>
      </c>
      <c r="CW35">
        <f t="shared" si="357"/>
        <v>1.5470177296303528E-2</v>
      </c>
      <c r="CX35">
        <f t="shared" si="358"/>
        <v>1.6555116196298802E-2</v>
      </c>
      <c r="CY35">
        <f t="shared" si="359"/>
        <v>1.7642142725373948E-2</v>
      </c>
      <c r="CZ35">
        <f t="shared" si="360"/>
        <v>1.8731190959826154E-2</v>
      </c>
      <c r="DA35">
        <f t="shared" si="361"/>
        <v>1.9822190337684276E-2</v>
      </c>
      <c r="DB35">
        <f t="shared" si="362"/>
        <v>2.0915065568232111E-2</v>
      </c>
      <c r="DC35">
        <f t="shared" si="363"/>
        <v>2.2009736560517475E-2</v>
      </c>
      <c r="DD35">
        <f t="shared" si="364"/>
        <v>2.3106118370236108E-2</v>
      </c>
      <c r="DE35">
        <f t="shared" si="365"/>
        <v>2.4204121164351926E-2</v>
      </c>
      <c r="DF35">
        <f t="shared" si="366"/>
        <v>2.5303650202790608E-2</v>
      </c>
      <c r="DG35">
        <f t="shared" si="367"/>
        <v>2.6404605836524382E-2</v>
      </c>
      <c r="DH35">
        <f t="shared" si="368"/>
        <v>2.7506883521350826E-2</v>
      </c>
      <c r="DI35">
        <f t="shared" si="369"/>
        <v>2.8610373846655674E-2</v>
      </c>
      <c r="DJ35">
        <f t="shared" si="370"/>
        <v>2.9714962578442618E-2</v>
      </c>
      <c r="DK35">
        <f t="shared" si="371"/>
        <v>3.0820530715906909E-2</v>
      </c>
      <c r="DL35">
        <f t="shared" si="372"/>
        <v>3.1926954560828516E-2</v>
      </c>
      <c r="DM35">
        <f t="shared" si="373"/>
        <v>3.3034105799060118E-2</v>
      </c>
      <c r="DN35">
        <f t="shared" si="374"/>
        <v>3.4141851593388971E-2</v>
      </c>
      <c r="DO35">
        <f t="shared" si="375"/>
        <v>3.5250054687057102E-2</v>
      </c>
      <c r="DP35">
        <f t="shared" si="376"/>
        <v>3.6358573517231166E-2</v>
      </c>
      <c r="DQ35">
        <f t="shared" si="377"/>
        <v>3.7467262337722504E-2</v>
      </c>
      <c r="DR35">
        <f t="shared" si="378"/>
        <v>3.857597135027032E-2</v>
      </c>
      <c r="DS35">
        <f t="shared" si="379"/>
        <v>3.9684546843710797E-2</v>
      </c>
      <c r="DT35">
        <f t="shared" si="380"/>
        <v>4.0792831340371719E-2</v>
      </c>
      <c r="DU35">
        <f t="shared" si="381"/>
        <v>4.1900663749044144E-2</v>
      </c>
      <c r="DV35">
        <f t="shared" si="382"/>
        <v>4.300787952390208E-2</v>
      </c>
      <c r="DW35">
        <f t="shared" si="383"/>
        <v>4.4114310828754076E-2</v>
      </c>
      <c r="DX35">
        <f t="shared" si="384"/>
        <v>4.5219786706032383E-2</v>
      </c>
      <c r="DY35">
        <f t="shared" si="385"/>
        <v>4.6324133249940891E-2</v>
      </c>
      <c r="DZ35">
        <f t="shared" si="386"/>
        <v>4.742717378320277E-2</v>
      </c>
      <c r="EA35">
        <f t="shared" si="387"/>
        <v>4.852872903686891E-2</v>
      </c>
      <c r="EB35">
        <f t="shared" si="388"/>
        <v>4.9628617332666727E-2</v>
      </c>
      <c r="EC35">
        <f t="shared" si="389"/>
        <v>5.0726654767389537E-2</v>
      </c>
      <c r="ED35">
        <f t="shared" si="390"/>
        <v>5.1822655398847006E-2</v>
      </c>
      <c r="EE35">
        <f t="shared" si="391"/>
        <v>5.2356348455844082E-2</v>
      </c>
      <c r="EF35">
        <f t="shared" si="392"/>
        <v>5.1701894100146029E-2</v>
      </c>
      <c r="EG35">
        <f t="shared" si="393"/>
        <v>5.10556204238942E-2</v>
      </c>
      <c r="EH35">
        <f t="shared" si="394"/>
        <v>5.0417425168595528E-2</v>
      </c>
      <c r="EI35">
        <f t="shared" si="395"/>
        <v>4.9787207353988082E-2</v>
      </c>
      <c r="EJ35">
        <f t="shared" si="396"/>
        <v>4.9164867262063226E-2</v>
      </c>
      <c r="EK35">
        <f t="shared" si="397"/>
        <v>4.8550306421287437E-2</v>
      </c>
      <c r="EL35">
        <f t="shared" si="398"/>
        <v>4.7943427591021347E-2</v>
      </c>
      <c r="EM35">
        <f t="shared" si="399"/>
        <v>4.7344134746133582E-2</v>
      </c>
      <c r="EN35">
        <f t="shared" si="400"/>
        <v>4.6752333061806914E-2</v>
      </c>
      <c r="EO35">
        <f t="shared" si="401"/>
        <v>4.6167928898534327E-2</v>
      </c>
      <c r="EP35">
        <f t="shared" si="402"/>
        <v>4.5590829787302646E-2</v>
      </c>
      <c r="EQ35">
        <f t="shared" si="403"/>
        <v>4.5020944414961364E-2</v>
      </c>
      <c r="ER35">
        <f t="shared" si="404"/>
        <v>4.4458182609774341E-2</v>
      </c>
      <c r="ES35">
        <f t="shared" si="405"/>
        <v>4.3902455327152166E-2</v>
      </c>
      <c r="ET35">
        <f t="shared" si="406"/>
        <v>4.3353674635562764E-2</v>
      </c>
      <c r="EU35">
        <f t="shared" si="407"/>
        <v>4.2811753702618228E-2</v>
      </c>
      <c r="EV35">
        <f t="shared" si="408"/>
        <v>4.2276606781335505E-2</v>
      </c>
      <c r="EW35">
        <f t="shared" si="409"/>
        <v>4.1748149196568808E-2</v>
      </c>
      <c r="EX35">
        <f t="shared" si="410"/>
        <v>4.1226297331611692E-2</v>
      </c>
      <c r="EY35">
        <f t="shared" si="411"/>
        <v>4.071096861496655E-2</v>
      </c>
      <c r="EZ35">
        <f t="shared" si="412"/>
        <v>4.0202081507279462E-2</v>
      </c>
      <c r="FA35">
        <f t="shared" si="413"/>
        <v>3.9699555488438468E-2</v>
      </c>
      <c r="FB35">
        <f t="shared" si="414"/>
        <v>3.9203311044832989E-2</v>
      </c>
      <c r="FC35">
        <f t="shared" si="415"/>
        <v>3.8713269656772575E-2</v>
      </c>
      <c r="FD35">
        <f t="shared" si="416"/>
        <v>3.8229353786062917E-2</v>
      </c>
      <c r="FE35">
        <f t="shared" si="417"/>
        <v>3.7751486863737124E-2</v>
      </c>
      <c r="FF35">
        <f t="shared" si="418"/>
        <v>3.7279593277940413E-2</v>
      </c>
      <c r="FG35">
        <f t="shared" si="419"/>
        <v>3.6813598361966161E-2</v>
      </c>
      <c r="FH35">
        <f t="shared" si="420"/>
        <v>3.6353428382441585E-2</v>
      </c>
      <c r="FI35">
        <f t="shared" si="421"/>
        <v>3.589901052766107E-2</v>
      </c>
      <c r="FJ35">
        <f t="shared" si="422"/>
        <v>3.5450272896065303E-2</v>
      </c>
      <c r="FK35">
        <f t="shared" si="423"/>
        <v>3.5007144484864486E-2</v>
      </c>
      <c r="FL35">
        <f t="shared" si="424"/>
        <v>3.4569555178803682E-2</v>
      </c>
      <c r="FM35">
        <f t="shared" si="425"/>
        <v>3.4137435739068633E-2</v>
      </c>
      <c r="FN35">
        <f t="shared" si="426"/>
        <v>3.3710717792330279E-2</v>
      </c>
      <c r="FO35">
        <f t="shared" si="427"/>
        <v>3.3289333819926145E-2</v>
      </c>
      <c r="FP35">
        <f t="shared" si="428"/>
        <v>3.2873217147177072E-2</v>
      </c>
      <c r="FQ35">
        <f t="shared" si="429"/>
        <v>3.2462301932837355E-2</v>
      </c>
      <c r="FR35">
        <f t="shared" si="430"/>
        <v>3.2056523158676888E-2</v>
      </c>
      <c r="FS35">
        <f t="shared" si="431"/>
        <v>3.1655816619193422E-2</v>
      </c>
      <c r="FT35">
        <f t="shared" si="432"/>
        <v>3.1260118911453506E-2</v>
      </c>
      <c r="FU35">
        <f t="shared" si="433"/>
        <v>3.0869367425060336E-2</v>
      </c>
      <c r="FV35">
        <f t="shared" si="434"/>
        <v>3.0483500332247081E-2</v>
      </c>
      <c r="FW35">
        <f t="shared" si="435"/>
        <v>3.0102456578093996E-2</v>
      </c>
      <c r="FX35">
        <f t="shared" si="436"/>
        <v>2.9726175870867823E-2</v>
      </c>
      <c r="FY35">
        <f t="shared" si="437"/>
        <v>2.9354598672481969E-2</v>
      </c>
      <c r="FZ35">
        <f t="shared" si="438"/>
        <v>2.8987666189075945E-2</v>
      </c>
      <c r="GA35">
        <f t="shared" si="439"/>
        <v>2.8625320361712493E-2</v>
      </c>
      <c r="GB35">
        <f t="shared" si="440"/>
        <v>2.8267503857191088E-2</v>
      </c>
      <c r="GC35">
        <f t="shared" si="441"/>
        <v>2.7914160058976199E-2</v>
      </c>
      <c r="GD35">
        <f t="shared" si="442"/>
        <v>2.7565233058239002E-2</v>
      </c>
      <c r="GE35">
        <f t="shared" si="443"/>
        <v>2.722066764501101E-2</v>
      </c>
      <c r="GF35">
        <f t="shared" si="444"/>
        <v>2.688040929944837E-2</v>
      </c>
      <c r="GG35">
        <f t="shared" si="445"/>
        <v>2.6544404183205261E-2</v>
      </c>
      <c r="GH35">
        <f t="shared" si="446"/>
        <v>2.6212599130915192E-2</v>
      </c>
      <c r="GI35">
        <f t="shared" si="447"/>
        <v>2.5884941641778757E-2</v>
      </c>
      <c r="GJ35">
        <f t="shared" si="448"/>
        <v>2.5561379871256527E-2</v>
      </c>
      <c r="GK35">
        <f t="shared" si="449"/>
        <v>2.5241862622865818E-2</v>
      </c>
      <c r="GL35">
        <f t="shared" si="450"/>
        <v>2.4926339340079994E-2</v>
      </c>
      <c r="GM35">
        <f t="shared" si="451"/>
        <v>2.461476009832899E-2</v>
      </c>
      <c r="GN35">
        <f t="shared" si="452"/>
        <v>2.4307075597099881E-2</v>
      </c>
      <c r="GO35">
        <f t="shared" si="453"/>
        <v>2.4003237152136137E-2</v>
      </c>
      <c r="GP35">
        <f t="shared" si="454"/>
        <v>2.3703196687734442E-2</v>
      </c>
      <c r="GQ35">
        <f t="shared" si="455"/>
        <v>2.3406906729137755E-2</v>
      </c>
      <c r="GR35">
        <f t="shared" si="456"/>
        <v>2.3114320395023535E-2</v>
      </c>
      <c r="GS35">
        <f t="shared" si="457"/>
        <v>2.2825391390085735E-2</v>
      </c>
      <c r="GT35">
        <f t="shared" si="458"/>
        <v>2.2540073997709666E-2</v>
      </c>
      <c r="GU35">
        <f t="shared" si="459"/>
        <v>2.2258323072738295E-2</v>
      </c>
      <c r="GV35">
        <f t="shared" si="460"/>
        <v>2.1980094034329066E-2</v>
      </c>
      <c r="GW35">
        <f t="shared" si="461"/>
        <v>2.1705342858899957E-2</v>
      </c>
      <c r="GX35">
        <f t="shared" si="462"/>
        <v>2.1434026073163703E-2</v>
      </c>
      <c r="GY35">
        <f t="shared" si="463"/>
        <v>2.1166100747249162E-2</v>
      </c>
      <c r="GZ35">
        <f t="shared" si="464"/>
        <v>2.0901524487908552E-2</v>
      </c>
      <c r="HA35">
        <f t="shared" si="465"/>
        <v>2.0640255431809695E-2</v>
      </c>
      <c r="HB35">
        <f t="shared" si="466"/>
        <v>2.0382252238912081E-2</v>
      </c>
      <c r="HC35">
        <f t="shared" si="467"/>
        <v>2.0127474085925679E-2</v>
      </c>
      <c r="HD35">
        <f t="shared" si="468"/>
        <v>1.9875880659851609E-2</v>
      </c>
      <c r="HE35">
        <f t="shared" si="469"/>
        <v>1.9627432151603463E-2</v>
      </c>
      <c r="HF35">
        <f t="shared" si="470"/>
        <v>1.9382089249708422E-2</v>
      </c>
      <c r="HG35">
        <f t="shared" si="471"/>
        <v>1.913981313408707E-2</v>
      </c>
      <c r="HH35">
        <f t="shared" si="472"/>
        <v>1.8900565469910979E-2</v>
      </c>
      <c r="HI35">
        <f t="shared" si="473"/>
        <v>1.8664308401537089E-2</v>
      </c>
      <c r="HJ35">
        <f t="shared" si="474"/>
        <v>1.843100454651787E-2</v>
      </c>
      <c r="HK35">
        <f t="shared" si="475"/>
        <v>1.8200616989686402E-2</v>
      </c>
      <c r="HL35">
        <f t="shared" si="476"/>
        <v>1.7973109277315324E-2</v>
      </c>
      <c r="HM35">
        <f t="shared" si="477"/>
        <v>1.774844541134888E-2</v>
      </c>
      <c r="HN35">
        <f t="shared" si="478"/>
        <v>1.752658984370702E-2</v>
      </c>
      <c r="HO35">
        <f t="shared" si="479"/>
        <v>1.7307507470660677E-2</v>
      </c>
      <c r="HP35">
        <f t="shared" si="480"/>
        <v>1.7091163627277417E-2</v>
      </c>
      <c r="HQ35">
        <f t="shared" si="481"/>
        <v>1.6877524081936445E-2</v>
      </c>
      <c r="HR35">
        <f t="shared" si="482"/>
        <v>1.6666555030912245E-2</v>
      </c>
      <c r="HS35">
        <f t="shared" si="483"/>
        <v>1.6458223093025838E-2</v>
      </c>
      <c r="HT35">
        <f t="shared" si="484"/>
        <v>1.6252495304363013E-2</v>
      </c>
      <c r="HU35">
        <f t="shared" si="485"/>
        <v>1.6049339113058482E-2</v>
      </c>
      <c r="HV35">
        <f t="shared" si="486"/>
        <v>1.5848722374145252E-2</v>
      </c>
      <c r="HW35">
        <f t="shared" si="487"/>
        <v>1.5650613344468434E-2</v>
      </c>
      <c r="HX35">
        <f t="shared" si="488"/>
        <v>1.5454980677662577E-2</v>
      </c>
      <c r="HY35">
        <f t="shared" si="489"/>
        <v>1.5261793419191793E-2</v>
      </c>
      <c r="HZ35">
        <f t="shared" si="490"/>
        <v>1.5071021001451902E-2</v>
      </c>
      <c r="IA35">
        <f t="shared" si="491"/>
        <v>1.4882633238933751E-2</v>
      </c>
      <c r="IB35">
        <f t="shared" si="492"/>
        <v>1.4696600323447084E-2</v>
      </c>
      <c r="IC35">
        <f t="shared" si="493"/>
        <v>1.4512892819403999E-2</v>
      </c>
      <c r="ID35">
        <f t="shared" si="494"/>
        <v>1.4331481659161449E-2</v>
      </c>
      <c r="IE35">
        <f t="shared" si="495"/>
        <v>1.4152338138421927E-2</v>
      </c>
      <c r="IF35">
        <f t="shared" si="496"/>
        <v>1.3975433911691648E-2</v>
      </c>
      <c r="IG35">
        <f t="shared" si="497"/>
        <v>1.38007409877955E-2</v>
      </c>
      <c r="IH35">
        <f t="shared" si="498"/>
        <v>1.3628231725448059E-2</v>
      </c>
      <c r="II35">
        <f t="shared" si="499"/>
        <v>1.3457878828879954E-2</v>
      </c>
      <c r="IJ35">
        <f t="shared" si="500"/>
        <v>1.3289655343518957E-2</v>
      </c>
      <c r="IK35">
        <f t="shared" si="501"/>
        <v>1.3123534651724967E-2</v>
      </c>
      <c r="IL35">
        <f t="shared" si="502"/>
        <v>1.2959490468578406E-2</v>
      </c>
      <c r="IM35">
        <f t="shared" si="503"/>
        <v>1.2797496837721179E-2</v>
      </c>
      <c r="IN35">
        <f t="shared" si="504"/>
        <v>1.2637528127249664E-2</v>
      </c>
      <c r="IO35">
        <f t="shared" si="505"/>
        <v>1.2479559025659049E-2</v>
      </c>
      <c r="IP35">
        <f t="shared" si="506"/>
        <v>1.2323564537838306E-2</v>
      </c>
      <c r="IQ35">
        <f t="shared" si="507"/>
        <v>1.2169519981115328E-2</v>
      </c>
      <c r="IR35">
        <f t="shared" si="508"/>
        <v>1.201740098135139E-2</v>
      </c>
      <c r="IS35">
        <f t="shared" si="509"/>
        <v>1.1867183469084497E-2</v>
      </c>
      <c r="IT35">
        <f t="shared" si="510"/>
        <v>1.1718843675720935E-2</v>
      </c>
      <c r="IU35">
        <f t="shared" si="511"/>
        <v>1.1572358129774429E-2</v>
      </c>
      <c r="IV35">
        <f t="shared" si="512"/>
        <v>1.1427703653152243E-2</v>
      </c>
    </row>
    <row r="36" spans="1:256" x14ac:dyDescent="0.2">
      <c r="A36" t="s">
        <v>507</v>
      </c>
      <c r="B36">
        <f t="shared" si="258"/>
        <v>-5.0885932217427376E-3</v>
      </c>
      <c r="C36">
        <f t="shared" si="259"/>
        <v>-5.0249858064709552E-3</v>
      </c>
      <c r="D36">
        <f t="shared" si="260"/>
        <v>-4.9621734838900698E-3</v>
      </c>
      <c r="E36">
        <f t="shared" si="261"/>
        <v>-4.9001463153414415E-3</v>
      </c>
      <c r="F36">
        <f t="shared" si="262"/>
        <v>-4.8388944863996756E-3</v>
      </c>
      <c r="G36">
        <f t="shared" si="263"/>
        <v>-4.7784083053196754E-3</v>
      </c>
      <c r="H36">
        <f t="shared" si="264"/>
        <v>-4.7186782015031844E-3</v>
      </c>
      <c r="I36">
        <f t="shared" si="265"/>
        <v>-4.6596947239843922E-3</v>
      </c>
      <c r="J36">
        <f t="shared" si="266"/>
        <v>-3.3016185574386017E-8</v>
      </c>
      <c r="K36">
        <f t="shared" si="267"/>
        <v>-3.2603483252069411E-8</v>
      </c>
      <c r="L36">
        <f t="shared" si="268"/>
        <v>-3.2195939708712371E-8</v>
      </c>
      <c r="M36">
        <f t="shared" si="269"/>
        <v>-3.1793490462561638E-8</v>
      </c>
      <c r="N36">
        <f t="shared" si="270"/>
        <v>-3.1396071831224505E-8</v>
      </c>
      <c r="O36">
        <f t="shared" si="271"/>
        <v>-3.1003620931668865E-8</v>
      </c>
      <c r="P36">
        <f t="shared" si="272"/>
        <v>-3.0616075669120944E-8</v>
      </c>
      <c r="Q36">
        <f t="shared" si="273"/>
        <v>-3.0233374725963104E-8</v>
      </c>
      <c r="R36">
        <f t="shared" si="274"/>
        <v>-1.3836960666147035E-8</v>
      </c>
      <c r="S36">
        <f t="shared" si="275"/>
        <v>-1.3663998660318199E-8</v>
      </c>
      <c r="T36">
        <f t="shared" si="276"/>
        <v>-1.3493198675051942E-8</v>
      </c>
      <c r="U36">
        <f t="shared" si="277"/>
        <v>-1.3324533693070962E-8</v>
      </c>
      <c r="V36">
        <f t="shared" si="278"/>
        <v>-1.3157977024613742E-8</v>
      </c>
      <c r="W36">
        <f t="shared" si="279"/>
        <v>-1.2993502312985682E-8</v>
      </c>
      <c r="X36">
        <f t="shared" si="280"/>
        <v>-1.2831083534559084E-8</v>
      </c>
      <c r="Y36">
        <f t="shared" si="281"/>
        <v>-1.2670694987670928E-8</v>
      </c>
      <c r="Z36">
        <f t="shared" si="282"/>
        <v>-3.9999991488332033E-2</v>
      </c>
      <c r="AA36">
        <f t="shared" si="283"/>
        <v>-3.9499991594727876E-2</v>
      </c>
      <c r="AB36">
        <f t="shared" si="284"/>
        <v>-3.9006241699793776E-2</v>
      </c>
      <c r="AC36">
        <f t="shared" si="285"/>
        <v>-3.851866367854636E-2</v>
      </c>
      <c r="AD36">
        <f t="shared" si="286"/>
        <v>-3.8037180382564525E-2</v>
      </c>
      <c r="AE36">
        <f t="shared" si="287"/>
        <v>-3.7561715627782474E-2</v>
      </c>
      <c r="AF36">
        <f t="shared" si="288"/>
        <v>-3.7092194182435187E-2</v>
      </c>
      <c r="AG36">
        <f t="shared" si="289"/>
        <v>-3.6628541755154752E-2</v>
      </c>
      <c r="AH36">
        <f t="shared" si="290"/>
        <v>5.5679777365112426E-3</v>
      </c>
      <c r="AI36">
        <f t="shared" si="291"/>
        <v>5.49837801480485E-3</v>
      </c>
      <c r="AJ36">
        <f t="shared" si="292"/>
        <v>5.4296482896197869E-3</v>
      </c>
      <c r="AK36">
        <f t="shared" si="293"/>
        <v>5.3617776859995418E-3</v>
      </c>
      <c r="AL36">
        <f t="shared" si="294"/>
        <v>5.2947554649245502E-3</v>
      </c>
      <c r="AM36">
        <f t="shared" si="295"/>
        <v>5.2285710216129931E-3</v>
      </c>
      <c r="AN36">
        <f t="shared" si="296"/>
        <v>5.1632138838428321E-3</v>
      </c>
      <c r="AO36">
        <f t="shared" si="297"/>
        <v>5.0986737102947984E-3</v>
      </c>
      <c r="AP36">
        <f t="shared" si="298"/>
        <v>-3.6703722430810444E-2</v>
      </c>
      <c r="AQ36">
        <f t="shared" si="299"/>
        <v>-3.6244925900425315E-2</v>
      </c>
      <c r="AR36">
        <f t="shared" si="300"/>
        <v>-3.5791864326669996E-2</v>
      </c>
      <c r="AS36">
        <f t="shared" si="301"/>
        <v>-3.5344466022586625E-2</v>
      </c>
      <c r="AT36">
        <f t="shared" si="302"/>
        <v>-3.4902660197304293E-2</v>
      </c>
      <c r="AU36">
        <f t="shared" si="303"/>
        <v>-3.4466376944837993E-2</v>
      </c>
      <c r="AV36">
        <f t="shared" si="304"/>
        <v>-3.4035547233027513E-2</v>
      </c>
      <c r="AW36">
        <f t="shared" si="305"/>
        <v>-3.3610102892614666E-2</v>
      </c>
      <c r="AX36">
        <f t="shared" si="306"/>
        <v>-3.3189976606456985E-2</v>
      </c>
      <c r="AY36">
        <f t="shared" si="307"/>
        <v>-3.2775101898876266E-2</v>
      </c>
      <c r="AZ36">
        <f t="shared" si="308"/>
        <v>-3.236541312514031E-2</v>
      </c>
      <c r="BA36">
        <f t="shared" si="309"/>
        <v>-3.1960845461076061E-2</v>
      </c>
      <c r="BB36">
        <f t="shared" si="310"/>
        <v>-3.1561334892812612E-2</v>
      </c>
      <c r="BC36">
        <f t="shared" si="311"/>
        <v>-3.1166818206652451E-2</v>
      </c>
      <c r="BD36">
        <f t="shared" si="312"/>
        <v>-3.0777232979069296E-2</v>
      </c>
      <c r="BE36">
        <f t="shared" si="313"/>
        <v>-3.039251756683093E-2</v>
      </c>
      <c r="BF36">
        <f t="shared" si="314"/>
        <v>-3.001261109724554E-2</v>
      </c>
      <c r="BG36">
        <f t="shared" si="315"/>
        <v>-2.9637453458529972E-2</v>
      </c>
      <c r="BH36">
        <f t="shared" si="316"/>
        <v>-2.9266985290298347E-2</v>
      </c>
      <c r="BI36">
        <f t="shared" si="317"/>
        <v>-2.8901147974169615E-2</v>
      </c>
      <c r="BJ36">
        <f t="shared" si="318"/>
        <v>-2.8539883624492494E-2</v>
      </c>
      <c r="BK36">
        <f t="shared" si="319"/>
        <v>-2.818313507918634E-2</v>
      </c>
      <c r="BL36">
        <f t="shared" si="320"/>
        <v>-2.7830845890696509E-2</v>
      </c>
      <c r="BM36">
        <f t="shared" si="321"/>
        <v>-2.7482960317062804E-2</v>
      </c>
      <c r="BN36">
        <f t="shared" si="322"/>
        <v>-2.7139423313099521E-2</v>
      </c>
      <c r="BO36">
        <f t="shared" si="323"/>
        <v>-2.6800180521685774E-2</v>
      </c>
      <c r="BP36">
        <f t="shared" si="324"/>
        <v>-2.6465178265164702E-2</v>
      </c>
      <c r="BQ36">
        <f t="shared" si="325"/>
        <v>-2.6134363536850141E-2</v>
      </c>
      <c r="BR36">
        <f t="shared" si="326"/>
        <v>-2.5807683992639514E-2</v>
      </c>
      <c r="BS36">
        <f t="shared" si="327"/>
        <v>-2.5485087942731521E-2</v>
      </c>
      <c r="BT36">
        <f t="shared" si="328"/>
        <v>-2.5166524343447377E-2</v>
      </c>
      <c r="BU36">
        <f t="shared" si="329"/>
        <v>-2.4851942789154285E-2</v>
      </c>
      <c r="BV36">
        <f t="shared" si="330"/>
        <v>-2.4541293504289859E-2</v>
      </c>
      <c r="BW36">
        <f t="shared" si="331"/>
        <v>-2.4234527335486235E-2</v>
      </c>
      <c r="BX36">
        <f t="shared" si="332"/>
        <v>-2.3931595743792656E-2</v>
      </c>
      <c r="BY36">
        <f t="shared" si="333"/>
        <v>-2.3632450796995247E-2</v>
      </c>
      <c r="BZ36">
        <f t="shared" si="334"/>
        <v>-2.3337045162032805E-2</v>
      </c>
      <c r="CA36">
        <f t="shared" si="335"/>
        <v>-2.3045332097507393E-2</v>
      </c>
      <c r="CB36">
        <f t="shared" si="336"/>
        <v>-2.275726544628855E-2</v>
      </c>
      <c r="CC36">
        <f t="shared" si="337"/>
        <v>-2.2472799628209944E-2</v>
      </c>
      <c r="CD36">
        <f t="shared" si="338"/>
        <v>-2.2191889632857321E-2</v>
      </c>
      <c r="CE36">
        <f t="shared" si="339"/>
        <v>-2.1914491012446601E-2</v>
      </c>
      <c r="CF36">
        <f t="shared" si="340"/>
        <v>-2.1640559874791021E-2</v>
      </c>
      <c r="CG36">
        <f t="shared" si="341"/>
        <v>-2.1370052876356134E-2</v>
      </c>
      <c r="CH36">
        <f t="shared" si="342"/>
        <v>-2.110292721540168E-2</v>
      </c>
      <c r="CI36">
        <f t="shared" si="343"/>
        <v>-2.0839140625209158E-2</v>
      </c>
      <c r="CJ36">
        <f t="shared" si="344"/>
        <v>-2.0578651367394042E-2</v>
      </c>
      <c r="CK36">
        <f t="shared" si="345"/>
        <v>-2.0321418225301612E-2</v>
      </c>
      <c r="CL36">
        <f t="shared" si="346"/>
        <v>-2.0067400497485344E-2</v>
      </c>
      <c r="CM36">
        <f t="shared" si="347"/>
        <v>-1.9816557991266776E-2</v>
      </c>
      <c r="CN36">
        <f t="shared" si="348"/>
        <v>-1.9568851016375944E-2</v>
      </c>
      <c r="CO36">
        <f t="shared" si="349"/>
        <v>-1.9324240378671243E-2</v>
      </c>
      <c r="CP36">
        <f t="shared" si="350"/>
        <v>-1.908268737393785E-2</v>
      </c>
      <c r="CQ36">
        <f t="shared" si="351"/>
        <v>-1.8844153781763628E-2</v>
      </c>
      <c r="CR36">
        <f t="shared" si="352"/>
        <v>-1.8608601859491584E-2</v>
      </c>
      <c r="CS36">
        <f t="shared" si="353"/>
        <v>-1.8375994336247942E-2</v>
      </c>
      <c r="CT36">
        <f t="shared" si="354"/>
        <v>-1.8146294407044843E-2</v>
      </c>
      <c r="CU36">
        <f t="shared" si="355"/>
        <v>-1.7919465726956785E-2</v>
      </c>
      <c r="CV36">
        <f t="shared" si="356"/>
        <v>-1.7695472405369828E-2</v>
      </c>
      <c r="CW36">
        <f t="shared" si="357"/>
        <v>-1.7474279000302705E-2</v>
      </c>
      <c r="CX36">
        <f t="shared" si="358"/>
        <v>-1.7255850512798921E-2</v>
      </c>
      <c r="CY36">
        <f t="shared" si="359"/>
        <v>-1.7040152381388934E-2</v>
      </c>
      <c r="CZ36">
        <f t="shared" si="360"/>
        <v>-1.6827150476621571E-2</v>
      </c>
      <c r="DA36">
        <f t="shared" si="361"/>
        <v>-1.6616811095663802E-2</v>
      </c>
      <c r="DB36">
        <f t="shared" si="362"/>
        <v>-1.6409100956968004E-2</v>
      </c>
      <c r="DC36">
        <f t="shared" si="363"/>
        <v>-1.6203987195005903E-2</v>
      </c>
      <c r="DD36">
        <f t="shared" si="364"/>
        <v>-1.6001437355068333E-2</v>
      </c>
      <c r="DE36">
        <f t="shared" si="365"/>
        <v>-1.5801419388129977E-2</v>
      </c>
      <c r="DF36">
        <f t="shared" si="366"/>
        <v>-1.5603901645778351E-2</v>
      </c>
      <c r="DG36">
        <f t="shared" si="367"/>
        <v>-1.540885287520612E-2</v>
      </c>
      <c r="DH36">
        <f t="shared" si="368"/>
        <v>-1.521624221426604E-2</v>
      </c>
      <c r="DI36">
        <f t="shared" si="369"/>
        <v>-1.5026039186587714E-2</v>
      </c>
      <c r="DJ36">
        <f t="shared" si="370"/>
        <v>-1.483821369675537E-2</v>
      </c>
      <c r="DK36">
        <f t="shared" si="371"/>
        <v>-1.4652736025545926E-2</v>
      </c>
      <c r="DL36">
        <f t="shared" si="372"/>
        <v>-1.4469576825226604E-2</v>
      </c>
      <c r="DM36">
        <f t="shared" si="373"/>
        <v>-1.4288707114911269E-2</v>
      </c>
      <c r="DN36">
        <f t="shared" si="374"/>
        <v>-1.411009827597488E-2</v>
      </c>
      <c r="DO36">
        <f t="shared" si="375"/>
        <v>-1.3933722047525193E-2</v>
      </c>
      <c r="DP36">
        <f t="shared" si="376"/>
        <v>-1.3759550521931124E-2</v>
      </c>
      <c r="DQ36">
        <f t="shared" si="377"/>
        <v>-1.3587556140406987E-2</v>
      </c>
      <c r="DR36">
        <f t="shared" si="378"/>
        <v>-1.3417711688651895E-2</v>
      </c>
      <c r="DS36">
        <f t="shared" si="379"/>
        <v>-1.3249990292543751E-2</v>
      </c>
      <c r="DT36">
        <f t="shared" si="380"/>
        <v>-1.308436541388695E-2</v>
      </c>
      <c r="DU36">
        <f t="shared" si="381"/>
        <v>-1.2920810846213365E-2</v>
      </c>
      <c r="DV36">
        <f t="shared" si="382"/>
        <v>-1.2759300710635696E-2</v>
      </c>
      <c r="DW36">
        <f t="shared" si="383"/>
        <v>-1.2599809451752753E-2</v>
      </c>
      <c r="DX36">
        <f t="shared" si="384"/>
        <v>-1.2442311833605842E-2</v>
      </c>
      <c r="DY36">
        <f t="shared" si="385"/>
        <v>-1.2286782935685768E-2</v>
      </c>
      <c r="DZ36">
        <f t="shared" si="386"/>
        <v>-1.2133198148989695E-2</v>
      </c>
      <c r="EA36">
        <f t="shared" si="387"/>
        <v>-1.1981533172127325E-2</v>
      </c>
      <c r="EB36">
        <f t="shared" si="388"/>
        <v>-1.1831764007475733E-2</v>
      </c>
      <c r="EC36">
        <f t="shared" si="389"/>
        <v>-1.1683866957382287E-2</v>
      </c>
      <c r="ED36">
        <f t="shared" si="390"/>
        <v>-1.1537818620415009E-2</v>
      </c>
      <c r="EE36">
        <f t="shared" si="391"/>
        <v>-1.1393595887659824E-2</v>
      </c>
      <c r="EF36">
        <f t="shared" si="392"/>
        <v>-1.1251175939064075E-2</v>
      </c>
      <c r="EG36">
        <f t="shared" si="393"/>
        <v>-1.1110536239825773E-2</v>
      </c>
      <c r="EH36">
        <f t="shared" si="394"/>
        <v>-1.0971654536827951E-2</v>
      </c>
      <c r="EI36">
        <f t="shared" si="395"/>
        <v>-1.0834508855117601E-2</v>
      </c>
      <c r="EJ36">
        <f t="shared" si="396"/>
        <v>-1.0699077494428631E-2</v>
      </c>
      <c r="EK36">
        <f t="shared" si="397"/>
        <v>-1.0565339025748273E-2</v>
      </c>
      <c r="EL36">
        <f t="shared" si="398"/>
        <v>-1.0433272287926419E-2</v>
      </c>
      <c r="EM36">
        <f t="shared" si="399"/>
        <v>-1.030285638432734E-2</v>
      </c>
      <c r="EN36">
        <f t="shared" si="400"/>
        <v>-1.0174070679523249E-2</v>
      </c>
      <c r="EO36">
        <f t="shared" si="401"/>
        <v>-1.0046894796029208E-2</v>
      </c>
      <c r="EP36">
        <f t="shared" si="402"/>
        <v>-9.9213086110788423E-3</v>
      </c>
      <c r="EQ36">
        <f t="shared" si="403"/>
        <v>-9.7972922534403581E-3</v>
      </c>
      <c r="ER36">
        <f t="shared" si="404"/>
        <v>-9.6748261002723539E-3</v>
      </c>
      <c r="ES36">
        <f t="shared" si="405"/>
        <v>-9.5538907740189485E-3</v>
      </c>
      <c r="ET36">
        <f t="shared" si="406"/>
        <v>-9.4344671393437121E-3</v>
      </c>
      <c r="EU36">
        <f t="shared" si="407"/>
        <v>-9.3165363001019141E-3</v>
      </c>
      <c r="EV36">
        <f t="shared" si="408"/>
        <v>-9.2000795963506389E-3</v>
      </c>
      <c r="EW36">
        <f t="shared" si="409"/>
        <v>-9.0850786013962556E-3</v>
      </c>
      <c r="EX36">
        <f t="shared" si="410"/>
        <v>-8.971515118878802E-3</v>
      </c>
      <c r="EY36">
        <f t="shared" si="411"/>
        <v>-8.8593711798928172E-3</v>
      </c>
      <c r="EZ36">
        <f t="shared" si="412"/>
        <v>-8.7486290401441579E-3</v>
      </c>
      <c r="FA36">
        <f t="shared" si="413"/>
        <v>-8.6392711771423568E-3</v>
      </c>
      <c r="FB36">
        <f t="shared" si="414"/>
        <v>-8.5312802874280766E-3</v>
      </c>
      <c r="FC36">
        <f t="shared" si="415"/>
        <v>-8.4246392838352273E-3</v>
      </c>
      <c r="FD36">
        <f t="shared" si="416"/>
        <v>-8.3193312927872867E-3</v>
      </c>
      <c r="FE36">
        <f t="shared" si="417"/>
        <v>-8.215339651627445E-3</v>
      </c>
      <c r="FF36">
        <f t="shared" si="418"/>
        <v>-8.1126479059821024E-3</v>
      </c>
      <c r="FG36">
        <f t="shared" si="419"/>
        <v>-8.0112398071573269E-3</v>
      </c>
      <c r="FH36">
        <f t="shared" si="420"/>
        <v>-7.9110993095678605E-3</v>
      </c>
      <c r="FI36">
        <f t="shared" si="421"/>
        <v>-7.8122105681982619E-3</v>
      </c>
      <c r="FJ36">
        <f t="shared" si="422"/>
        <v>-7.7145579360957828E-3</v>
      </c>
      <c r="FK36">
        <f t="shared" si="423"/>
        <v>-7.6181259618945856E-3</v>
      </c>
      <c r="FL36">
        <f t="shared" si="424"/>
        <v>-7.5228993873709031E-3</v>
      </c>
      <c r="FM36">
        <f t="shared" si="425"/>
        <v>-7.4288631450287676E-3</v>
      </c>
      <c r="FN36">
        <f t="shared" si="426"/>
        <v>-7.3360023557159076E-3</v>
      </c>
      <c r="FO36">
        <f t="shared" si="427"/>
        <v>-7.2443023262694596E-3</v>
      </c>
      <c r="FP36">
        <f t="shared" si="428"/>
        <v>-7.1537485471910925E-3</v>
      </c>
      <c r="FQ36">
        <f t="shared" si="429"/>
        <v>-7.0643266903512043E-3</v>
      </c>
      <c r="FR36">
        <f t="shared" si="430"/>
        <v>-6.9760226067218144E-3</v>
      </c>
      <c r="FS36">
        <f t="shared" si="431"/>
        <v>-6.8888223241377906E-3</v>
      </c>
      <c r="FT36">
        <f t="shared" si="432"/>
        <v>-6.8027120450860666E-3</v>
      </c>
      <c r="FU36">
        <f t="shared" si="433"/>
        <v>-6.7176781445224916E-3</v>
      </c>
      <c r="FV36">
        <f t="shared" si="434"/>
        <v>-6.6337071677159617E-3</v>
      </c>
      <c r="FW36">
        <f t="shared" si="435"/>
        <v>-6.5507858281195113E-3</v>
      </c>
      <c r="FX36">
        <f t="shared" si="436"/>
        <v>-6.4689010052680169E-3</v>
      </c>
      <c r="FY36">
        <f t="shared" si="437"/>
        <v>-6.3880397427021661E-3</v>
      </c>
      <c r="FZ36">
        <f t="shared" si="438"/>
        <v>-6.3081892459183903E-3</v>
      </c>
      <c r="GA36">
        <f t="shared" si="439"/>
        <v>-6.2293368803444087E-3</v>
      </c>
      <c r="GB36">
        <f t="shared" si="440"/>
        <v>-6.1514701693401053E-3</v>
      </c>
      <c r="GC36">
        <f t="shared" si="441"/>
        <v>-6.0745767922233528E-3</v>
      </c>
      <c r="GD36">
        <f t="shared" si="442"/>
        <v>-5.9986445823205599E-3</v>
      </c>
      <c r="GE36">
        <f t="shared" si="443"/>
        <v>-5.923661525041553E-3</v>
      </c>
      <c r="GF36">
        <f t="shared" si="444"/>
        <v>-5.849615755978534E-3</v>
      </c>
      <c r="GG36">
        <f t="shared" si="445"/>
        <v>-5.7764955590288002E-3</v>
      </c>
      <c r="GH36">
        <f t="shared" si="446"/>
        <v>-5.7042893645409421E-3</v>
      </c>
      <c r="GI36">
        <f t="shared" si="447"/>
        <v>-5.6329857474841805E-3</v>
      </c>
      <c r="GJ36">
        <f t="shared" si="448"/>
        <v>-5.5625734256406281E-3</v>
      </c>
      <c r="GK36">
        <f t="shared" si="449"/>
        <v>-5.4930412578201209E-3</v>
      </c>
      <c r="GL36">
        <f t="shared" si="450"/>
        <v>-5.4243782420973705E-3</v>
      </c>
      <c r="GM36">
        <f t="shared" si="451"/>
        <v>-5.3565735140711545E-3</v>
      </c>
      <c r="GN36">
        <f t="shared" si="452"/>
        <v>-5.2896163451452635E-3</v>
      </c>
      <c r="GO36">
        <f t="shared" si="453"/>
        <v>-5.2234961408309478E-3</v>
      </c>
      <c r="GP36">
        <f t="shared" si="454"/>
        <v>-5.1582024390705626E-3</v>
      </c>
      <c r="GQ36">
        <f t="shared" si="455"/>
        <v>-5.09372490858218E-3</v>
      </c>
      <c r="GR36">
        <f t="shared" si="456"/>
        <v>-5.0300533472249012E-3</v>
      </c>
      <c r="GS36">
        <f t="shared" si="457"/>
        <v>-4.9671776803845895E-3</v>
      </c>
      <c r="GT36">
        <f t="shared" si="458"/>
        <v>-4.905087959379782E-3</v>
      </c>
      <c r="GU36">
        <f t="shared" si="459"/>
        <v>-4.8437743598875359E-3</v>
      </c>
      <c r="GV36">
        <f t="shared" si="460"/>
        <v>-4.7832271803889426E-3</v>
      </c>
      <c r="GW36">
        <f t="shared" si="461"/>
        <v>-4.7234368406340807E-3</v>
      </c>
      <c r="GX36">
        <f t="shared" si="462"/>
        <v>-4.6643938801261536E-3</v>
      </c>
      <c r="GY36">
        <f t="shared" si="463"/>
        <v>-4.6060889566245777E-3</v>
      </c>
      <c r="GZ36">
        <f t="shared" si="464"/>
        <v>-4.5485128446667699E-3</v>
      </c>
      <c r="HA36">
        <f t="shared" si="465"/>
        <v>-4.491656434108436E-3</v>
      </c>
      <c r="HB36">
        <f t="shared" si="466"/>
        <v>-4.435510728682081E-3</v>
      </c>
      <c r="HC36">
        <f t="shared" si="467"/>
        <v>-4.3800668445735562E-3</v>
      </c>
      <c r="HD36">
        <f t="shared" si="468"/>
        <v>-4.3253160090163875E-3</v>
      </c>
      <c r="HE36">
        <f t="shared" si="469"/>
        <v>-4.2712495589036824E-3</v>
      </c>
      <c r="HF36">
        <f t="shared" si="470"/>
        <v>-4.2178589394173864E-3</v>
      </c>
      <c r="HG36">
        <f t="shared" si="471"/>
        <v>-4.1651357026746706E-3</v>
      </c>
      <c r="HH36">
        <f t="shared" si="472"/>
        <v>-4.1130715063912374E-3</v>
      </c>
      <c r="HI36">
        <f t="shared" si="473"/>
        <v>-4.0616581125613466E-3</v>
      </c>
      <c r="HJ36">
        <f t="shared" si="474"/>
        <v>-4.0108873861543284E-3</v>
      </c>
      <c r="HK36">
        <f t="shared" si="475"/>
        <v>-3.9607512938273984E-3</v>
      </c>
      <c r="HL36">
        <f t="shared" si="476"/>
        <v>-3.9112419026545563E-3</v>
      </c>
      <c r="HM36">
        <f t="shared" si="477"/>
        <v>-3.8623513788713744E-3</v>
      </c>
      <c r="HN36">
        <f t="shared" si="478"/>
        <v>-3.8140719866354826E-3</v>
      </c>
      <c r="HO36">
        <f t="shared" si="479"/>
        <v>-3.7663960868025382E-3</v>
      </c>
      <c r="HP36">
        <f t="shared" si="480"/>
        <v>-3.7193161357175057E-3</v>
      </c>
      <c r="HQ36">
        <f t="shared" si="481"/>
        <v>-3.672824684021038E-3</v>
      </c>
      <c r="HR36">
        <f t="shared" si="482"/>
        <v>-3.6269143754707757E-3</v>
      </c>
      <c r="HS36">
        <f t="shared" si="483"/>
        <v>-3.5815779457773907E-3</v>
      </c>
      <c r="HT36">
        <f t="shared" si="484"/>
        <v>-3.5368082214551747E-3</v>
      </c>
      <c r="HU36">
        <f t="shared" si="485"/>
        <v>-3.492598118686986E-3</v>
      </c>
      <c r="HV36">
        <f t="shared" si="486"/>
        <v>-3.4489406422033978E-3</v>
      </c>
      <c r="HW36">
        <f t="shared" si="487"/>
        <v>-3.4058288841758559E-3</v>
      </c>
      <c r="HX36">
        <f t="shared" si="488"/>
        <v>-3.3632560231236577E-3</v>
      </c>
      <c r="HY36">
        <f t="shared" si="489"/>
        <v>-3.321215322834613E-3</v>
      </c>
      <c r="HZ36">
        <f t="shared" si="490"/>
        <v>-3.2797001312991807E-3</v>
      </c>
      <c r="IA36">
        <f t="shared" si="491"/>
        <v>-3.2387038796579406E-3</v>
      </c>
      <c r="IB36">
        <f t="shared" si="492"/>
        <v>-3.1982200811622162E-3</v>
      </c>
      <c r="IC36">
        <f t="shared" si="493"/>
        <v>-3.1582423301476882E-3</v>
      </c>
      <c r="ID36">
        <f t="shared" si="494"/>
        <v>-3.1187643010208419E-3</v>
      </c>
      <c r="IE36">
        <f t="shared" si="495"/>
        <v>-3.0797797472580809E-3</v>
      </c>
      <c r="IF36">
        <f t="shared" si="496"/>
        <v>-3.041282500417354E-3</v>
      </c>
      <c r="IG36">
        <f t="shared" si="497"/>
        <v>-3.0032664691621372E-3</v>
      </c>
      <c r="IH36">
        <f t="shared" si="498"/>
        <v>-2.9657256382976103E-3</v>
      </c>
      <c r="II36">
        <f t="shared" si="499"/>
        <v>-2.9286540678188908E-3</v>
      </c>
      <c r="IJ36">
        <f t="shared" si="500"/>
        <v>-2.8920458919711551E-3</v>
      </c>
      <c r="IK36">
        <f t="shared" si="501"/>
        <v>-2.8558953183215148E-3</v>
      </c>
      <c r="IL36">
        <f t="shared" si="502"/>
        <v>-2.820196626842496E-3</v>
      </c>
      <c r="IM36">
        <f t="shared" si="503"/>
        <v>-2.7849441690069657E-3</v>
      </c>
      <c r="IN36">
        <f t="shared" si="504"/>
        <v>-2.7501323668943796E-3</v>
      </c>
      <c r="IO36">
        <f t="shared" si="505"/>
        <v>-2.7157557123082001E-3</v>
      </c>
      <c r="IP36">
        <f t="shared" si="506"/>
        <v>-2.6818087659043464E-3</v>
      </c>
      <c r="IQ36">
        <f t="shared" si="507"/>
        <v>-2.6482861563305411E-3</v>
      </c>
      <c r="IR36">
        <f t="shared" si="508"/>
        <v>-2.6151825793764086E-3</v>
      </c>
      <c r="IS36">
        <f t="shared" si="509"/>
        <v>-2.5824927971342046E-3</v>
      </c>
      <c r="IT36">
        <f t="shared" si="510"/>
        <v>-2.5502116371700261E-3</v>
      </c>
      <c r="IU36">
        <f t="shared" si="511"/>
        <v>-2.5183339917054003E-3</v>
      </c>
      <c r="IV36">
        <f t="shared" si="512"/>
        <v>-2.4868548168090823E-3</v>
      </c>
    </row>
    <row r="37" spans="1:256" x14ac:dyDescent="0.2">
      <c r="A37" t="s">
        <v>508</v>
      </c>
      <c r="B37">
        <f t="shared" ref="B37:B53" si="513">$B139</f>
        <v>0.1</v>
      </c>
      <c r="C37">
        <f t="shared" ref="C37:C53" si="514">$B139</f>
        <v>0.1</v>
      </c>
      <c r="D37">
        <f t="shared" ref="D37:D53" si="515">$B139</f>
        <v>0.1</v>
      </c>
      <c r="E37">
        <f t="shared" ref="E37:E53" si="516">$B139</f>
        <v>0.1</v>
      </c>
      <c r="F37">
        <f t="shared" ref="F37:F53" si="517">$B139</f>
        <v>0.1</v>
      </c>
      <c r="G37">
        <f t="shared" ref="G37:G53" si="518">$B139</f>
        <v>0.1</v>
      </c>
      <c r="H37">
        <f t="shared" ref="H37:H53" si="519">$B139</f>
        <v>0.1</v>
      </c>
      <c r="I37">
        <f t="shared" ref="I37:I53" si="520">$B139</f>
        <v>0.1</v>
      </c>
      <c r="J37">
        <f t="shared" ref="J37:J53" si="521">$C139</f>
        <v>0.1</v>
      </c>
      <c r="K37">
        <f t="shared" ref="K37:K53" si="522">$C139</f>
        <v>0.1</v>
      </c>
      <c r="L37">
        <f t="shared" ref="L37:L53" si="523">$C139</f>
        <v>0.1</v>
      </c>
      <c r="M37">
        <f t="shared" ref="M37:M53" si="524">$C139</f>
        <v>0.1</v>
      </c>
      <c r="N37">
        <f t="shared" ref="N37:N53" si="525">$C139</f>
        <v>0.1</v>
      </c>
      <c r="O37">
        <f t="shared" ref="O37:O53" si="526">$C139</f>
        <v>0.1</v>
      </c>
      <c r="P37">
        <f t="shared" ref="P37:P53" si="527">$C139</f>
        <v>0.1</v>
      </c>
      <c r="Q37">
        <f t="shared" ref="Q37:Q53" si="528">$C139</f>
        <v>0.1</v>
      </c>
      <c r="R37">
        <f t="shared" ref="R37:R53" si="529">$D139</f>
        <v>0.1</v>
      </c>
      <c r="S37">
        <f t="shared" ref="S37:S53" si="530">$D139</f>
        <v>0.1</v>
      </c>
      <c r="T37">
        <f t="shared" ref="T37:T53" si="531">$D139</f>
        <v>0.1</v>
      </c>
      <c r="U37">
        <f t="shared" ref="U37:U53" si="532">$D139</f>
        <v>0.1</v>
      </c>
      <c r="V37">
        <f t="shared" ref="V37:V53" si="533">$D139</f>
        <v>0.1</v>
      </c>
      <c r="W37">
        <f t="shared" ref="W37:W53" si="534">$D139</f>
        <v>0.1</v>
      </c>
      <c r="X37">
        <f t="shared" ref="X37:X53" si="535">$D139</f>
        <v>0.1</v>
      </c>
      <c r="Y37">
        <f t="shared" ref="Y37:Y53" si="536">$D139</f>
        <v>0.1</v>
      </c>
      <c r="Z37">
        <f t="shared" ref="Z37:Z53" si="537">$E139</f>
        <v>0.1</v>
      </c>
      <c r="AA37">
        <f t="shared" ref="AA37:AA53" si="538">$E139</f>
        <v>0.1</v>
      </c>
      <c r="AB37">
        <f t="shared" ref="AB37:AB53" si="539">$E139</f>
        <v>0.1</v>
      </c>
      <c r="AC37">
        <f t="shared" ref="AC37:AC53" si="540">$E139</f>
        <v>0.1</v>
      </c>
      <c r="AD37">
        <f t="shared" ref="AD37:AD53" si="541">$E139</f>
        <v>0.1</v>
      </c>
      <c r="AE37">
        <f t="shared" ref="AE37:AE53" si="542">$E139</f>
        <v>0.1</v>
      </c>
      <c r="AF37">
        <f t="shared" ref="AF37:AF53" si="543">$E139</f>
        <v>0.1</v>
      </c>
      <c r="AG37">
        <f t="shared" ref="AG37:AG53" si="544">$E139</f>
        <v>0.1</v>
      </c>
      <c r="AH37">
        <f t="shared" ref="AH37:AH53" si="545">$F139</f>
        <v>0.93385078430175783</v>
      </c>
      <c r="AI37">
        <f t="shared" ref="AI37:AI53" si="546">$F139</f>
        <v>0.93385078430175783</v>
      </c>
      <c r="AJ37">
        <f t="shared" ref="AJ37:AJ53" si="547">$F139</f>
        <v>0.93385078430175783</v>
      </c>
      <c r="AK37">
        <f t="shared" ref="AK37:AK53" si="548">$F139</f>
        <v>0.93385078430175783</v>
      </c>
      <c r="AL37">
        <f t="shared" ref="AL37:AL53" si="549">$F139</f>
        <v>0.93385078430175783</v>
      </c>
      <c r="AM37">
        <f t="shared" ref="AM37:AM53" si="550">$F139</f>
        <v>0.93385078430175783</v>
      </c>
      <c r="AN37">
        <f t="shared" ref="AN37:AN53" si="551">$F139</f>
        <v>0.93385078430175783</v>
      </c>
      <c r="AO37">
        <f t="shared" ref="AO37:AO53" si="552">$F139</f>
        <v>0.93385078430175783</v>
      </c>
      <c r="AP37">
        <f t="shared" ref="AP37:AP53" si="553">$G139</f>
        <v>1.172816152746244</v>
      </c>
      <c r="AQ37">
        <f t="shared" ref="AQ37:AQ53" si="554">$G139</f>
        <v>1.172816152746244</v>
      </c>
      <c r="AR37">
        <f t="shared" ref="AR37:AR53" si="555">$G139</f>
        <v>1.172816152746244</v>
      </c>
      <c r="AS37">
        <f t="shared" ref="AS37:AS53" si="556">$G139</f>
        <v>1.172816152746244</v>
      </c>
      <c r="AT37">
        <f t="shared" ref="AT37:AT53" si="557">$G139</f>
        <v>1.172816152746244</v>
      </c>
      <c r="AU37">
        <f t="shared" ref="AU37:AU53" si="558">$G139</f>
        <v>1.172816152746244</v>
      </c>
      <c r="AV37">
        <f t="shared" ref="AV37:AV53" si="559">$G139</f>
        <v>1.172816152746244</v>
      </c>
      <c r="AW37">
        <f t="shared" ref="AW37:AW53" si="560">$G139</f>
        <v>1.172816152746244</v>
      </c>
      <c r="AX37">
        <f t="shared" ref="AX37:AX53" si="561">$H139</f>
        <v>0.69352071664777049</v>
      </c>
      <c r="AY37">
        <f t="shared" ref="AY37:AY53" si="562">$H139</f>
        <v>0.69352071664777049</v>
      </c>
      <c r="AZ37">
        <f t="shared" ref="AZ37:AZ53" si="563">$H139</f>
        <v>0.69352071664777049</v>
      </c>
      <c r="BA37">
        <f t="shared" ref="BA37:BA53" si="564">$H139</f>
        <v>0.69352071664777049</v>
      </c>
      <c r="BB37">
        <f t="shared" ref="BB37:BB53" si="565">$H139</f>
        <v>0.69352071664777049</v>
      </c>
      <c r="BC37">
        <f t="shared" ref="BC37:BC53" si="566">$H139</f>
        <v>0.69352071664777049</v>
      </c>
      <c r="BD37">
        <f t="shared" ref="BD37:BD53" si="567">$H139</f>
        <v>0.69352071664777049</v>
      </c>
      <c r="BE37">
        <f t="shared" ref="BE37:BE53" si="568">$H139</f>
        <v>0.69352071664777049</v>
      </c>
      <c r="BF37">
        <f t="shared" ref="BF37:BF53" si="569">$H139</f>
        <v>0.69352071664777049</v>
      </c>
      <c r="BG37">
        <f t="shared" ref="BG37:BG53" si="570">$H139</f>
        <v>0.69352071664777049</v>
      </c>
      <c r="BH37">
        <f t="shared" ref="BH37:BH53" si="571">$H139</f>
        <v>0.69352071664777049</v>
      </c>
      <c r="BI37">
        <f t="shared" ref="BI37:BI53" si="572">$H139</f>
        <v>0.69352071664777049</v>
      </c>
      <c r="BJ37">
        <f t="shared" ref="BJ37:BJ53" si="573">$H139</f>
        <v>0.69352071664777049</v>
      </c>
      <c r="BK37">
        <f t="shared" ref="BK37:BK53" si="574">$H139</f>
        <v>0.69352071664777049</v>
      </c>
      <c r="BL37">
        <f t="shared" ref="BL37:BL53" si="575">$H139</f>
        <v>0.69352071664777049</v>
      </c>
      <c r="BM37">
        <f t="shared" ref="BM37:BM53" si="576">$H139</f>
        <v>0.69352071664777049</v>
      </c>
      <c r="BN37">
        <f t="shared" ref="BN37:BN53" si="577">$H139</f>
        <v>0.69352071664777049</v>
      </c>
      <c r="BO37">
        <f t="shared" ref="BO37:BO53" si="578">$H139</f>
        <v>0.69352071664777049</v>
      </c>
      <c r="BP37">
        <f t="shared" ref="BP37:BP53" si="579">$H139</f>
        <v>0.69352071664777049</v>
      </c>
      <c r="BQ37">
        <f t="shared" ref="BQ37:BQ53" si="580">$H139</f>
        <v>0.69352071664777049</v>
      </c>
      <c r="BR37">
        <f t="shared" ref="BR37:BR53" si="581">$H139</f>
        <v>0.69352071664777049</v>
      </c>
      <c r="BS37">
        <f t="shared" ref="BS37:BS53" si="582">$H139</f>
        <v>0.69352071664777049</v>
      </c>
      <c r="BT37">
        <f t="shared" ref="BT37:BT53" si="583">$H139</f>
        <v>0.69352071664777049</v>
      </c>
      <c r="BU37">
        <f t="shared" ref="BU37:BU53" si="584">$H139</f>
        <v>0.69352071664777049</v>
      </c>
      <c r="BV37">
        <f t="shared" ref="BV37:BV53" si="585">$H139</f>
        <v>0.69352071664777049</v>
      </c>
      <c r="BW37">
        <f t="shared" ref="BW37:BW53" si="586">$H139</f>
        <v>0.69352071664777049</v>
      </c>
      <c r="BX37">
        <f t="shared" ref="BX37:BX53" si="587">$H139</f>
        <v>0.69352071664777049</v>
      </c>
      <c r="BY37">
        <f t="shared" ref="BY37:BY53" si="588">$H139</f>
        <v>0.69352071664777049</v>
      </c>
      <c r="BZ37">
        <f t="shared" ref="BZ37:BZ53" si="589">$H139</f>
        <v>0.69352071664777049</v>
      </c>
      <c r="CA37">
        <f t="shared" ref="CA37:CA53" si="590">$H139</f>
        <v>0.69352071664777049</v>
      </c>
      <c r="CB37">
        <f t="shared" ref="CB37:CB53" si="591">$H139</f>
        <v>0.69352071664777049</v>
      </c>
      <c r="CC37">
        <f t="shared" ref="CC37:CC53" si="592">$H139</f>
        <v>0.69352071664777049</v>
      </c>
      <c r="CD37">
        <f t="shared" ref="CD37:CD53" si="593">$H139</f>
        <v>0.69352071664777049</v>
      </c>
      <c r="CE37">
        <f t="shared" ref="CE37:CE53" si="594">$H139</f>
        <v>0.69352071664777049</v>
      </c>
      <c r="CF37">
        <f t="shared" ref="CF37:CF53" si="595">$H139</f>
        <v>0.69352071664777049</v>
      </c>
      <c r="CG37">
        <f t="shared" ref="CG37:CG53" si="596">$H139</f>
        <v>0.69352071664777049</v>
      </c>
      <c r="CH37">
        <f t="shared" ref="CH37:CH53" si="597">$H139</f>
        <v>0.69352071664777049</v>
      </c>
      <c r="CI37">
        <f t="shared" ref="CI37:CI53" si="598">$H139</f>
        <v>0.69352071664777049</v>
      </c>
      <c r="CJ37">
        <f t="shared" ref="CJ37:CJ53" si="599">$H139</f>
        <v>0.69352071664777049</v>
      </c>
      <c r="CK37">
        <f t="shared" ref="CK37:CK53" si="600">$H139</f>
        <v>0.69352071664777049</v>
      </c>
      <c r="CL37">
        <f t="shared" ref="CL37:CL53" si="601">$H139</f>
        <v>0.69352071664777049</v>
      </c>
      <c r="CM37">
        <f t="shared" ref="CM37:CM53" si="602">$H139</f>
        <v>0.69352071664777049</v>
      </c>
      <c r="CN37">
        <f t="shared" ref="CN37:CN53" si="603">$H139</f>
        <v>0.69352071664777049</v>
      </c>
      <c r="CO37">
        <f t="shared" ref="CO37:CO53" si="604">$H139</f>
        <v>0.69352071664777049</v>
      </c>
      <c r="CP37">
        <f t="shared" ref="CP37:CP53" si="605">$H139</f>
        <v>0.69352071664777049</v>
      </c>
      <c r="CQ37">
        <f t="shared" ref="CQ37:CQ53" si="606">$H139</f>
        <v>0.69352071664777049</v>
      </c>
      <c r="CR37">
        <f t="shared" ref="CR37:CR53" si="607">$H139</f>
        <v>0.69352071664777049</v>
      </c>
      <c r="CS37">
        <f t="shared" ref="CS37:CS53" si="608">$H139</f>
        <v>0.69352071664777049</v>
      </c>
      <c r="CT37">
        <f t="shared" ref="CT37:CT53" si="609">$H139</f>
        <v>0.69352071664777049</v>
      </c>
      <c r="CU37">
        <f t="shared" ref="CU37:CU53" si="610">$H139</f>
        <v>0.69352071664777049</v>
      </c>
      <c r="CV37">
        <f t="shared" ref="CV37:CV53" si="611">$H139</f>
        <v>0.69352071664777049</v>
      </c>
      <c r="CW37">
        <f t="shared" ref="CW37:CW53" si="612">$H139</f>
        <v>0.69352071664777049</v>
      </c>
      <c r="CX37">
        <f t="shared" ref="CX37:CX53" si="613">$H139</f>
        <v>0.69352071664777049</v>
      </c>
      <c r="CY37">
        <f t="shared" ref="CY37:CY53" si="614">$H139</f>
        <v>0.69352071664777049</v>
      </c>
      <c r="CZ37">
        <f t="shared" ref="CZ37:CZ53" si="615">$H139</f>
        <v>0.69352071664777049</v>
      </c>
      <c r="DA37">
        <f t="shared" ref="DA37:DA53" si="616">$H139</f>
        <v>0.69352071664777049</v>
      </c>
      <c r="DB37">
        <f t="shared" ref="DB37:DB53" si="617">$H139</f>
        <v>0.69352071664777049</v>
      </c>
      <c r="DC37">
        <f t="shared" ref="DC37:DC53" si="618">$H139</f>
        <v>0.69352071664777049</v>
      </c>
      <c r="DD37">
        <f t="shared" ref="DD37:DD53" si="619">$H139</f>
        <v>0.69352071664777049</v>
      </c>
      <c r="DE37">
        <f t="shared" ref="DE37:DE53" si="620">$H139</f>
        <v>0.69352071664777049</v>
      </c>
      <c r="DF37">
        <f t="shared" ref="DF37:DF53" si="621">$H139</f>
        <v>0.69352071664777049</v>
      </c>
      <c r="DG37">
        <f t="shared" ref="DG37:DG53" si="622">$H139</f>
        <v>0.69352071664777049</v>
      </c>
      <c r="DH37">
        <f t="shared" ref="DH37:DH53" si="623">$H139</f>
        <v>0.69352071664777049</v>
      </c>
      <c r="DI37">
        <f t="shared" ref="DI37:DI53" si="624">$H139</f>
        <v>0.69352071664777049</v>
      </c>
      <c r="DJ37">
        <f t="shared" ref="DJ37:DJ53" si="625">$H139</f>
        <v>0.69352071664777049</v>
      </c>
      <c r="DK37">
        <f t="shared" ref="DK37:DK53" si="626">$H139</f>
        <v>0.69352071664777049</v>
      </c>
      <c r="DL37">
        <f t="shared" ref="DL37:DL53" si="627">$H139</f>
        <v>0.69352071664777049</v>
      </c>
      <c r="DM37">
        <f t="shared" ref="DM37:DM53" si="628">$H139</f>
        <v>0.69352071664777049</v>
      </c>
      <c r="DN37">
        <f t="shared" ref="DN37:DN53" si="629">$H139</f>
        <v>0.69352071664777049</v>
      </c>
      <c r="DO37">
        <f t="shared" ref="DO37:DO53" si="630">$H139</f>
        <v>0.69352071664777049</v>
      </c>
      <c r="DP37">
        <f t="shared" ref="DP37:DP53" si="631">$H139</f>
        <v>0.69352071664777049</v>
      </c>
      <c r="DQ37">
        <f t="shared" ref="DQ37:DQ53" si="632">$H139</f>
        <v>0.69352071664777049</v>
      </c>
      <c r="DR37">
        <f t="shared" ref="DR37:DR53" si="633">$H139</f>
        <v>0.69352071664777049</v>
      </c>
      <c r="DS37">
        <f t="shared" ref="DS37:DS53" si="634">$H139</f>
        <v>0.69352071664777049</v>
      </c>
      <c r="DT37">
        <f t="shared" ref="DT37:DT53" si="635">$H139</f>
        <v>0.69352071664777049</v>
      </c>
      <c r="DU37">
        <f t="shared" ref="DU37:DU53" si="636">$H139</f>
        <v>0.69352071664777049</v>
      </c>
      <c r="DV37">
        <f t="shared" ref="DV37:DV53" si="637">$H139</f>
        <v>0.69352071664777049</v>
      </c>
      <c r="DW37">
        <f t="shared" ref="DW37:DW53" si="638">$H139</f>
        <v>0.69352071664777049</v>
      </c>
      <c r="DX37">
        <f t="shared" ref="DX37:DX53" si="639">$H139</f>
        <v>0.69352071664777049</v>
      </c>
      <c r="DY37">
        <f t="shared" ref="DY37:DY53" si="640">$H139</f>
        <v>0.69352071664777049</v>
      </c>
      <c r="DZ37">
        <f t="shared" ref="DZ37:DZ53" si="641">$H139</f>
        <v>0.69352071664777049</v>
      </c>
      <c r="EA37">
        <f t="shared" ref="EA37:EA53" si="642">$H139</f>
        <v>0.69352071664777049</v>
      </c>
      <c r="EB37">
        <f t="shared" ref="EB37:EB53" si="643">$H139</f>
        <v>0.69352071664777049</v>
      </c>
      <c r="EC37">
        <f t="shared" ref="EC37:EC53" si="644">$H139</f>
        <v>0.69352071664777049</v>
      </c>
      <c r="ED37">
        <f t="shared" ref="ED37:ED53" si="645">$H139</f>
        <v>0.69352071664777049</v>
      </c>
      <c r="EE37">
        <f t="shared" ref="EE37:EE53" si="646">$H139</f>
        <v>0.69352071664777049</v>
      </c>
      <c r="EF37">
        <f t="shared" ref="EF37:EF53" si="647">$H139</f>
        <v>0.69352071664777049</v>
      </c>
      <c r="EG37">
        <f t="shared" ref="EG37:EG53" si="648">$H139</f>
        <v>0.69352071664777049</v>
      </c>
      <c r="EH37">
        <f t="shared" ref="EH37:EH53" si="649">$H139</f>
        <v>0.69352071664777049</v>
      </c>
      <c r="EI37">
        <f t="shared" ref="EI37:EI53" si="650">$H139</f>
        <v>0.69352071664777049</v>
      </c>
      <c r="EJ37">
        <f t="shared" ref="EJ37:EJ53" si="651">$H139</f>
        <v>0.69352071664777049</v>
      </c>
      <c r="EK37">
        <f t="shared" ref="EK37:EK53" si="652">$H139</f>
        <v>0.69352071664777049</v>
      </c>
      <c r="EL37">
        <f t="shared" ref="EL37:EL53" si="653">$H139</f>
        <v>0.69352071664777049</v>
      </c>
      <c r="EM37">
        <f t="shared" ref="EM37:EM53" si="654">$H139</f>
        <v>0.69352071664777049</v>
      </c>
      <c r="EN37">
        <f t="shared" ref="EN37:EN53" si="655">$H139</f>
        <v>0.69352071664777049</v>
      </c>
      <c r="EO37">
        <f t="shared" ref="EO37:EO53" si="656">$H139</f>
        <v>0.69352071664777049</v>
      </c>
      <c r="EP37">
        <f t="shared" ref="EP37:EP53" si="657">$H139</f>
        <v>0.69352071664777049</v>
      </c>
      <c r="EQ37">
        <f t="shared" ref="EQ37:EQ53" si="658">$H139</f>
        <v>0.69352071664777049</v>
      </c>
      <c r="ER37">
        <f t="shared" ref="ER37:ER53" si="659">$H139</f>
        <v>0.69352071664777049</v>
      </c>
      <c r="ES37">
        <f t="shared" ref="ES37:ES53" si="660">$H139</f>
        <v>0.69352071664777049</v>
      </c>
      <c r="ET37">
        <f t="shared" ref="ET37:ET53" si="661">$H139</f>
        <v>0.69352071664777049</v>
      </c>
      <c r="EU37">
        <f t="shared" ref="EU37:EU53" si="662">$H139</f>
        <v>0.69352071664777049</v>
      </c>
      <c r="EV37">
        <f t="shared" ref="EV37:EV53" si="663">$H139</f>
        <v>0.69352071664777049</v>
      </c>
      <c r="EW37">
        <f t="shared" ref="EW37:EW53" si="664">$H139</f>
        <v>0.69352071664777049</v>
      </c>
      <c r="EX37">
        <f t="shared" ref="EX37:EX53" si="665">$H139</f>
        <v>0.69352071664777049</v>
      </c>
      <c r="EY37">
        <f t="shared" ref="EY37:EY53" si="666">$H139</f>
        <v>0.69352071664777049</v>
      </c>
      <c r="EZ37">
        <f t="shared" ref="EZ37:EZ53" si="667">$H139</f>
        <v>0.69352071664777049</v>
      </c>
      <c r="FA37">
        <f t="shared" ref="FA37:FA53" si="668">$H139</f>
        <v>0.69352071664777049</v>
      </c>
      <c r="FB37">
        <f t="shared" ref="FB37:FB53" si="669">$H139</f>
        <v>0.69352071664777049</v>
      </c>
      <c r="FC37">
        <f t="shared" ref="FC37:FC53" si="670">$H139</f>
        <v>0.69352071664777049</v>
      </c>
      <c r="FD37">
        <f t="shared" ref="FD37:FD53" si="671">$H139</f>
        <v>0.69352071664777049</v>
      </c>
      <c r="FE37">
        <f t="shared" ref="FE37:FE53" si="672">$H139</f>
        <v>0.69352071664777049</v>
      </c>
      <c r="FF37">
        <f t="shared" ref="FF37:FF53" si="673">$H139</f>
        <v>0.69352071664777049</v>
      </c>
      <c r="FG37">
        <f t="shared" ref="FG37:FG53" si="674">$H139</f>
        <v>0.69352071664777049</v>
      </c>
      <c r="FH37">
        <f t="shared" ref="FH37:FH53" si="675">$H139</f>
        <v>0.69352071664777049</v>
      </c>
      <c r="FI37">
        <f t="shared" ref="FI37:FI53" si="676">$H139</f>
        <v>0.69352071664777049</v>
      </c>
      <c r="FJ37">
        <f t="shared" ref="FJ37:FJ53" si="677">$H139</f>
        <v>0.69352071664777049</v>
      </c>
      <c r="FK37">
        <f t="shared" ref="FK37:FK53" si="678">$H139</f>
        <v>0.69352071664777049</v>
      </c>
      <c r="FL37">
        <f t="shared" ref="FL37:FL53" si="679">$H139</f>
        <v>0.69352071664777049</v>
      </c>
      <c r="FM37">
        <f t="shared" ref="FM37:FM53" si="680">$H139</f>
        <v>0.69352071664777049</v>
      </c>
      <c r="FN37">
        <f t="shared" ref="FN37:FN53" si="681">$H139</f>
        <v>0.69352071664777049</v>
      </c>
      <c r="FO37">
        <f t="shared" ref="FO37:FO53" si="682">$H139</f>
        <v>0.69352071664777049</v>
      </c>
      <c r="FP37">
        <f t="shared" ref="FP37:FP53" si="683">$H139</f>
        <v>0.69352071664777049</v>
      </c>
      <c r="FQ37">
        <f t="shared" ref="FQ37:FQ53" si="684">$H139</f>
        <v>0.69352071664777049</v>
      </c>
      <c r="FR37">
        <f t="shared" ref="FR37:FR53" si="685">$H139</f>
        <v>0.69352071664777049</v>
      </c>
      <c r="FS37">
        <f t="shared" ref="FS37:FS53" si="686">$H139</f>
        <v>0.69352071664777049</v>
      </c>
      <c r="FT37">
        <f t="shared" ref="FT37:FT53" si="687">$H139</f>
        <v>0.69352071664777049</v>
      </c>
      <c r="FU37">
        <f t="shared" ref="FU37:FU53" si="688">$H139</f>
        <v>0.69352071664777049</v>
      </c>
      <c r="FV37">
        <f t="shared" ref="FV37:FV53" si="689">$H139</f>
        <v>0.69352071664777049</v>
      </c>
      <c r="FW37">
        <f t="shared" ref="FW37:FW53" si="690">$H139</f>
        <v>0.69352071664777049</v>
      </c>
      <c r="FX37">
        <f t="shared" ref="FX37:FX53" si="691">$H139</f>
        <v>0.69352071664777049</v>
      </c>
      <c r="FY37">
        <f t="shared" ref="FY37:FY53" si="692">$H139</f>
        <v>0.69352071664777049</v>
      </c>
      <c r="FZ37">
        <f t="shared" ref="FZ37:FZ53" si="693">$H139</f>
        <v>0.69352071664777049</v>
      </c>
      <c r="GA37">
        <f t="shared" ref="GA37:GA53" si="694">$H139</f>
        <v>0.69352071664777049</v>
      </c>
      <c r="GB37">
        <f t="shared" ref="GB37:GB53" si="695">$H139</f>
        <v>0.69352071664777049</v>
      </c>
      <c r="GC37">
        <f t="shared" ref="GC37:GC53" si="696">$H139</f>
        <v>0.69352071664777049</v>
      </c>
      <c r="GD37">
        <f t="shared" ref="GD37:GD53" si="697">$H139</f>
        <v>0.69352071664777049</v>
      </c>
      <c r="GE37">
        <f t="shared" ref="GE37:GE53" si="698">$H139</f>
        <v>0.69352071664777049</v>
      </c>
      <c r="GF37">
        <f t="shared" ref="GF37:GF53" si="699">$H139</f>
        <v>0.69352071664777049</v>
      </c>
      <c r="GG37">
        <f t="shared" ref="GG37:GG53" si="700">$H139</f>
        <v>0.69352071664777049</v>
      </c>
      <c r="GH37">
        <f t="shared" ref="GH37:GH53" si="701">$H139</f>
        <v>0.69352071664777049</v>
      </c>
      <c r="GI37">
        <f t="shared" ref="GI37:GI53" si="702">$H139</f>
        <v>0.69352071664777049</v>
      </c>
      <c r="GJ37">
        <f t="shared" ref="GJ37:GJ53" si="703">$H139</f>
        <v>0.69352071664777049</v>
      </c>
      <c r="GK37">
        <f t="shared" ref="GK37:GK53" si="704">$H139</f>
        <v>0.69352071664777049</v>
      </c>
      <c r="GL37">
        <f t="shared" ref="GL37:GL53" si="705">$H139</f>
        <v>0.69352071664777049</v>
      </c>
      <c r="GM37">
        <f t="shared" ref="GM37:GM53" si="706">$H139</f>
        <v>0.69352071664777049</v>
      </c>
      <c r="GN37">
        <f t="shared" ref="GN37:GN53" si="707">$H139</f>
        <v>0.69352071664777049</v>
      </c>
      <c r="GO37">
        <f t="shared" ref="GO37:GO53" si="708">$H139</f>
        <v>0.69352071664777049</v>
      </c>
      <c r="GP37">
        <f t="shared" ref="GP37:GP53" si="709">$H139</f>
        <v>0.69352071664777049</v>
      </c>
      <c r="GQ37">
        <f t="shared" ref="GQ37:GQ53" si="710">$H139</f>
        <v>0.69352071664777049</v>
      </c>
      <c r="GR37">
        <f t="shared" ref="GR37:GR53" si="711">$H139</f>
        <v>0.69352071664777049</v>
      </c>
      <c r="GS37">
        <f t="shared" ref="GS37:GS53" si="712">$H139</f>
        <v>0.69352071664777049</v>
      </c>
      <c r="GT37">
        <f t="shared" ref="GT37:GT53" si="713">$H139</f>
        <v>0.69352071664777049</v>
      </c>
      <c r="GU37">
        <f t="shared" ref="GU37:GU53" si="714">$H139</f>
        <v>0.69352071664777049</v>
      </c>
      <c r="GV37">
        <f t="shared" ref="GV37:GV53" si="715">$H139</f>
        <v>0.69352071664777049</v>
      </c>
      <c r="GW37">
        <f t="shared" ref="GW37:GW53" si="716">$H139</f>
        <v>0.69352071664777049</v>
      </c>
      <c r="GX37">
        <f t="shared" ref="GX37:GX53" si="717">$H139</f>
        <v>0.69352071664777049</v>
      </c>
      <c r="GY37">
        <f t="shared" ref="GY37:GY53" si="718">$H139</f>
        <v>0.69352071664777049</v>
      </c>
      <c r="GZ37">
        <f t="shared" ref="GZ37:GZ53" si="719">$H139</f>
        <v>0.69352071664777049</v>
      </c>
      <c r="HA37">
        <f t="shared" ref="HA37:HA53" si="720">$H139</f>
        <v>0.69352071664777049</v>
      </c>
      <c r="HB37">
        <f t="shared" ref="HB37:HB53" si="721">$H139</f>
        <v>0.69352071664777049</v>
      </c>
      <c r="HC37">
        <f t="shared" ref="HC37:HC53" si="722">$H139</f>
        <v>0.69352071664777049</v>
      </c>
      <c r="HD37">
        <f t="shared" ref="HD37:HD53" si="723">$H139</f>
        <v>0.69352071664777049</v>
      </c>
      <c r="HE37">
        <f t="shared" ref="HE37:HE53" si="724">$H139</f>
        <v>0.69352071664777049</v>
      </c>
      <c r="HF37">
        <f t="shared" ref="HF37:HF53" si="725">$H139</f>
        <v>0.69352071664777049</v>
      </c>
      <c r="HG37">
        <f t="shared" ref="HG37:HG53" si="726">$H139</f>
        <v>0.69352071664777049</v>
      </c>
      <c r="HH37">
        <f t="shared" ref="HH37:HH53" si="727">$H139</f>
        <v>0.69352071664777049</v>
      </c>
      <c r="HI37">
        <f t="shared" ref="HI37:HI53" si="728">$H139</f>
        <v>0.69352071664777049</v>
      </c>
      <c r="HJ37">
        <f t="shared" ref="HJ37:HJ53" si="729">$H139</f>
        <v>0.69352071664777049</v>
      </c>
      <c r="HK37">
        <f t="shared" ref="HK37:HK53" si="730">$H139</f>
        <v>0.69352071664777049</v>
      </c>
      <c r="HL37">
        <f t="shared" ref="HL37:HL53" si="731">$H139</f>
        <v>0.69352071664777049</v>
      </c>
      <c r="HM37">
        <f t="shared" ref="HM37:HM53" si="732">$H139</f>
        <v>0.69352071664777049</v>
      </c>
      <c r="HN37">
        <f t="shared" ref="HN37:HN53" si="733">$H139</f>
        <v>0.69352071664777049</v>
      </c>
      <c r="HO37">
        <f t="shared" ref="HO37:HO53" si="734">$H139</f>
        <v>0.69352071664777049</v>
      </c>
      <c r="HP37">
        <f t="shared" ref="HP37:HP53" si="735">$H139</f>
        <v>0.69352071664777049</v>
      </c>
      <c r="HQ37">
        <f t="shared" ref="HQ37:HQ53" si="736">$H139</f>
        <v>0.69352071664777049</v>
      </c>
      <c r="HR37">
        <f t="shared" ref="HR37:HR53" si="737">$H139</f>
        <v>0.69352071664777049</v>
      </c>
      <c r="HS37">
        <f t="shared" ref="HS37:HS53" si="738">$H139</f>
        <v>0.69352071664777049</v>
      </c>
      <c r="HT37">
        <f t="shared" ref="HT37:HT53" si="739">$H139</f>
        <v>0.69352071664777049</v>
      </c>
      <c r="HU37">
        <f t="shared" ref="HU37:HU53" si="740">$H139</f>
        <v>0.69352071664777049</v>
      </c>
      <c r="HV37">
        <f t="shared" ref="HV37:HV53" si="741">$H139</f>
        <v>0.69352071664777049</v>
      </c>
      <c r="HW37">
        <f t="shared" ref="HW37:HW53" si="742">$H139</f>
        <v>0.69352071664777049</v>
      </c>
      <c r="HX37">
        <f t="shared" ref="HX37:HX53" si="743">$H139</f>
        <v>0.69352071664777049</v>
      </c>
      <c r="HY37">
        <f t="shared" ref="HY37:HY53" si="744">$H139</f>
        <v>0.69352071664777049</v>
      </c>
      <c r="HZ37">
        <f t="shared" ref="HZ37:HZ53" si="745">$H139</f>
        <v>0.69352071664777049</v>
      </c>
      <c r="IA37">
        <f t="shared" ref="IA37:IA53" si="746">$H139</f>
        <v>0.69352071664777049</v>
      </c>
      <c r="IB37">
        <f t="shared" ref="IB37:IB53" si="747">$H139</f>
        <v>0.69352071664777049</v>
      </c>
      <c r="IC37">
        <f t="shared" ref="IC37:IC53" si="748">$H139</f>
        <v>0.69352071664777049</v>
      </c>
      <c r="ID37">
        <f t="shared" ref="ID37:ID53" si="749">$H139</f>
        <v>0.69352071664777049</v>
      </c>
      <c r="IE37">
        <f t="shared" ref="IE37:IE53" si="750">$H139</f>
        <v>0.69352071664777049</v>
      </c>
      <c r="IF37">
        <f t="shared" ref="IF37:IF53" si="751">$H139</f>
        <v>0.69352071664777049</v>
      </c>
      <c r="IG37">
        <f t="shared" ref="IG37:IG53" si="752">$H139</f>
        <v>0.69352071664777049</v>
      </c>
      <c r="IH37">
        <f t="shared" ref="IH37:IH53" si="753">$H139</f>
        <v>0.69352071664777049</v>
      </c>
      <c r="II37">
        <f t="shared" ref="II37:II53" si="754">$H139</f>
        <v>0.69352071664777049</v>
      </c>
      <c r="IJ37">
        <f t="shared" ref="IJ37:IJ53" si="755">$H139</f>
        <v>0.69352071664777049</v>
      </c>
      <c r="IK37">
        <f t="shared" ref="IK37:IK53" si="756">$H139</f>
        <v>0.69352071664777049</v>
      </c>
      <c r="IL37">
        <f t="shared" ref="IL37:IL53" si="757">$H139</f>
        <v>0.69352071664777049</v>
      </c>
      <c r="IM37">
        <f t="shared" ref="IM37:IM53" si="758">$H139</f>
        <v>0.69352071664777049</v>
      </c>
      <c r="IN37">
        <f t="shared" ref="IN37:IN53" si="759">$H139</f>
        <v>0.69352071664777049</v>
      </c>
      <c r="IO37">
        <f t="shared" ref="IO37:IO53" si="760">$H139</f>
        <v>0.69352071664777049</v>
      </c>
      <c r="IP37">
        <f t="shared" ref="IP37:IP53" si="761">$H139</f>
        <v>0.69352071664777049</v>
      </c>
      <c r="IQ37">
        <f t="shared" ref="IQ37:IQ53" si="762">$H139</f>
        <v>0.69352071664777049</v>
      </c>
      <c r="IR37">
        <f t="shared" ref="IR37:IR53" si="763">$H139</f>
        <v>0.69352071664777049</v>
      </c>
      <c r="IS37">
        <f t="shared" ref="IS37:IS53" si="764">$H139</f>
        <v>0.69352071664777049</v>
      </c>
      <c r="IT37">
        <f t="shared" ref="IT37:IT53" si="765">$H139</f>
        <v>0.69352071664777049</v>
      </c>
      <c r="IU37">
        <f t="shared" ref="IU37:IU53" si="766">$H139</f>
        <v>0.69352071664777049</v>
      </c>
      <c r="IV37">
        <f t="shared" ref="IV37:IV53" si="767">$H139</f>
        <v>0.69352071664777049</v>
      </c>
    </row>
    <row r="38" spans="1:256" x14ac:dyDescent="0.2">
      <c r="A38" t="s">
        <v>509</v>
      </c>
      <c r="B38">
        <f t="shared" si="513"/>
        <v>0.53903743248839364</v>
      </c>
      <c r="C38">
        <f t="shared" si="514"/>
        <v>0.53903743248839364</v>
      </c>
      <c r="D38">
        <f t="shared" si="515"/>
        <v>0.53903743248839364</v>
      </c>
      <c r="E38">
        <f t="shared" si="516"/>
        <v>0.53903743248839364</v>
      </c>
      <c r="F38">
        <f t="shared" si="517"/>
        <v>0.53903743248839364</v>
      </c>
      <c r="G38">
        <f t="shared" si="518"/>
        <v>0.53903743248839364</v>
      </c>
      <c r="H38">
        <f t="shared" si="519"/>
        <v>0.53903743248839364</v>
      </c>
      <c r="I38">
        <f t="shared" si="520"/>
        <v>0.53903743248839364</v>
      </c>
      <c r="J38">
        <f t="shared" si="521"/>
        <v>0.48157343501611777</v>
      </c>
      <c r="K38">
        <f t="shared" si="522"/>
        <v>0.48157343501611777</v>
      </c>
      <c r="L38">
        <f t="shared" si="523"/>
        <v>0.48157343501611777</v>
      </c>
      <c r="M38">
        <f t="shared" si="524"/>
        <v>0.48157343501611777</v>
      </c>
      <c r="N38">
        <f t="shared" si="525"/>
        <v>0.48157343501611777</v>
      </c>
      <c r="O38">
        <f t="shared" si="526"/>
        <v>0.48157343501611777</v>
      </c>
      <c r="P38">
        <f t="shared" si="527"/>
        <v>0.48157343501611777</v>
      </c>
      <c r="Q38">
        <f t="shared" si="528"/>
        <v>0.48157343501611777</v>
      </c>
      <c r="R38">
        <f t="shared" si="529"/>
        <v>0.68816862329805084</v>
      </c>
      <c r="S38">
        <f t="shared" si="530"/>
        <v>0.68816862329805084</v>
      </c>
      <c r="T38">
        <f t="shared" si="531"/>
        <v>0.68816862329805084</v>
      </c>
      <c r="U38">
        <f t="shared" si="532"/>
        <v>0.68816862329805084</v>
      </c>
      <c r="V38">
        <f t="shared" si="533"/>
        <v>0.68816862329805084</v>
      </c>
      <c r="W38">
        <f t="shared" si="534"/>
        <v>0.68816862329805084</v>
      </c>
      <c r="X38">
        <f t="shared" si="535"/>
        <v>0.68816862329805084</v>
      </c>
      <c r="Y38">
        <f t="shared" si="536"/>
        <v>0.68816862329805084</v>
      </c>
      <c r="Z38">
        <f t="shared" si="537"/>
        <v>1.3763372465961017</v>
      </c>
      <c r="AA38">
        <f t="shared" si="538"/>
        <v>1.3763372465961017</v>
      </c>
      <c r="AB38">
        <f t="shared" si="539"/>
        <v>1.3763372465961017</v>
      </c>
      <c r="AC38">
        <f t="shared" si="540"/>
        <v>1.3763372465961017</v>
      </c>
      <c r="AD38">
        <f t="shared" si="541"/>
        <v>1.3763372465961017</v>
      </c>
      <c r="AE38">
        <f t="shared" si="542"/>
        <v>1.3763372465961017</v>
      </c>
      <c r="AF38">
        <f t="shared" si="543"/>
        <v>1.3763372465961017</v>
      </c>
      <c r="AG38">
        <f t="shared" si="544"/>
        <v>1.3763372465961017</v>
      </c>
      <c r="AH38">
        <f t="shared" si="545"/>
        <v>0.36852024078369139</v>
      </c>
      <c r="AI38">
        <f t="shared" si="546"/>
        <v>0.36852024078369139</v>
      </c>
      <c r="AJ38">
        <f t="shared" si="547"/>
        <v>0.36852024078369139</v>
      </c>
      <c r="AK38">
        <f t="shared" si="548"/>
        <v>0.36852024078369139</v>
      </c>
      <c r="AL38">
        <f t="shared" si="549"/>
        <v>0.36852024078369139</v>
      </c>
      <c r="AM38">
        <f t="shared" si="550"/>
        <v>0.36852024078369139</v>
      </c>
      <c r="AN38">
        <f t="shared" si="551"/>
        <v>0.36852024078369139</v>
      </c>
      <c r="AO38">
        <f t="shared" si="552"/>
        <v>0.36852024078369139</v>
      </c>
      <c r="AP38">
        <f t="shared" si="553"/>
        <v>0.73704048156738278</v>
      </c>
      <c r="AQ38">
        <f t="shared" si="554"/>
        <v>0.73704048156738278</v>
      </c>
      <c r="AR38">
        <f t="shared" si="555"/>
        <v>0.73704048156738278</v>
      </c>
      <c r="AS38">
        <f t="shared" si="556"/>
        <v>0.73704048156738278</v>
      </c>
      <c r="AT38">
        <f t="shared" si="557"/>
        <v>0.73704048156738278</v>
      </c>
      <c r="AU38">
        <f t="shared" si="558"/>
        <v>0.73704048156738278</v>
      </c>
      <c r="AV38">
        <f t="shared" si="559"/>
        <v>0.73704048156738278</v>
      </c>
      <c r="AW38">
        <f t="shared" si="560"/>
        <v>0.73704048156738278</v>
      </c>
      <c r="AX38">
        <f t="shared" si="561"/>
        <v>0.89071477219517292</v>
      </c>
      <c r="AY38">
        <f t="shared" si="562"/>
        <v>0.89071477219517292</v>
      </c>
      <c r="AZ38">
        <f t="shared" si="563"/>
        <v>0.89071477219517292</v>
      </c>
      <c r="BA38">
        <f t="shared" si="564"/>
        <v>0.89071477219517292</v>
      </c>
      <c r="BB38">
        <f t="shared" si="565"/>
        <v>0.89071477219517292</v>
      </c>
      <c r="BC38">
        <f t="shared" si="566"/>
        <v>0.89071477219517292</v>
      </c>
      <c r="BD38">
        <f t="shared" si="567"/>
        <v>0.89071477219517292</v>
      </c>
      <c r="BE38">
        <f t="shared" si="568"/>
        <v>0.89071477219517292</v>
      </c>
      <c r="BF38">
        <f t="shared" si="569"/>
        <v>0.89071477219517292</v>
      </c>
      <c r="BG38">
        <f t="shared" si="570"/>
        <v>0.89071477219517292</v>
      </c>
      <c r="BH38">
        <f t="shared" si="571"/>
        <v>0.89071477219517292</v>
      </c>
      <c r="BI38">
        <f t="shared" si="572"/>
        <v>0.89071477219517292</v>
      </c>
      <c r="BJ38">
        <f t="shared" si="573"/>
        <v>0.89071477219517292</v>
      </c>
      <c r="BK38">
        <f t="shared" si="574"/>
        <v>0.89071477219517292</v>
      </c>
      <c r="BL38">
        <f t="shared" si="575"/>
        <v>0.89071477219517292</v>
      </c>
      <c r="BM38">
        <f t="shared" si="576"/>
        <v>0.89071477219517292</v>
      </c>
      <c r="BN38">
        <f t="shared" si="577"/>
        <v>0.89071477219517292</v>
      </c>
      <c r="BO38">
        <f t="shared" si="578"/>
        <v>0.89071477219517292</v>
      </c>
      <c r="BP38">
        <f t="shared" si="579"/>
        <v>0.89071477219517292</v>
      </c>
      <c r="BQ38">
        <f t="shared" si="580"/>
        <v>0.89071477219517292</v>
      </c>
      <c r="BR38">
        <f t="shared" si="581"/>
        <v>0.89071477219517292</v>
      </c>
      <c r="BS38">
        <f t="shared" si="582"/>
        <v>0.89071477219517292</v>
      </c>
      <c r="BT38">
        <f t="shared" si="583"/>
        <v>0.89071477219517292</v>
      </c>
      <c r="BU38">
        <f t="shared" si="584"/>
        <v>0.89071477219517292</v>
      </c>
      <c r="BV38">
        <f t="shared" si="585"/>
        <v>0.89071477219517292</v>
      </c>
      <c r="BW38">
        <f t="shared" si="586"/>
        <v>0.89071477219517292</v>
      </c>
      <c r="BX38">
        <f t="shared" si="587"/>
        <v>0.89071477219517292</v>
      </c>
      <c r="BY38">
        <f t="shared" si="588"/>
        <v>0.89071477219517292</v>
      </c>
      <c r="BZ38">
        <f t="shared" si="589"/>
        <v>0.89071477219517292</v>
      </c>
      <c r="CA38">
        <f t="shared" si="590"/>
        <v>0.89071477219517292</v>
      </c>
      <c r="CB38">
        <f t="shared" si="591"/>
        <v>0.89071477219517292</v>
      </c>
      <c r="CC38">
        <f t="shared" si="592"/>
        <v>0.89071477219517292</v>
      </c>
      <c r="CD38">
        <f t="shared" si="593"/>
        <v>0.89071477219517292</v>
      </c>
      <c r="CE38">
        <f t="shared" si="594"/>
        <v>0.89071477219517292</v>
      </c>
      <c r="CF38">
        <f t="shared" si="595"/>
        <v>0.89071477219517292</v>
      </c>
      <c r="CG38">
        <f t="shared" si="596"/>
        <v>0.89071477219517292</v>
      </c>
      <c r="CH38">
        <f t="shared" si="597"/>
        <v>0.89071477219517292</v>
      </c>
      <c r="CI38">
        <f t="shared" si="598"/>
        <v>0.89071477219517292</v>
      </c>
      <c r="CJ38">
        <f t="shared" si="599"/>
        <v>0.89071477219517292</v>
      </c>
      <c r="CK38">
        <f t="shared" si="600"/>
        <v>0.89071477219517292</v>
      </c>
      <c r="CL38">
        <f t="shared" si="601"/>
        <v>0.89071477219517292</v>
      </c>
      <c r="CM38">
        <f t="shared" si="602"/>
        <v>0.89071477219517292</v>
      </c>
      <c r="CN38">
        <f t="shared" si="603"/>
        <v>0.89071477219517292</v>
      </c>
      <c r="CO38">
        <f t="shared" si="604"/>
        <v>0.89071477219517292</v>
      </c>
      <c r="CP38">
        <f t="shared" si="605"/>
        <v>0.89071477219517292</v>
      </c>
      <c r="CQ38">
        <f t="shared" si="606"/>
        <v>0.89071477219517292</v>
      </c>
      <c r="CR38">
        <f t="shared" si="607"/>
        <v>0.89071477219517292</v>
      </c>
      <c r="CS38">
        <f t="shared" si="608"/>
        <v>0.89071477219517292</v>
      </c>
      <c r="CT38">
        <f t="shared" si="609"/>
        <v>0.89071477219517292</v>
      </c>
      <c r="CU38">
        <f t="shared" si="610"/>
        <v>0.89071477219517292</v>
      </c>
      <c r="CV38">
        <f t="shared" si="611"/>
        <v>0.89071477219517292</v>
      </c>
      <c r="CW38">
        <f t="shared" si="612"/>
        <v>0.89071477219517292</v>
      </c>
      <c r="CX38">
        <f t="shared" si="613"/>
        <v>0.89071477219517292</v>
      </c>
      <c r="CY38">
        <f t="shared" si="614"/>
        <v>0.89071477219517292</v>
      </c>
      <c r="CZ38">
        <f t="shared" si="615"/>
        <v>0.89071477219517292</v>
      </c>
      <c r="DA38">
        <f t="shared" si="616"/>
        <v>0.89071477219517292</v>
      </c>
      <c r="DB38">
        <f t="shared" si="617"/>
        <v>0.89071477219517292</v>
      </c>
      <c r="DC38">
        <f t="shared" si="618"/>
        <v>0.89071477219517292</v>
      </c>
      <c r="DD38">
        <f t="shared" si="619"/>
        <v>0.89071477219517292</v>
      </c>
      <c r="DE38">
        <f t="shared" si="620"/>
        <v>0.89071477219517292</v>
      </c>
      <c r="DF38">
        <f t="shared" si="621"/>
        <v>0.89071477219517292</v>
      </c>
      <c r="DG38">
        <f t="shared" si="622"/>
        <v>0.89071477219517292</v>
      </c>
      <c r="DH38">
        <f t="shared" si="623"/>
        <v>0.89071477219517292</v>
      </c>
      <c r="DI38">
        <f t="shared" si="624"/>
        <v>0.89071477219517292</v>
      </c>
      <c r="DJ38">
        <f t="shared" si="625"/>
        <v>0.89071477219517292</v>
      </c>
      <c r="DK38">
        <f t="shared" si="626"/>
        <v>0.89071477219517292</v>
      </c>
      <c r="DL38">
        <f t="shared" si="627"/>
        <v>0.89071477219517292</v>
      </c>
      <c r="DM38">
        <f t="shared" si="628"/>
        <v>0.89071477219517292</v>
      </c>
      <c r="DN38">
        <f t="shared" si="629"/>
        <v>0.89071477219517292</v>
      </c>
      <c r="DO38">
        <f t="shared" si="630"/>
        <v>0.89071477219517292</v>
      </c>
      <c r="DP38">
        <f t="shared" si="631"/>
        <v>0.89071477219517292</v>
      </c>
      <c r="DQ38">
        <f t="shared" si="632"/>
        <v>0.89071477219517292</v>
      </c>
      <c r="DR38">
        <f t="shared" si="633"/>
        <v>0.89071477219517292</v>
      </c>
      <c r="DS38">
        <f t="shared" si="634"/>
        <v>0.89071477219517292</v>
      </c>
      <c r="DT38">
        <f t="shared" si="635"/>
        <v>0.89071477219517292</v>
      </c>
      <c r="DU38">
        <f t="shared" si="636"/>
        <v>0.89071477219517292</v>
      </c>
      <c r="DV38">
        <f t="shared" si="637"/>
        <v>0.89071477219517292</v>
      </c>
      <c r="DW38">
        <f t="shared" si="638"/>
        <v>0.89071477219517292</v>
      </c>
      <c r="DX38">
        <f t="shared" si="639"/>
        <v>0.89071477219517292</v>
      </c>
      <c r="DY38">
        <f t="shared" si="640"/>
        <v>0.89071477219517292</v>
      </c>
      <c r="DZ38">
        <f t="shared" si="641"/>
        <v>0.89071477219517292</v>
      </c>
      <c r="EA38">
        <f t="shared" si="642"/>
        <v>0.89071477219517292</v>
      </c>
      <c r="EB38">
        <f t="shared" si="643"/>
        <v>0.89071477219517292</v>
      </c>
      <c r="EC38">
        <f t="shared" si="644"/>
        <v>0.89071477219517292</v>
      </c>
      <c r="ED38">
        <f t="shared" si="645"/>
        <v>0.89071477219517292</v>
      </c>
      <c r="EE38">
        <f t="shared" si="646"/>
        <v>0.89071477219517292</v>
      </c>
      <c r="EF38">
        <f t="shared" si="647"/>
        <v>0.89071477219517292</v>
      </c>
      <c r="EG38">
        <f t="shared" si="648"/>
        <v>0.89071477219517292</v>
      </c>
      <c r="EH38">
        <f t="shared" si="649"/>
        <v>0.89071477219517292</v>
      </c>
      <c r="EI38">
        <f t="shared" si="650"/>
        <v>0.89071477219517292</v>
      </c>
      <c r="EJ38">
        <f t="shared" si="651"/>
        <v>0.89071477219517292</v>
      </c>
      <c r="EK38">
        <f t="shared" si="652"/>
        <v>0.89071477219517292</v>
      </c>
      <c r="EL38">
        <f t="shared" si="653"/>
        <v>0.89071477219517292</v>
      </c>
      <c r="EM38">
        <f t="shared" si="654"/>
        <v>0.89071477219517292</v>
      </c>
      <c r="EN38">
        <f t="shared" si="655"/>
        <v>0.89071477219517292</v>
      </c>
      <c r="EO38">
        <f t="shared" si="656"/>
        <v>0.89071477219517292</v>
      </c>
      <c r="EP38">
        <f t="shared" si="657"/>
        <v>0.89071477219517292</v>
      </c>
      <c r="EQ38">
        <f t="shared" si="658"/>
        <v>0.89071477219517292</v>
      </c>
      <c r="ER38">
        <f t="shared" si="659"/>
        <v>0.89071477219517292</v>
      </c>
      <c r="ES38">
        <f t="shared" si="660"/>
        <v>0.89071477219517292</v>
      </c>
      <c r="ET38">
        <f t="shared" si="661"/>
        <v>0.89071477219517292</v>
      </c>
      <c r="EU38">
        <f t="shared" si="662"/>
        <v>0.89071477219517292</v>
      </c>
      <c r="EV38">
        <f t="shared" si="663"/>
        <v>0.89071477219517292</v>
      </c>
      <c r="EW38">
        <f t="shared" si="664"/>
        <v>0.89071477219517292</v>
      </c>
      <c r="EX38">
        <f t="shared" si="665"/>
        <v>0.89071477219517292</v>
      </c>
      <c r="EY38">
        <f t="shared" si="666"/>
        <v>0.89071477219517292</v>
      </c>
      <c r="EZ38">
        <f t="shared" si="667"/>
        <v>0.89071477219517292</v>
      </c>
      <c r="FA38">
        <f t="shared" si="668"/>
        <v>0.89071477219517292</v>
      </c>
      <c r="FB38">
        <f t="shared" si="669"/>
        <v>0.89071477219517292</v>
      </c>
      <c r="FC38">
        <f t="shared" si="670"/>
        <v>0.89071477219517292</v>
      </c>
      <c r="FD38">
        <f t="shared" si="671"/>
        <v>0.89071477219517292</v>
      </c>
      <c r="FE38">
        <f t="shared" si="672"/>
        <v>0.89071477219517292</v>
      </c>
      <c r="FF38">
        <f t="shared" si="673"/>
        <v>0.89071477219517292</v>
      </c>
      <c r="FG38">
        <f t="shared" si="674"/>
        <v>0.89071477219517292</v>
      </c>
      <c r="FH38">
        <f t="shared" si="675"/>
        <v>0.89071477219517292</v>
      </c>
      <c r="FI38">
        <f t="shared" si="676"/>
        <v>0.89071477219517292</v>
      </c>
      <c r="FJ38">
        <f t="shared" si="677"/>
        <v>0.89071477219517292</v>
      </c>
      <c r="FK38">
        <f t="shared" si="678"/>
        <v>0.89071477219517292</v>
      </c>
      <c r="FL38">
        <f t="shared" si="679"/>
        <v>0.89071477219517292</v>
      </c>
      <c r="FM38">
        <f t="shared" si="680"/>
        <v>0.89071477219517292</v>
      </c>
      <c r="FN38">
        <f t="shared" si="681"/>
        <v>0.89071477219517292</v>
      </c>
      <c r="FO38">
        <f t="shared" si="682"/>
        <v>0.89071477219517292</v>
      </c>
      <c r="FP38">
        <f t="shared" si="683"/>
        <v>0.89071477219517292</v>
      </c>
      <c r="FQ38">
        <f t="shared" si="684"/>
        <v>0.89071477219517292</v>
      </c>
      <c r="FR38">
        <f t="shared" si="685"/>
        <v>0.89071477219517292</v>
      </c>
      <c r="FS38">
        <f t="shared" si="686"/>
        <v>0.89071477219517292</v>
      </c>
      <c r="FT38">
        <f t="shared" si="687"/>
        <v>0.89071477219517292</v>
      </c>
      <c r="FU38">
        <f t="shared" si="688"/>
        <v>0.89071477219517292</v>
      </c>
      <c r="FV38">
        <f t="shared" si="689"/>
        <v>0.89071477219517292</v>
      </c>
      <c r="FW38">
        <f t="shared" si="690"/>
        <v>0.89071477219517292</v>
      </c>
      <c r="FX38">
        <f t="shared" si="691"/>
        <v>0.89071477219517292</v>
      </c>
      <c r="FY38">
        <f t="shared" si="692"/>
        <v>0.89071477219517292</v>
      </c>
      <c r="FZ38">
        <f t="shared" si="693"/>
        <v>0.89071477219517292</v>
      </c>
      <c r="GA38">
        <f t="shared" si="694"/>
        <v>0.89071477219517292</v>
      </c>
      <c r="GB38">
        <f t="shared" si="695"/>
        <v>0.89071477219517292</v>
      </c>
      <c r="GC38">
        <f t="shared" si="696"/>
        <v>0.89071477219517292</v>
      </c>
      <c r="GD38">
        <f t="shared" si="697"/>
        <v>0.89071477219517292</v>
      </c>
      <c r="GE38">
        <f t="shared" si="698"/>
        <v>0.89071477219517292</v>
      </c>
      <c r="GF38">
        <f t="shared" si="699"/>
        <v>0.89071477219517292</v>
      </c>
      <c r="GG38">
        <f t="shared" si="700"/>
        <v>0.89071477219517292</v>
      </c>
      <c r="GH38">
        <f t="shared" si="701"/>
        <v>0.89071477219517292</v>
      </c>
      <c r="GI38">
        <f t="shared" si="702"/>
        <v>0.89071477219517292</v>
      </c>
      <c r="GJ38">
        <f t="shared" si="703"/>
        <v>0.89071477219517292</v>
      </c>
      <c r="GK38">
        <f t="shared" si="704"/>
        <v>0.89071477219517292</v>
      </c>
      <c r="GL38">
        <f t="shared" si="705"/>
        <v>0.89071477219517292</v>
      </c>
      <c r="GM38">
        <f t="shared" si="706"/>
        <v>0.89071477219517292</v>
      </c>
      <c r="GN38">
        <f t="shared" si="707"/>
        <v>0.89071477219517292</v>
      </c>
      <c r="GO38">
        <f t="shared" si="708"/>
        <v>0.89071477219517292</v>
      </c>
      <c r="GP38">
        <f t="shared" si="709"/>
        <v>0.89071477219517292</v>
      </c>
      <c r="GQ38">
        <f t="shared" si="710"/>
        <v>0.89071477219517292</v>
      </c>
      <c r="GR38">
        <f t="shared" si="711"/>
        <v>0.89071477219517292</v>
      </c>
      <c r="GS38">
        <f t="shared" si="712"/>
        <v>0.89071477219517292</v>
      </c>
      <c r="GT38">
        <f t="shared" si="713"/>
        <v>0.89071477219517292</v>
      </c>
      <c r="GU38">
        <f t="shared" si="714"/>
        <v>0.89071477219517292</v>
      </c>
      <c r="GV38">
        <f t="shared" si="715"/>
        <v>0.89071477219517292</v>
      </c>
      <c r="GW38">
        <f t="shared" si="716"/>
        <v>0.89071477219517292</v>
      </c>
      <c r="GX38">
        <f t="shared" si="717"/>
        <v>0.89071477219517292</v>
      </c>
      <c r="GY38">
        <f t="shared" si="718"/>
        <v>0.89071477219517292</v>
      </c>
      <c r="GZ38">
        <f t="shared" si="719"/>
        <v>0.89071477219517292</v>
      </c>
      <c r="HA38">
        <f t="shared" si="720"/>
        <v>0.89071477219517292</v>
      </c>
      <c r="HB38">
        <f t="shared" si="721"/>
        <v>0.89071477219517292</v>
      </c>
      <c r="HC38">
        <f t="shared" si="722"/>
        <v>0.89071477219517292</v>
      </c>
      <c r="HD38">
        <f t="shared" si="723"/>
        <v>0.89071477219517292</v>
      </c>
      <c r="HE38">
        <f t="shared" si="724"/>
        <v>0.89071477219517292</v>
      </c>
      <c r="HF38">
        <f t="shared" si="725"/>
        <v>0.89071477219517292</v>
      </c>
      <c r="HG38">
        <f t="shared" si="726"/>
        <v>0.89071477219517292</v>
      </c>
      <c r="HH38">
        <f t="shared" si="727"/>
        <v>0.89071477219517292</v>
      </c>
      <c r="HI38">
        <f t="shared" si="728"/>
        <v>0.89071477219517292</v>
      </c>
      <c r="HJ38">
        <f t="shared" si="729"/>
        <v>0.89071477219517292</v>
      </c>
      <c r="HK38">
        <f t="shared" si="730"/>
        <v>0.89071477219517292</v>
      </c>
      <c r="HL38">
        <f t="shared" si="731"/>
        <v>0.89071477219517292</v>
      </c>
      <c r="HM38">
        <f t="shared" si="732"/>
        <v>0.89071477219517292</v>
      </c>
      <c r="HN38">
        <f t="shared" si="733"/>
        <v>0.89071477219517292</v>
      </c>
      <c r="HO38">
        <f t="shared" si="734"/>
        <v>0.89071477219517292</v>
      </c>
      <c r="HP38">
        <f t="shared" si="735"/>
        <v>0.89071477219517292</v>
      </c>
      <c r="HQ38">
        <f t="shared" si="736"/>
        <v>0.89071477219517292</v>
      </c>
      <c r="HR38">
        <f t="shared" si="737"/>
        <v>0.89071477219517292</v>
      </c>
      <c r="HS38">
        <f t="shared" si="738"/>
        <v>0.89071477219517292</v>
      </c>
      <c r="HT38">
        <f t="shared" si="739"/>
        <v>0.89071477219517292</v>
      </c>
      <c r="HU38">
        <f t="shared" si="740"/>
        <v>0.89071477219517292</v>
      </c>
      <c r="HV38">
        <f t="shared" si="741"/>
        <v>0.89071477219517292</v>
      </c>
      <c r="HW38">
        <f t="shared" si="742"/>
        <v>0.89071477219517292</v>
      </c>
      <c r="HX38">
        <f t="shared" si="743"/>
        <v>0.89071477219517292</v>
      </c>
      <c r="HY38">
        <f t="shared" si="744"/>
        <v>0.89071477219517292</v>
      </c>
      <c r="HZ38">
        <f t="shared" si="745"/>
        <v>0.89071477219517292</v>
      </c>
      <c r="IA38">
        <f t="shared" si="746"/>
        <v>0.89071477219517292</v>
      </c>
      <c r="IB38">
        <f t="shared" si="747"/>
        <v>0.89071477219517292</v>
      </c>
      <c r="IC38">
        <f t="shared" si="748"/>
        <v>0.89071477219517292</v>
      </c>
      <c r="ID38">
        <f t="shared" si="749"/>
        <v>0.89071477219517292</v>
      </c>
      <c r="IE38">
        <f t="shared" si="750"/>
        <v>0.89071477219517292</v>
      </c>
      <c r="IF38">
        <f t="shared" si="751"/>
        <v>0.89071477219517292</v>
      </c>
      <c r="IG38">
        <f t="shared" si="752"/>
        <v>0.89071477219517292</v>
      </c>
      <c r="IH38">
        <f t="shared" si="753"/>
        <v>0.89071477219517292</v>
      </c>
      <c r="II38">
        <f t="shared" si="754"/>
        <v>0.89071477219517292</v>
      </c>
      <c r="IJ38">
        <f t="shared" si="755"/>
        <v>0.89071477219517292</v>
      </c>
      <c r="IK38">
        <f t="shared" si="756"/>
        <v>0.89071477219517292</v>
      </c>
      <c r="IL38">
        <f t="shared" si="757"/>
        <v>0.89071477219517292</v>
      </c>
      <c r="IM38">
        <f t="shared" si="758"/>
        <v>0.89071477219517292</v>
      </c>
      <c r="IN38">
        <f t="shared" si="759"/>
        <v>0.89071477219517292</v>
      </c>
      <c r="IO38">
        <f t="shared" si="760"/>
        <v>0.89071477219517292</v>
      </c>
      <c r="IP38">
        <f t="shared" si="761"/>
        <v>0.89071477219517292</v>
      </c>
      <c r="IQ38">
        <f t="shared" si="762"/>
        <v>0.89071477219517292</v>
      </c>
      <c r="IR38">
        <f t="shared" si="763"/>
        <v>0.89071477219517292</v>
      </c>
      <c r="IS38">
        <f t="shared" si="764"/>
        <v>0.89071477219517292</v>
      </c>
      <c r="IT38">
        <f t="shared" si="765"/>
        <v>0.89071477219517292</v>
      </c>
      <c r="IU38">
        <f t="shared" si="766"/>
        <v>0.89071477219517292</v>
      </c>
      <c r="IV38">
        <f t="shared" si="767"/>
        <v>0.89071477219517292</v>
      </c>
    </row>
    <row r="39" spans="1:256" x14ac:dyDescent="0.2">
      <c r="A39" t="s">
        <v>510</v>
      </c>
      <c r="B39">
        <f t="shared" si="513"/>
        <v>0.9767330841875792</v>
      </c>
      <c r="C39">
        <f t="shared" si="514"/>
        <v>0.9767330841875792</v>
      </c>
      <c r="D39">
        <f t="shared" si="515"/>
        <v>0.9767330841875792</v>
      </c>
      <c r="E39">
        <f t="shared" si="516"/>
        <v>0.9767330841875792</v>
      </c>
      <c r="F39">
        <f t="shared" si="517"/>
        <v>0.9767330841875792</v>
      </c>
      <c r="G39">
        <f t="shared" si="518"/>
        <v>0.9767330841875792</v>
      </c>
      <c r="H39">
        <f t="shared" si="519"/>
        <v>0.9767330841875792</v>
      </c>
      <c r="I39">
        <f t="shared" si="520"/>
        <v>0.9767330841875792</v>
      </c>
      <c r="J39">
        <f t="shared" si="521"/>
        <v>0.1</v>
      </c>
      <c r="K39">
        <f t="shared" si="522"/>
        <v>0.1</v>
      </c>
      <c r="L39">
        <f t="shared" si="523"/>
        <v>0.1</v>
      </c>
      <c r="M39">
        <f t="shared" si="524"/>
        <v>0.1</v>
      </c>
      <c r="N39">
        <f t="shared" si="525"/>
        <v>0.1</v>
      </c>
      <c r="O39">
        <f t="shared" si="526"/>
        <v>0.1</v>
      </c>
      <c r="P39">
        <f t="shared" si="527"/>
        <v>0.1</v>
      </c>
      <c r="Q39">
        <f t="shared" si="528"/>
        <v>0.1</v>
      </c>
      <c r="R39">
        <f t="shared" si="529"/>
        <v>0.1</v>
      </c>
      <c r="S39">
        <f t="shared" si="530"/>
        <v>0.1</v>
      </c>
      <c r="T39">
        <f t="shared" si="531"/>
        <v>0.1</v>
      </c>
      <c r="U39">
        <f t="shared" si="532"/>
        <v>0.1</v>
      </c>
      <c r="V39">
        <f t="shared" si="533"/>
        <v>0.1</v>
      </c>
      <c r="W39">
        <f t="shared" si="534"/>
        <v>0.1</v>
      </c>
      <c r="X39">
        <f t="shared" si="535"/>
        <v>0.1</v>
      </c>
      <c r="Y39">
        <f t="shared" si="536"/>
        <v>0.1</v>
      </c>
      <c r="Z39">
        <f t="shared" si="537"/>
        <v>0.19999999999999998</v>
      </c>
      <c r="AA39">
        <f t="shared" si="538"/>
        <v>0.19999999999999998</v>
      </c>
      <c r="AB39">
        <f t="shared" si="539"/>
        <v>0.19999999999999998</v>
      </c>
      <c r="AC39">
        <f t="shared" si="540"/>
        <v>0.19999999999999998</v>
      </c>
      <c r="AD39">
        <f t="shared" si="541"/>
        <v>0.19999999999999998</v>
      </c>
      <c r="AE39">
        <f t="shared" si="542"/>
        <v>0.19999999999999998</v>
      </c>
      <c r="AF39">
        <f t="shared" si="543"/>
        <v>0.19999999999999998</v>
      </c>
      <c r="AG39">
        <f t="shared" si="544"/>
        <v>0.19999999999999998</v>
      </c>
      <c r="AH39">
        <f t="shared" si="545"/>
        <v>0.55213714599609376</v>
      </c>
      <c r="AI39">
        <f t="shared" si="546"/>
        <v>0.55213714599609376</v>
      </c>
      <c r="AJ39">
        <f t="shared" si="547"/>
        <v>0.55213714599609376</v>
      </c>
      <c r="AK39">
        <f t="shared" si="548"/>
        <v>0.55213714599609376</v>
      </c>
      <c r="AL39">
        <f t="shared" si="549"/>
        <v>0.55213714599609376</v>
      </c>
      <c r="AM39">
        <f t="shared" si="550"/>
        <v>0.55213714599609376</v>
      </c>
      <c r="AN39">
        <f t="shared" si="551"/>
        <v>0.55213714599609376</v>
      </c>
      <c r="AO39">
        <f t="shared" si="552"/>
        <v>0.55213714599609376</v>
      </c>
      <c r="AP39">
        <f t="shared" si="553"/>
        <v>0.92880030313837403</v>
      </c>
      <c r="AQ39">
        <f t="shared" si="554"/>
        <v>0.92880030313837403</v>
      </c>
      <c r="AR39">
        <f t="shared" si="555"/>
        <v>0.92880030313837403</v>
      </c>
      <c r="AS39">
        <f t="shared" si="556"/>
        <v>0.92880030313837403</v>
      </c>
      <c r="AT39">
        <f t="shared" si="557"/>
        <v>0.92880030313837403</v>
      </c>
      <c r="AU39">
        <f t="shared" si="558"/>
        <v>0.92880030313837403</v>
      </c>
      <c r="AV39">
        <f t="shared" si="559"/>
        <v>0.92880030313837403</v>
      </c>
      <c r="AW39">
        <f t="shared" si="560"/>
        <v>0.92880030313837403</v>
      </c>
      <c r="AX39">
        <f t="shared" si="561"/>
        <v>0.97438132277065581</v>
      </c>
      <c r="AY39">
        <f t="shared" si="562"/>
        <v>0.97438132277065581</v>
      </c>
      <c r="AZ39">
        <f t="shared" si="563"/>
        <v>0.97438132277065581</v>
      </c>
      <c r="BA39">
        <f t="shared" si="564"/>
        <v>0.97438132277065581</v>
      </c>
      <c r="BB39">
        <f t="shared" si="565"/>
        <v>0.97438132277065581</v>
      </c>
      <c r="BC39">
        <f t="shared" si="566"/>
        <v>0.97438132277065581</v>
      </c>
      <c r="BD39">
        <f t="shared" si="567"/>
        <v>0.97438132277065581</v>
      </c>
      <c r="BE39">
        <f t="shared" si="568"/>
        <v>0.97438132277065581</v>
      </c>
      <c r="BF39">
        <f t="shared" si="569"/>
        <v>0.97438132277065581</v>
      </c>
      <c r="BG39">
        <f t="shared" si="570"/>
        <v>0.97438132277065581</v>
      </c>
      <c r="BH39">
        <f t="shared" si="571"/>
        <v>0.97438132277065581</v>
      </c>
      <c r="BI39">
        <f t="shared" si="572"/>
        <v>0.97438132277065581</v>
      </c>
      <c r="BJ39">
        <f t="shared" si="573"/>
        <v>0.97438132277065581</v>
      </c>
      <c r="BK39">
        <f t="shared" si="574"/>
        <v>0.97438132277065581</v>
      </c>
      <c r="BL39">
        <f t="shared" si="575"/>
        <v>0.97438132277065581</v>
      </c>
      <c r="BM39">
        <f t="shared" si="576"/>
        <v>0.97438132277065581</v>
      </c>
      <c r="BN39">
        <f t="shared" si="577"/>
        <v>0.97438132277065581</v>
      </c>
      <c r="BO39">
        <f t="shared" si="578"/>
        <v>0.97438132277065581</v>
      </c>
      <c r="BP39">
        <f t="shared" si="579"/>
        <v>0.97438132277065581</v>
      </c>
      <c r="BQ39">
        <f t="shared" si="580"/>
        <v>0.97438132277065581</v>
      </c>
      <c r="BR39">
        <f t="shared" si="581"/>
        <v>0.97438132277065581</v>
      </c>
      <c r="BS39">
        <f t="shared" si="582"/>
        <v>0.97438132277065581</v>
      </c>
      <c r="BT39">
        <f t="shared" si="583"/>
        <v>0.97438132277065581</v>
      </c>
      <c r="BU39">
        <f t="shared" si="584"/>
        <v>0.97438132277065581</v>
      </c>
      <c r="BV39">
        <f t="shared" si="585"/>
        <v>0.97438132277065581</v>
      </c>
      <c r="BW39">
        <f t="shared" si="586"/>
        <v>0.97438132277065581</v>
      </c>
      <c r="BX39">
        <f t="shared" si="587"/>
        <v>0.97438132277065581</v>
      </c>
      <c r="BY39">
        <f t="shared" si="588"/>
        <v>0.97438132277065581</v>
      </c>
      <c r="BZ39">
        <f t="shared" si="589"/>
        <v>0.97438132277065581</v>
      </c>
      <c r="CA39">
        <f t="shared" si="590"/>
        <v>0.97438132277065581</v>
      </c>
      <c r="CB39">
        <f t="shared" si="591"/>
        <v>0.97438132277065581</v>
      </c>
      <c r="CC39">
        <f t="shared" si="592"/>
        <v>0.97438132277065581</v>
      </c>
      <c r="CD39">
        <f t="shared" si="593"/>
        <v>0.97438132277065581</v>
      </c>
      <c r="CE39">
        <f t="shared" si="594"/>
        <v>0.97438132277065581</v>
      </c>
      <c r="CF39">
        <f t="shared" si="595"/>
        <v>0.97438132277065581</v>
      </c>
      <c r="CG39">
        <f t="shared" si="596"/>
        <v>0.97438132277065581</v>
      </c>
      <c r="CH39">
        <f t="shared" si="597"/>
        <v>0.97438132277065581</v>
      </c>
      <c r="CI39">
        <f t="shared" si="598"/>
        <v>0.97438132277065581</v>
      </c>
      <c r="CJ39">
        <f t="shared" si="599"/>
        <v>0.97438132277065581</v>
      </c>
      <c r="CK39">
        <f t="shared" si="600"/>
        <v>0.97438132277065581</v>
      </c>
      <c r="CL39">
        <f t="shared" si="601"/>
        <v>0.97438132277065581</v>
      </c>
      <c r="CM39">
        <f t="shared" si="602"/>
        <v>0.97438132277065581</v>
      </c>
      <c r="CN39">
        <f t="shared" si="603"/>
        <v>0.97438132277065581</v>
      </c>
      <c r="CO39">
        <f t="shared" si="604"/>
        <v>0.97438132277065581</v>
      </c>
      <c r="CP39">
        <f t="shared" si="605"/>
        <v>0.97438132277065581</v>
      </c>
      <c r="CQ39">
        <f t="shared" si="606"/>
        <v>0.97438132277065581</v>
      </c>
      <c r="CR39">
        <f t="shared" si="607"/>
        <v>0.97438132277065581</v>
      </c>
      <c r="CS39">
        <f t="shared" si="608"/>
        <v>0.97438132277065581</v>
      </c>
      <c r="CT39">
        <f t="shared" si="609"/>
        <v>0.97438132277065581</v>
      </c>
      <c r="CU39">
        <f t="shared" si="610"/>
        <v>0.97438132277065581</v>
      </c>
      <c r="CV39">
        <f t="shared" si="611"/>
        <v>0.97438132277065581</v>
      </c>
      <c r="CW39">
        <f t="shared" si="612"/>
        <v>0.97438132277065581</v>
      </c>
      <c r="CX39">
        <f t="shared" si="613"/>
        <v>0.97438132277065581</v>
      </c>
      <c r="CY39">
        <f t="shared" si="614"/>
        <v>0.97438132277065581</v>
      </c>
      <c r="CZ39">
        <f t="shared" si="615"/>
        <v>0.97438132277065581</v>
      </c>
      <c r="DA39">
        <f t="shared" si="616"/>
        <v>0.97438132277065581</v>
      </c>
      <c r="DB39">
        <f t="shared" si="617"/>
        <v>0.97438132277065581</v>
      </c>
      <c r="DC39">
        <f t="shared" si="618"/>
        <v>0.97438132277065581</v>
      </c>
      <c r="DD39">
        <f t="shared" si="619"/>
        <v>0.97438132277065581</v>
      </c>
      <c r="DE39">
        <f t="shared" si="620"/>
        <v>0.97438132277065581</v>
      </c>
      <c r="DF39">
        <f t="shared" si="621"/>
        <v>0.97438132277065581</v>
      </c>
      <c r="DG39">
        <f t="shared" si="622"/>
        <v>0.97438132277065581</v>
      </c>
      <c r="DH39">
        <f t="shared" si="623"/>
        <v>0.97438132277065581</v>
      </c>
      <c r="DI39">
        <f t="shared" si="624"/>
        <v>0.97438132277065581</v>
      </c>
      <c r="DJ39">
        <f t="shared" si="625"/>
        <v>0.97438132277065581</v>
      </c>
      <c r="DK39">
        <f t="shared" si="626"/>
        <v>0.97438132277065581</v>
      </c>
      <c r="DL39">
        <f t="shared" si="627"/>
        <v>0.97438132277065581</v>
      </c>
      <c r="DM39">
        <f t="shared" si="628"/>
        <v>0.97438132277065581</v>
      </c>
      <c r="DN39">
        <f t="shared" si="629"/>
        <v>0.97438132277065581</v>
      </c>
      <c r="DO39">
        <f t="shared" si="630"/>
        <v>0.97438132277065581</v>
      </c>
      <c r="DP39">
        <f t="shared" si="631"/>
        <v>0.97438132277065581</v>
      </c>
      <c r="DQ39">
        <f t="shared" si="632"/>
        <v>0.97438132277065581</v>
      </c>
      <c r="DR39">
        <f t="shared" si="633"/>
        <v>0.97438132277065581</v>
      </c>
      <c r="DS39">
        <f t="shared" si="634"/>
        <v>0.97438132277065581</v>
      </c>
      <c r="DT39">
        <f t="shared" si="635"/>
        <v>0.97438132277065581</v>
      </c>
      <c r="DU39">
        <f t="shared" si="636"/>
        <v>0.97438132277065581</v>
      </c>
      <c r="DV39">
        <f t="shared" si="637"/>
        <v>0.97438132277065581</v>
      </c>
      <c r="DW39">
        <f t="shared" si="638"/>
        <v>0.97438132277065581</v>
      </c>
      <c r="DX39">
        <f t="shared" si="639"/>
        <v>0.97438132277065581</v>
      </c>
      <c r="DY39">
        <f t="shared" si="640"/>
        <v>0.97438132277065581</v>
      </c>
      <c r="DZ39">
        <f t="shared" si="641"/>
        <v>0.97438132277065581</v>
      </c>
      <c r="EA39">
        <f t="shared" si="642"/>
        <v>0.97438132277065581</v>
      </c>
      <c r="EB39">
        <f t="shared" si="643"/>
        <v>0.97438132277065581</v>
      </c>
      <c r="EC39">
        <f t="shared" si="644"/>
        <v>0.97438132277065581</v>
      </c>
      <c r="ED39">
        <f t="shared" si="645"/>
        <v>0.97438132277065581</v>
      </c>
      <c r="EE39">
        <f t="shared" si="646"/>
        <v>0.97438132277065581</v>
      </c>
      <c r="EF39">
        <f t="shared" si="647"/>
        <v>0.97438132277065581</v>
      </c>
      <c r="EG39">
        <f t="shared" si="648"/>
        <v>0.97438132277065581</v>
      </c>
      <c r="EH39">
        <f t="shared" si="649"/>
        <v>0.97438132277065581</v>
      </c>
      <c r="EI39">
        <f t="shared" si="650"/>
        <v>0.97438132277065581</v>
      </c>
      <c r="EJ39">
        <f t="shared" si="651"/>
        <v>0.97438132277065581</v>
      </c>
      <c r="EK39">
        <f t="shared" si="652"/>
        <v>0.97438132277065581</v>
      </c>
      <c r="EL39">
        <f t="shared" si="653"/>
        <v>0.97438132277065581</v>
      </c>
      <c r="EM39">
        <f t="shared" si="654"/>
        <v>0.97438132277065581</v>
      </c>
      <c r="EN39">
        <f t="shared" si="655"/>
        <v>0.97438132277065581</v>
      </c>
      <c r="EO39">
        <f t="shared" si="656"/>
        <v>0.97438132277065581</v>
      </c>
      <c r="EP39">
        <f t="shared" si="657"/>
        <v>0.97438132277065581</v>
      </c>
      <c r="EQ39">
        <f t="shared" si="658"/>
        <v>0.97438132277065581</v>
      </c>
      <c r="ER39">
        <f t="shared" si="659"/>
        <v>0.97438132277065581</v>
      </c>
      <c r="ES39">
        <f t="shared" si="660"/>
        <v>0.97438132277065581</v>
      </c>
      <c r="ET39">
        <f t="shared" si="661"/>
        <v>0.97438132277065581</v>
      </c>
      <c r="EU39">
        <f t="shared" si="662"/>
        <v>0.97438132277065581</v>
      </c>
      <c r="EV39">
        <f t="shared" si="663"/>
        <v>0.97438132277065581</v>
      </c>
      <c r="EW39">
        <f t="shared" si="664"/>
        <v>0.97438132277065581</v>
      </c>
      <c r="EX39">
        <f t="shared" si="665"/>
        <v>0.97438132277065581</v>
      </c>
      <c r="EY39">
        <f t="shared" si="666"/>
        <v>0.97438132277065581</v>
      </c>
      <c r="EZ39">
        <f t="shared" si="667"/>
        <v>0.97438132277065581</v>
      </c>
      <c r="FA39">
        <f t="shared" si="668"/>
        <v>0.97438132277065581</v>
      </c>
      <c r="FB39">
        <f t="shared" si="669"/>
        <v>0.97438132277065581</v>
      </c>
      <c r="FC39">
        <f t="shared" si="670"/>
        <v>0.97438132277065581</v>
      </c>
      <c r="FD39">
        <f t="shared" si="671"/>
        <v>0.97438132277065581</v>
      </c>
      <c r="FE39">
        <f t="shared" si="672"/>
        <v>0.97438132277065581</v>
      </c>
      <c r="FF39">
        <f t="shared" si="673"/>
        <v>0.97438132277065581</v>
      </c>
      <c r="FG39">
        <f t="shared" si="674"/>
        <v>0.97438132277065581</v>
      </c>
      <c r="FH39">
        <f t="shared" si="675"/>
        <v>0.97438132277065581</v>
      </c>
      <c r="FI39">
        <f t="shared" si="676"/>
        <v>0.97438132277065581</v>
      </c>
      <c r="FJ39">
        <f t="shared" si="677"/>
        <v>0.97438132277065581</v>
      </c>
      <c r="FK39">
        <f t="shared" si="678"/>
        <v>0.97438132277065581</v>
      </c>
      <c r="FL39">
        <f t="shared" si="679"/>
        <v>0.97438132277065581</v>
      </c>
      <c r="FM39">
        <f t="shared" si="680"/>
        <v>0.97438132277065581</v>
      </c>
      <c r="FN39">
        <f t="shared" si="681"/>
        <v>0.97438132277065581</v>
      </c>
      <c r="FO39">
        <f t="shared" si="682"/>
        <v>0.97438132277065581</v>
      </c>
      <c r="FP39">
        <f t="shared" si="683"/>
        <v>0.97438132277065581</v>
      </c>
      <c r="FQ39">
        <f t="shared" si="684"/>
        <v>0.97438132277065581</v>
      </c>
      <c r="FR39">
        <f t="shared" si="685"/>
        <v>0.97438132277065581</v>
      </c>
      <c r="FS39">
        <f t="shared" si="686"/>
        <v>0.97438132277065581</v>
      </c>
      <c r="FT39">
        <f t="shared" si="687"/>
        <v>0.97438132277065581</v>
      </c>
      <c r="FU39">
        <f t="shared" si="688"/>
        <v>0.97438132277065581</v>
      </c>
      <c r="FV39">
        <f t="shared" si="689"/>
        <v>0.97438132277065581</v>
      </c>
      <c r="FW39">
        <f t="shared" si="690"/>
        <v>0.97438132277065581</v>
      </c>
      <c r="FX39">
        <f t="shared" si="691"/>
        <v>0.97438132277065581</v>
      </c>
      <c r="FY39">
        <f t="shared" si="692"/>
        <v>0.97438132277065581</v>
      </c>
      <c r="FZ39">
        <f t="shared" si="693"/>
        <v>0.97438132277065581</v>
      </c>
      <c r="GA39">
        <f t="shared" si="694"/>
        <v>0.97438132277065581</v>
      </c>
      <c r="GB39">
        <f t="shared" si="695"/>
        <v>0.97438132277065581</v>
      </c>
      <c r="GC39">
        <f t="shared" si="696"/>
        <v>0.97438132277065581</v>
      </c>
      <c r="GD39">
        <f t="shared" si="697"/>
        <v>0.97438132277065581</v>
      </c>
      <c r="GE39">
        <f t="shared" si="698"/>
        <v>0.97438132277065581</v>
      </c>
      <c r="GF39">
        <f t="shared" si="699"/>
        <v>0.97438132277065581</v>
      </c>
      <c r="GG39">
        <f t="shared" si="700"/>
        <v>0.97438132277065581</v>
      </c>
      <c r="GH39">
        <f t="shared" si="701"/>
        <v>0.97438132277065581</v>
      </c>
      <c r="GI39">
        <f t="shared" si="702"/>
        <v>0.97438132277065581</v>
      </c>
      <c r="GJ39">
        <f t="shared" si="703"/>
        <v>0.97438132277065581</v>
      </c>
      <c r="GK39">
        <f t="shared" si="704"/>
        <v>0.97438132277065581</v>
      </c>
      <c r="GL39">
        <f t="shared" si="705"/>
        <v>0.97438132277065581</v>
      </c>
      <c r="GM39">
        <f t="shared" si="706"/>
        <v>0.97438132277065581</v>
      </c>
      <c r="GN39">
        <f t="shared" si="707"/>
        <v>0.97438132277065581</v>
      </c>
      <c r="GO39">
        <f t="shared" si="708"/>
        <v>0.97438132277065581</v>
      </c>
      <c r="GP39">
        <f t="shared" si="709"/>
        <v>0.97438132277065581</v>
      </c>
      <c r="GQ39">
        <f t="shared" si="710"/>
        <v>0.97438132277065581</v>
      </c>
      <c r="GR39">
        <f t="shared" si="711"/>
        <v>0.97438132277065581</v>
      </c>
      <c r="GS39">
        <f t="shared" si="712"/>
        <v>0.97438132277065581</v>
      </c>
      <c r="GT39">
        <f t="shared" si="713"/>
        <v>0.97438132277065581</v>
      </c>
      <c r="GU39">
        <f t="shared" si="714"/>
        <v>0.97438132277065581</v>
      </c>
      <c r="GV39">
        <f t="shared" si="715"/>
        <v>0.97438132277065581</v>
      </c>
      <c r="GW39">
        <f t="shared" si="716"/>
        <v>0.97438132277065581</v>
      </c>
      <c r="GX39">
        <f t="shared" si="717"/>
        <v>0.97438132277065581</v>
      </c>
      <c r="GY39">
        <f t="shared" si="718"/>
        <v>0.97438132277065581</v>
      </c>
      <c r="GZ39">
        <f t="shared" si="719"/>
        <v>0.97438132277065581</v>
      </c>
      <c r="HA39">
        <f t="shared" si="720"/>
        <v>0.97438132277065581</v>
      </c>
      <c r="HB39">
        <f t="shared" si="721"/>
        <v>0.97438132277065581</v>
      </c>
      <c r="HC39">
        <f t="shared" si="722"/>
        <v>0.97438132277065581</v>
      </c>
      <c r="HD39">
        <f t="shared" si="723"/>
        <v>0.97438132277065581</v>
      </c>
      <c r="HE39">
        <f t="shared" si="724"/>
        <v>0.97438132277065581</v>
      </c>
      <c r="HF39">
        <f t="shared" si="725"/>
        <v>0.97438132277065581</v>
      </c>
      <c r="HG39">
        <f t="shared" si="726"/>
        <v>0.97438132277065581</v>
      </c>
      <c r="HH39">
        <f t="shared" si="727"/>
        <v>0.97438132277065581</v>
      </c>
      <c r="HI39">
        <f t="shared" si="728"/>
        <v>0.97438132277065581</v>
      </c>
      <c r="HJ39">
        <f t="shared" si="729"/>
        <v>0.97438132277065581</v>
      </c>
      <c r="HK39">
        <f t="shared" si="730"/>
        <v>0.97438132277065581</v>
      </c>
      <c r="HL39">
        <f t="shared" si="731"/>
        <v>0.97438132277065581</v>
      </c>
      <c r="HM39">
        <f t="shared" si="732"/>
        <v>0.97438132277065581</v>
      </c>
      <c r="HN39">
        <f t="shared" si="733"/>
        <v>0.97438132277065581</v>
      </c>
      <c r="HO39">
        <f t="shared" si="734"/>
        <v>0.97438132277065581</v>
      </c>
      <c r="HP39">
        <f t="shared" si="735"/>
        <v>0.97438132277065581</v>
      </c>
      <c r="HQ39">
        <f t="shared" si="736"/>
        <v>0.97438132277065581</v>
      </c>
      <c r="HR39">
        <f t="shared" si="737"/>
        <v>0.97438132277065581</v>
      </c>
      <c r="HS39">
        <f t="shared" si="738"/>
        <v>0.97438132277065581</v>
      </c>
      <c r="HT39">
        <f t="shared" si="739"/>
        <v>0.97438132277065581</v>
      </c>
      <c r="HU39">
        <f t="shared" si="740"/>
        <v>0.97438132277065581</v>
      </c>
      <c r="HV39">
        <f t="shared" si="741"/>
        <v>0.97438132277065581</v>
      </c>
      <c r="HW39">
        <f t="shared" si="742"/>
        <v>0.97438132277065581</v>
      </c>
      <c r="HX39">
        <f t="shared" si="743"/>
        <v>0.97438132277065581</v>
      </c>
      <c r="HY39">
        <f t="shared" si="744"/>
        <v>0.97438132277065581</v>
      </c>
      <c r="HZ39">
        <f t="shared" si="745"/>
        <v>0.97438132277065581</v>
      </c>
      <c r="IA39">
        <f t="shared" si="746"/>
        <v>0.97438132277065581</v>
      </c>
      <c r="IB39">
        <f t="shared" si="747"/>
        <v>0.97438132277065581</v>
      </c>
      <c r="IC39">
        <f t="shared" si="748"/>
        <v>0.97438132277065581</v>
      </c>
      <c r="ID39">
        <f t="shared" si="749"/>
        <v>0.97438132277065581</v>
      </c>
      <c r="IE39">
        <f t="shared" si="750"/>
        <v>0.97438132277065581</v>
      </c>
      <c r="IF39">
        <f t="shared" si="751"/>
        <v>0.97438132277065581</v>
      </c>
      <c r="IG39">
        <f t="shared" si="752"/>
        <v>0.97438132277065581</v>
      </c>
      <c r="IH39">
        <f t="shared" si="753"/>
        <v>0.97438132277065581</v>
      </c>
      <c r="II39">
        <f t="shared" si="754"/>
        <v>0.97438132277065581</v>
      </c>
      <c r="IJ39">
        <f t="shared" si="755"/>
        <v>0.97438132277065581</v>
      </c>
      <c r="IK39">
        <f t="shared" si="756"/>
        <v>0.97438132277065581</v>
      </c>
      <c r="IL39">
        <f t="shared" si="757"/>
        <v>0.97438132277065581</v>
      </c>
      <c r="IM39">
        <f t="shared" si="758"/>
        <v>0.97438132277065581</v>
      </c>
      <c r="IN39">
        <f t="shared" si="759"/>
        <v>0.97438132277065581</v>
      </c>
      <c r="IO39">
        <f t="shared" si="760"/>
        <v>0.97438132277065581</v>
      </c>
      <c r="IP39">
        <f t="shared" si="761"/>
        <v>0.97438132277065581</v>
      </c>
      <c r="IQ39">
        <f t="shared" si="762"/>
        <v>0.97438132277065581</v>
      </c>
      <c r="IR39">
        <f t="shared" si="763"/>
        <v>0.97438132277065581</v>
      </c>
      <c r="IS39">
        <f t="shared" si="764"/>
        <v>0.97438132277065581</v>
      </c>
      <c r="IT39">
        <f t="shared" si="765"/>
        <v>0.97438132277065581</v>
      </c>
      <c r="IU39">
        <f t="shared" si="766"/>
        <v>0.97438132277065581</v>
      </c>
      <c r="IV39">
        <f t="shared" si="767"/>
        <v>0.97438132277065581</v>
      </c>
    </row>
    <row r="40" spans="1:256" x14ac:dyDescent="0.2">
      <c r="A40" t="s">
        <v>511</v>
      </c>
      <c r="B40">
        <f t="shared" si="513"/>
        <v>0.1</v>
      </c>
      <c r="C40">
        <f t="shared" si="514"/>
        <v>0.1</v>
      </c>
      <c r="D40">
        <f t="shared" si="515"/>
        <v>0.1</v>
      </c>
      <c r="E40">
        <f t="shared" si="516"/>
        <v>0.1</v>
      </c>
      <c r="F40">
        <f t="shared" si="517"/>
        <v>0.1</v>
      </c>
      <c r="G40">
        <f t="shared" si="518"/>
        <v>0.1</v>
      </c>
      <c r="H40">
        <f t="shared" si="519"/>
        <v>0.1</v>
      </c>
      <c r="I40">
        <f t="shared" si="520"/>
        <v>0.1</v>
      </c>
      <c r="J40">
        <f t="shared" si="521"/>
        <v>0.1</v>
      </c>
      <c r="K40">
        <f t="shared" si="522"/>
        <v>0.1</v>
      </c>
      <c r="L40">
        <f t="shared" si="523"/>
        <v>0.1</v>
      </c>
      <c r="M40">
        <f t="shared" si="524"/>
        <v>0.1</v>
      </c>
      <c r="N40">
        <f t="shared" si="525"/>
        <v>0.1</v>
      </c>
      <c r="O40">
        <f t="shared" si="526"/>
        <v>0.1</v>
      </c>
      <c r="P40">
        <f t="shared" si="527"/>
        <v>0.1</v>
      </c>
      <c r="Q40">
        <f t="shared" si="528"/>
        <v>0.1</v>
      </c>
      <c r="R40">
        <f t="shared" si="529"/>
        <v>0.2</v>
      </c>
      <c r="S40">
        <f t="shared" si="530"/>
        <v>0.2</v>
      </c>
      <c r="T40">
        <f t="shared" si="531"/>
        <v>0.2</v>
      </c>
      <c r="U40">
        <f t="shared" si="532"/>
        <v>0.2</v>
      </c>
      <c r="V40">
        <f t="shared" si="533"/>
        <v>0.2</v>
      </c>
      <c r="W40">
        <f t="shared" si="534"/>
        <v>0.2</v>
      </c>
      <c r="X40">
        <f t="shared" si="535"/>
        <v>0.2</v>
      </c>
      <c r="Y40">
        <f t="shared" si="536"/>
        <v>0.2</v>
      </c>
      <c r="Z40">
        <f t="shared" si="537"/>
        <v>0.40000000000000008</v>
      </c>
      <c r="AA40">
        <f t="shared" si="538"/>
        <v>0.40000000000000008</v>
      </c>
      <c r="AB40">
        <f t="shared" si="539"/>
        <v>0.40000000000000008</v>
      </c>
      <c r="AC40">
        <f t="shared" si="540"/>
        <v>0.40000000000000008</v>
      </c>
      <c r="AD40">
        <f t="shared" si="541"/>
        <v>0.40000000000000008</v>
      </c>
      <c r="AE40">
        <f t="shared" si="542"/>
        <v>0.40000000000000008</v>
      </c>
      <c r="AF40">
        <f t="shared" si="543"/>
        <v>0.40000000000000008</v>
      </c>
      <c r="AG40">
        <f t="shared" si="544"/>
        <v>0.40000000000000008</v>
      </c>
      <c r="AH40">
        <f t="shared" si="545"/>
        <v>0.65300369262695313</v>
      </c>
      <c r="AI40">
        <f t="shared" si="546"/>
        <v>0.65300369262695313</v>
      </c>
      <c r="AJ40">
        <f t="shared" si="547"/>
        <v>0.65300369262695313</v>
      </c>
      <c r="AK40">
        <f t="shared" si="548"/>
        <v>0.65300369262695313</v>
      </c>
      <c r="AL40">
        <f t="shared" si="549"/>
        <v>0.65300369262695313</v>
      </c>
      <c r="AM40">
        <f t="shared" si="550"/>
        <v>0.65300369262695313</v>
      </c>
      <c r="AN40">
        <f t="shared" si="551"/>
        <v>0.65300369262695313</v>
      </c>
      <c r="AO40">
        <f t="shared" si="552"/>
        <v>0.65300369262695313</v>
      </c>
      <c r="AP40">
        <f t="shared" si="553"/>
        <v>0.16746446513608801</v>
      </c>
      <c r="AQ40">
        <f t="shared" si="554"/>
        <v>0.16746446513608801</v>
      </c>
      <c r="AR40">
        <f t="shared" si="555"/>
        <v>0.16746446513608801</v>
      </c>
      <c r="AS40">
        <f t="shared" si="556"/>
        <v>0.16746446513608801</v>
      </c>
      <c r="AT40">
        <f t="shared" si="557"/>
        <v>0.16746446513608801</v>
      </c>
      <c r="AU40">
        <f t="shared" si="558"/>
        <v>0.16746446513608801</v>
      </c>
      <c r="AV40">
        <f t="shared" si="559"/>
        <v>0.16746446513608801</v>
      </c>
      <c r="AW40">
        <f t="shared" si="560"/>
        <v>0.16746446513608801</v>
      </c>
      <c r="AX40">
        <f t="shared" si="561"/>
        <v>0.25954550295480328</v>
      </c>
      <c r="AY40">
        <f t="shared" si="562"/>
        <v>0.25954550295480328</v>
      </c>
      <c r="AZ40">
        <f t="shared" si="563"/>
        <v>0.25954550295480328</v>
      </c>
      <c r="BA40">
        <f t="shared" si="564"/>
        <v>0.25954550295480328</v>
      </c>
      <c r="BB40">
        <f t="shared" si="565"/>
        <v>0.25954550295480328</v>
      </c>
      <c r="BC40">
        <f t="shared" si="566"/>
        <v>0.25954550295480328</v>
      </c>
      <c r="BD40">
        <f t="shared" si="567"/>
        <v>0.25954550295480328</v>
      </c>
      <c r="BE40">
        <f t="shared" si="568"/>
        <v>0.25954550295480328</v>
      </c>
      <c r="BF40">
        <f t="shared" si="569"/>
        <v>0.25954550295480328</v>
      </c>
      <c r="BG40">
        <f t="shared" si="570"/>
        <v>0.25954550295480328</v>
      </c>
      <c r="BH40">
        <f t="shared" si="571"/>
        <v>0.25954550295480328</v>
      </c>
      <c r="BI40">
        <f t="shared" si="572"/>
        <v>0.25954550295480328</v>
      </c>
      <c r="BJ40">
        <f t="shared" si="573"/>
        <v>0.25954550295480328</v>
      </c>
      <c r="BK40">
        <f t="shared" si="574"/>
        <v>0.25954550295480328</v>
      </c>
      <c r="BL40">
        <f t="shared" si="575"/>
        <v>0.25954550295480328</v>
      </c>
      <c r="BM40">
        <f t="shared" si="576"/>
        <v>0.25954550295480328</v>
      </c>
      <c r="BN40">
        <f t="shared" si="577"/>
        <v>0.25954550295480328</v>
      </c>
      <c r="BO40">
        <f t="shared" si="578"/>
        <v>0.25954550295480328</v>
      </c>
      <c r="BP40">
        <f t="shared" si="579"/>
        <v>0.25954550295480328</v>
      </c>
      <c r="BQ40">
        <f t="shared" si="580"/>
        <v>0.25954550295480328</v>
      </c>
      <c r="BR40">
        <f t="shared" si="581"/>
        <v>0.25954550295480328</v>
      </c>
      <c r="BS40">
        <f t="shared" si="582"/>
        <v>0.25954550295480328</v>
      </c>
      <c r="BT40">
        <f t="shared" si="583"/>
        <v>0.25954550295480328</v>
      </c>
      <c r="BU40">
        <f t="shared" si="584"/>
        <v>0.25954550295480328</v>
      </c>
      <c r="BV40">
        <f t="shared" si="585"/>
        <v>0.25954550295480328</v>
      </c>
      <c r="BW40">
        <f t="shared" si="586"/>
        <v>0.25954550295480328</v>
      </c>
      <c r="BX40">
        <f t="shared" si="587"/>
        <v>0.25954550295480328</v>
      </c>
      <c r="BY40">
        <f t="shared" si="588"/>
        <v>0.25954550295480328</v>
      </c>
      <c r="BZ40">
        <f t="shared" si="589"/>
        <v>0.25954550295480328</v>
      </c>
      <c r="CA40">
        <f t="shared" si="590"/>
        <v>0.25954550295480328</v>
      </c>
      <c r="CB40">
        <f t="shared" si="591"/>
        <v>0.25954550295480328</v>
      </c>
      <c r="CC40">
        <f t="shared" si="592"/>
        <v>0.25954550295480328</v>
      </c>
      <c r="CD40">
        <f t="shared" si="593"/>
        <v>0.25954550295480328</v>
      </c>
      <c r="CE40">
        <f t="shared" si="594"/>
        <v>0.25954550295480328</v>
      </c>
      <c r="CF40">
        <f t="shared" si="595"/>
        <v>0.25954550295480328</v>
      </c>
      <c r="CG40">
        <f t="shared" si="596"/>
        <v>0.25954550295480328</v>
      </c>
      <c r="CH40">
        <f t="shared" si="597"/>
        <v>0.25954550295480328</v>
      </c>
      <c r="CI40">
        <f t="shared" si="598"/>
        <v>0.25954550295480328</v>
      </c>
      <c r="CJ40">
        <f t="shared" si="599"/>
        <v>0.25954550295480328</v>
      </c>
      <c r="CK40">
        <f t="shared" si="600"/>
        <v>0.25954550295480328</v>
      </c>
      <c r="CL40">
        <f t="shared" si="601"/>
        <v>0.25954550295480328</v>
      </c>
      <c r="CM40">
        <f t="shared" si="602"/>
        <v>0.25954550295480328</v>
      </c>
      <c r="CN40">
        <f t="shared" si="603"/>
        <v>0.25954550295480328</v>
      </c>
      <c r="CO40">
        <f t="shared" si="604"/>
        <v>0.25954550295480328</v>
      </c>
      <c r="CP40">
        <f t="shared" si="605"/>
        <v>0.25954550295480328</v>
      </c>
      <c r="CQ40">
        <f t="shared" si="606"/>
        <v>0.25954550295480328</v>
      </c>
      <c r="CR40">
        <f t="shared" si="607"/>
        <v>0.25954550295480328</v>
      </c>
      <c r="CS40">
        <f t="shared" si="608"/>
        <v>0.25954550295480328</v>
      </c>
      <c r="CT40">
        <f t="shared" si="609"/>
        <v>0.25954550295480328</v>
      </c>
      <c r="CU40">
        <f t="shared" si="610"/>
        <v>0.25954550295480328</v>
      </c>
      <c r="CV40">
        <f t="shared" si="611"/>
        <v>0.25954550295480328</v>
      </c>
      <c r="CW40">
        <f t="shared" si="612"/>
        <v>0.25954550295480328</v>
      </c>
      <c r="CX40">
        <f t="shared" si="613"/>
        <v>0.25954550295480328</v>
      </c>
      <c r="CY40">
        <f t="shared" si="614"/>
        <v>0.25954550295480328</v>
      </c>
      <c r="CZ40">
        <f t="shared" si="615"/>
        <v>0.25954550295480328</v>
      </c>
      <c r="DA40">
        <f t="shared" si="616"/>
        <v>0.25954550295480328</v>
      </c>
      <c r="DB40">
        <f t="shared" si="617"/>
        <v>0.25954550295480328</v>
      </c>
      <c r="DC40">
        <f t="shared" si="618"/>
        <v>0.25954550295480328</v>
      </c>
      <c r="DD40">
        <f t="shared" si="619"/>
        <v>0.25954550295480328</v>
      </c>
      <c r="DE40">
        <f t="shared" si="620"/>
        <v>0.25954550295480328</v>
      </c>
      <c r="DF40">
        <f t="shared" si="621"/>
        <v>0.25954550295480328</v>
      </c>
      <c r="DG40">
        <f t="shared" si="622"/>
        <v>0.25954550295480328</v>
      </c>
      <c r="DH40">
        <f t="shared" si="623"/>
        <v>0.25954550295480328</v>
      </c>
      <c r="DI40">
        <f t="shared" si="624"/>
        <v>0.25954550295480328</v>
      </c>
      <c r="DJ40">
        <f t="shared" si="625"/>
        <v>0.25954550295480328</v>
      </c>
      <c r="DK40">
        <f t="shared" si="626"/>
        <v>0.25954550295480328</v>
      </c>
      <c r="DL40">
        <f t="shared" si="627"/>
        <v>0.25954550295480328</v>
      </c>
      <c r="DM40">
        <f t="shared" si="628"/>
        <v>0.25954550295480328</v>
      </c>
      <c r="DN40">
        <f t="shared" si="629"/>
        <v>0.25954550295480328</v>
      </c>
      <c r="DO40">
        <f t="shared" si="630"/>
        <v>0.25954550295480328</v>
      </c>
      <c r="DP40">
        <f t="shared" si="631"/>
        <v>0.25954550295480328</v>
      </c>
      <c r="DQ40">
        <f t="shared" si="632"/>
        <v>0.25954550295480328</v>
      </c>
      <c r="DR40">
        <f t="shared" si="633"/>
        <v>0.25954550295480328</v>
      </c>
      <c r="DS40">
        <f t="shared" si="634"/>
        <v>0.25954550295480328</v>
      </c>
      <c r="DT40">
        <f t="shared" si="635"/>
        <v>0.25954550295480328</v>
      </c>
      <c r="DU40">
        <f t="shared" si="636"/>
        <v>0.25954550295480328</v>
      </c>
      <c r="DV40">
        <f t="shared" si="637"/>
        <v>0.25954550295480328</v>
      </c>
      <c r="DW40">
        <f t="shared" si="638"/>
        <v>0.25954550295480328</v>
      </c>
      <c r="DX40">
        <f t="shared" si="639"/>
        <v>0.25954550295480328</v>
      </c>
      <c r="DY40">
        <f t="shared" si="640"/>
        <v>0.25954550295480328</v>
      </c>
      <c r="DZ40">
        <f t="shared" si="641"/>
        <v>0.25954550295480328</v>
      </c>
      <c r="EA40">
        <f t="shared" si="642"/>
        <v>0.25954550295480328</v>
      </c>
      <c r="EB40">
        <f t="shared" si="643"/>
        <v>0.25954550295480328</v>
      </c>
      <c r="EC40">
        <f t="shared" si="644"/>
        <v>0.25954550295480328</v>
      </c>
      <c r="ED40">
        <f t="shared" si="645"/>
        <v>0.25954550295480328</v>
      </c>
      <c r="EE40">
        <f t="shared" si="646"/>
        <v>0.25954550295480328</v>
      </c>
      <c r="EF40">
        <f t="shared" si="647"/>
        <v>0.25954550295480328</v>
      </c>
      <c r="EG40">
        <f t="shared" si="648"/>
        <v>0.25954550295480328</v>
      </c>
      <c r="EH40">
        <f t="shared" si="649"/>
        <v>0.25954550295480328</v>
      </c>
      <c r="EI40">
        <f t="shared" si="650"/>
        <v>0.25954550295480328</v>
      </c>
      <c r="EJ40">
        <f t="shared" si="651"/>
        <v>0.25954550295480328</v>
      </c>
      <c r="EK40">
        <f t="shared" si="652"/>
        <v>0.25954550295480328</v>
      </c>
      <c r="EL40">
        <f t="shared" si="653"/>
        <v>0.25954550295480328</v>
      </c>
      <c r="EM40">
        <f t="shared" si="654"/>
        <v>0.25954550295480328</v>
      </c>
      <c r="EN40">
        <f t="shared" si="655"/>
        <v>0.25954550295480328</v>
      </c>
      <c r="EO40">
        <f t="shared" si="656"/>
        <v>0.25954550295480328</v>
      </c>
      <c r="EP40">
        <f t="shared" si="657"/>
        <v>0.25954550295480328</v>
      </c>
      <c r="EQ40">
        <f t="shared" si="658"/>
        <v>0.25954550295480328</v>
      </c>
      <c r="ER40">
        <f t="shared" si="659"/>
        <v>0.25954550295480328</v>
      </c>
      <c r="ES40">
        <f t="shared" si="660"/>
        <v>0.25954550295480328</v>
      </c>
      <c r="ET40">
        <f t="shared" si="661"/>
        <v>0.25954550295480328</v>
      </c>
      <c r="EU40">
        <f t="shared" si="662"/>
        <v>0.25954550295480328</v>
      </c>
      <c r="EV40">
        <f t="shared" si="663"/>
        <v>0.25954550295480328</v>
      </c>
      <c r="EW40">
        <f t="shared" si="664"/>
        <v>0.25954550295480328</v>
      </c>
      <c r="EX40">
        <f t="shared" si="665"/>
        <v>0.25954550295480328</v>
      </c>
      <c r="EY40">
        <f t="shared" si="666"/>
        <v>0.25954550295480328</v>
      </c>
      <c r="EZ40">
        <f t="shared" si="667"/>
        <v>0.25954550295480328</v>
      </c>
      <c r="FA40">
        <f t="shared" si="668"/>
        <v>0.25954550295480328</v>
      </c>
      <c r="FB40">
        <f t="shared" si="669"/>
        <v>0.25954550295480328</v>
      </c>
      <c r="FC40">
        <f t="shared" si="670"/>
        <v>0.25954550295480328</v>
      </c>
      <c r="FD40">
        <f t="shared" si="671"/>
        <v>0.25954550295480328</v>
      </c>
      <c r="FE40">
        <f t="shared" si="672"/>
        <v>0.25954550295480328</v>
      </c>
      <c r="FF40">
        <f t="shared" si="673"/>
        <v>0.25954550295480328</v>
      </c>
      <c r="FG40">
        <f t="shared" si="674"/>
        <v>0.25954550295480328</v>
      </c>
      <c r="FH40">
        <f t="shared" si="675"/>
        <v>0.25954550295480328</v>
      </c>
      <c r="FI40">
        <f t="shared" si="676"/>
        <v>0.25954550295480328</v>
      </c>
      <c r="FJ40">
        <f t="shared" si="677"/>
        <v>0.25954550295480328</v>
      </c>
      <c r="FK40">
        <f t="shared" si="678"/>
        <v>0.25954550295480328</v>
      </c>
      <c r="FL40">
        <f t="shared" si="679"/>
        <v>0.25954550295480328</v>
      </c>
      <c r="FM40">
        <f t="shared" si="680"/>
        <v>0.25954550295480328</v>
      </c>
      <c r="FN40">
        <f t="shared" si="681"/>
        <v>0.25954550295480328</v>
      </c>
      <c r="FO40">
        <f t="shared" si="682"/>
        <v>0.25954550295480328</v>
      </c>
      <c r="FP40">
        <f t="shared" si="683"/>
        <v>0.25954550295480328</v>
      </c>
      <c r="FQ40">
        <f t="shared" si="684"/>
        <v>0.25954550295480328</v>
      </c>
      <c r="FR40">
        <f t="shared" si="685"/>
        <v>0.25954550295480328</v>
      </c>
      <c r="FS40">
        <f t="shared" si="686"/>
        <v>0.25954550295480328</v>
      </c>
      <c r="FT40">
        <f t="shared" si="687"/>
        <v>0.25954550295480328</v>
      </c>
      <c r="FU40">
        <f t="shared" si="688"/>
        <v>0.25954550295480328</v>
      </c>
      <c r="FV40">
        <f t="shared" si="689"/>
        <v>0.25954550295480328</v>
      </c>
      <c r="FW40">
        <f t="shared" si="690"/>
        <v>0.25954550295480328</v>
      </c>
      <c r="FX40">
        <f t="shared" si="691"/>
        <v>0.25954550295480328</v>
      </c>
      <c r="FY40">
        <f t="shared" si="692"/>
        <v>0.25954550295480328</v>
      </c>
      <c r="FZ40">
        <f t="shared" si="693"/>
        <v>0.25954550295480328</v>
      </c>
      <c r="GA40">
        <f t="shared" si="694"/>
        <v>0.25954550295480328</v>
      </c>
      <c r="GB40">
        <f t="shared" si="695"/>
        <v>0.25954550295480328</v>
      </c>
      <c r="GC40">
        <f t="shared" si="696"/>
        <v>0.25954550295480328</v>
      </c>
      <c r="GD40">
        <f t="shared" si="697"/>
        <v>0.25954550295480328</v>
      </c>
      <c r="GE40">
        <f t="shared" si="698"/>
        <v>0.25954550295480328</v>
      </c>
      <c r="GF40">
        <f t="shared" si="699"/>
        <v>0.25954550295480328</v>
      </c>
      <c r="GG40">
        <f t="shared" si="700"/>
        <v>0.25954550295480328</v>
      </c>
      <c r="GH40">
        <f t="shared" si="701"/>
        <v>0.25954550295480328</v>
      </c>
      <c r="GI40">
        <f t="shared" si="702"/>
        <v>0.25954550295480328</v>
      </c>
      <c r="GJ40">
        <f t="shared" si="703"/>
        <v>0.25954550295480328</v>
      </c>
      <c r="GK40">
        <f t="shared" si="704"/>
        <v>0.25954550295480328</v>
      </c>
      <c r="GL40">
        <f t="shared" si="705"/>
        <v>0.25954550295480328</v>
      </c>
      <c r="GM40">
        <f t="shared" si="706"/>
        <v>0.25954550295480328</v>
      </c>
      <c r="GN40">
        <f t="shared" si="707"/>
        <v>0.25954550295480328</v>
      </c>
      <c r="GO40">
        <f t="shared" si="708"/>
        <v>0.25954550295480328</v>
      </c>
      <c r="GP40">
        <f t="shared" si="709"/>
        <v>0.25954550295480328</v>
      </c>
      <c r="GQ40">
        <f t="shared" si="710"/>
        <v>0.25954550295480328</v>
      </c>
      <c r="GR40">
        <f t="shared" si="711"/>
        <v>0.25954550295480328</v>
      </c>
      <c r="GS40">
        <f t="shared" si="712"/>
        <v>0.25954550295480328</v>
      </c>
      <c r="GT40">
        <f t="shared" si="713"/>
        <v>0.25954550295480328</v>
      </c>
      <c r="GU40">
        <f t="shared" si="714"/>
        <v>0.25954550295480328</v>
      </c>
      <c r="GV40">
        <f t="shared" si="715"/>
        <v>0.25954550295480328</v>
      </c>
      <c r="GW40">
        <f t="shared" si="716"/>
        <v>0.25954550295480328</v>
      </c>
      <c r="GX40">
        <f t="shared" si="717"/>
        <v>0.25954550295480328</v>
      </c>
      <c r="GY40">
        <f t="shared" si="718"/>
        <v>0.25954550295480328</v>
      </c>
      <c r="GZ40">
        <f t="shared" si="719"/>
        <v>0.25954550295480328</v>
      </c>
      <c r="HA40">
        <f t="shared" si="720"/>
        <v>0.25954550295480328</v>
      </c>
      <c r="HB40">
        <f t="shared" si="721"/>
        <v>0.25954550295480328</v>
      </c>
      <c r="HC40">
        <f t="shared" si="722"/>
        <v>0.25954550295480328</v>
      </c>
      <c r="HD40">
        <f t="shared" si="723"/>
        <v>0.25954550295480328</v>
      </c>
      <c r="HE40">
        <f t="shared" si="724"/>
        <v>0.25954550295480328</v>
      </c>
      <c r="HF40">
        <f t="shared" si="725"/>
        <v>0.25954550295480328</v>
      </c>
      <c r="HG40">
        <f t="shared" si="726"/>
        <v>0.25954550295480328</v>
      </c>
      <c r="HH40">
        <f t="shared" si="727"/>
        <v>0.25954550295480328</v>
      </c>
      <c r="HI40">
        <f t="shared" si="728"/>
        <v>0.25954550295480328</v>
      </c>
      <c r="HJ40">
        <f t="shared" si="729"/>
        <v>0.25954550295480328</v>
      </c>
      <c r="HK40">
        <f t="shared" si="730"/>
        <v>0.25954550295480328</v>
      </c>
      <c r="HL40">
        <f t="shared" si="731"/>
        <v>0.25954550295480328</v>
      </c>
      <c r="HM40">
        <f t="shared" si="732"/>
        <v>0.25954550295480328</v>
      </c>
      <c r="HN40">
        <f t="shared" si="733"/>
        <v>0.25954550295480328</v>
      </c>
      <c r="HO40">
        <f t="shared" si="734"/>
        <v>0.25954550295480328</v>
      </c>
      <c r="HP40">
        <f t="shared" si="735"/>
        <v>0.25954550295480328</v>
      </c>
      <c r="HQ40">
        <f t="shared" si="736"/>
        <v>0.25954550295480328</v>
      </c>
      <c r="HR40">
        <f t="shared" si="737"/>
        <v>0.25954550295480328</v>
      </c>
      <c r="HS40">
        <f t="shared" si="738"/>
        <v>0.25954550295480328</v>
      </c>
      <c r="HT40">
        <f t="shared" si="739"/>
        <v>0.25954550295480328</v>
      </c>
      <c r="HU40">
        <f t="shared" si="740"/>
        <v>0.25954550295480328</v>
      </c>
      <c r="HV40">
        <f t="shared" si="741"/>
        <v>0.25954550295480328</v>
      </c>
      <c r="HW40">
        <f t="shared" si="742"/>
        <v>0.25954550295480328</v>
      </c>
      <c r="HX40">
        <f t="shared" si="743"/>
        <v>0.25954550295480328</v>
      </c>
      <c r="HY40">
        <f t="shared" si="744"/>
        <v>0.25954550295480328</v>
      </c>
      <c r="HZ40">
        <f t="shared" si="745"/>
        <v>0.25954550295480328</v>
      </c>
      <c r="IA40">
        <f t="shared" si="746"/>
        <v>0.25954550295480328</v>
      </c>
      <c r="IB40">
        <f t="shared" si="747"/>
        <v>0.25954550295480328</v>
      </c>
      <c r="IC40">
        <f t="shared" si="748"/>
        <v>0.25954550295480328</v>
      </c>
      <c r="ID40">
        <f t="shared" si="749"/>
        <v>0.25954550295480328</v>
      </c>
      <c r="IE40">
        <f t="shared" si="750"/>
        <v>0.25954550295480328</v>
      </c>
      <c r="IF40">
        <f t="shared" si="751"/>
        <v>0.25954550295480328</v>
      </c>
      <c r="IG40">
        <f t="shared" si="752"/>
        <v>0.25954550295480328</v>
      </c>
      <c r="IH40">
        <f t="shared" si="753"/>
        <v>0.25954550295480328</v>
      </c>
      <c r="II40">
        <f t="shared" si="754"/>
        <v>0.25954550295480328</v>
      </c>
      <c r="IJ40">
        <f t="shared" si="755"/>
        <v>0.25954550295480328</v>
      </c>
      <c r="IK40">
        <f t="shared" si="756"/>
        <v>0.25954550295480328</v>
      </c>
      <c r="IL40">
        <f t="shared" si="757"/>
        <v>0.25954550295480328</v>
      </c>
      <c r="IM40">
        <f t="shared" si="758"/>
        <v>0.25954550295480328</v>
      </c>
      <c r="IN40">
        <f t="shared" si="759"/>
        <v>0.25954550295480328</v>
      </c>
      <c r="IO40">
        <f t="shared" si="760"/>
        <v>0.25954550295480328</v>
      </c>
      <c r="IP40">
        <f t="shared" si="761"/>
        <v>0.25954550295480328</v>
      </c>
      <c r="IQ40">
        <f t="shared" si="762"/>
        <v>0.25954550295480328</v>
      </c>
      <c r="IR40">
        <f t="shared" si="763"/>
        <v>0.25954550295480328</v>
      </c>
      <c r="IS40">
        <f t="shared" si="764"/>
        <v>0.25954550295480328</v>
      </c>
      <c r="IT40">
        <f t="shared" si="765"/>
        <v>0.25954550295480328</v>
      </c>
      <c r="IU40">
        <f t="shared" si="766"/>
        <v>0.25954550295480328</v>
      </c>
      <c r="IV40">
        <f t="shared" si="767"/>
        <v>0.25954550295480328</v>
      </c>
    </row>
    <row r="41" spans="1:256" x14ac:dyDescent="0.2">
      <c r="A41" t="s">
        <v>512</v>
      </c>
      <c r="B41">
        <f t="shared" si="513"/>
        <v>2</v>
      </c>
      <c r="C41">
        <f t="shared" si="514"/>
        <v>2</v>
      </c>
      <c r="D41">
        <f t="shared" si="515"/>
        <v>2</v>
      </c>
      <c r="E41">
        <f t="shared" si="516"/>
        <v>2</v>
      </c>
      <c r="F41">
        <f t="shared" si="517"/>
        <v>2</v>
      </c>
      <c r="G41">
        <f t="shared" si="518"/>
        <v>2</v>
      </c>
      <c r="H41">
        <f t="shared" si="519"/>
        <v>2</v>
      </c>
      <c r="I41">
        <f t="shared" si="520"/>
        <v>2</v>
      </c>
      <c r="J41">
        <f t="shared" si="521"/>
        <v>0.2</v>
      </c>
      <c r="K41">
        <f t="shared" si="522"/>
        <v>0.2</v>
      </c>
      <c r="L41">
        <f t="shared" si="523"/>
        <v>0.2</v>
      </c>
      <c r="M41">
        <f t="shared" si="524"/>
        <v>0.2</v>
      </c>
      <c r="N41">
        <f t="shared" si="525"/>
        <v>0.2</v>
      </c>
      <c r="O41">
        <f t="shared" si="526"/>
        <v>0.2</v>
      </c>
      <c r="P41">
        <f t="shared" si="527"/>
        <v>0.2</v>
      </c>
      <c r="Q41">
        <f t="shared" si="528"/>
        <v>0.2</v>
      </c>
      <c r="R41">
        <f t="shared" si="529"/>
        <v>0.4</v>
      </c>
      <c r="S41">
        <f t="shared" si="530"/>
        <v>0.4</v>
      </c>
      <c r="T41">
        <f t="shared" si="531"/>
        <v>0.4</v>
      </c>
      <c r="U41">
        <f t="shared" si="532"/>
        <v>0.4</v>
      </c>
      <c r="V41">
        <f t="shared" si="533"/>
        <v>0.4</v>
      </c>
      <c r="W41">
        <f t="shared" si="534"/>
        <v>0.4</v>
      </c>
      <c r="X41">
        <f t="shared" si="535"/>
        <v>0.4</v>
      </c>
      <c r="Y41">
        <f t="shared" si="536"/>
        <v>0.4</v>
      </c>
      <c r="Z41">
        <f t="shared" si="537"/>
        <v>0.63178629903697459</v>
      </c>
      <c r="AA41">
        <f t="shared" si="538"/>
        <v>0.63178629903697459</v>
      </c>
      <c r="AB41">
        <f t="shared" si="539"/>
        <v>0.63178629903697459</v>
      </c>
      <c r="AC41">
        <f t="shared" si="540"/>
        <v>0.63178629903697459</v>
      </c>
      <c r="AD41">
        <f t="shared" si="541"/>
        <v>0.63178629903697459</v>
      </c>
      <c r="AE41">
        <f t="shared" si="542"/>
        <v>0.63178629903697459</v>
      </c>
      <c r="AF41">
        <f t="shared" si="543"/>
        <v>0.63178629903697459</v>
      </c>
      <c r="AG41">
        <f t="shared" si="544"/>
        <v>0.63178629903697459</v>
      </c>
      <c r="AH41">
        <f t="shared" si="545"/>
        <v>0.33300739288330078</v>
      </c>
      <c r="AI41">
        <f t="shared" si="546"/>
        <v>0.33300739288330078</v>
      </c>
      <c r="AJ41">
        <f t="shared" si="547"/>
        <v>0.33300739288330078</v>
      </c>
      <c r="AK41">
        <f t="shared" si="548"/>
        <v>0.33300739288330078</v>
      </c>
      <c r="AL41">
        <f t="shared" si="549"/>
        <v>0.33300739288330078</v>
      </c>
      <c r="AM41">
        <f t="shared" si="550"/>
        <v>0.33300739288330078</v>
      </c>
      <c r="AN41">
        <f t="shared" si="551"/>
        <v>0.33300739288330078</v>
      </c>
      <c r="AO41">
        <f t="shared" si="552"/>
        <v>0.33300739288330078</v>
      </c>
      <c r="AP41">
        <f t="shared" si="553"/>
        <v>0.62876631851254028</v>
      </c>
      <c r="AQ41">
        <f t="shared" si="554"/>
        <v>0.62876631851254028</v>
      </c>
      <c r="AR41">
        <f t="shared" si="555"/>
        <v>0.62876631851254028</v>
      </c>
      <c r="AS41">
        <f t="shared" si="556"/>
        <v>0.62876631851254028</v>
      </c>
      <c r="AT41">
        <f t="shared" si="557"/>
        <v>0.62876631851254028</v>
      </c>
      <c r="AU41">
        <f t="shared" si="558"/>
        <v>0.62876631851254028</v>
      </c>
      <c r="AV41">
        <f t="shared" si="559"/>
        <v>0.62876631851254028</v>
      </c>
      <c r="AW41">
        <f t="shared" si="560"/>
        <v>0.62876631851254028</v>
      </c>
      <c r="AX41">
        <f t="shared" si="561"/>
        <v>0.54305308063096158</v>
      </c>
      <c r="AY41">
        <f t="shared" si="562"/>
        <v>0.54305308063096158</v>
      </c>
      <c r="AZ41">
        <f t="shared" si="563"/>
        <v>0.54305308063096158</v>
      </c>
      <c r="BA41">
        <f t="shared" si="564"/>
        <v>0.54305308063096158</v>
      </c>
      <c r="BB41">
        <f t="shared" si="565"/>
        <v>0.54305308063096158</v>
      </c>
      <c r="BC41">
        <f t="shared" si="566"/>
        <v>0.54305308063096158</v>
      </c>
      <c r="BD41">
        <f t="shared" si="567"/>
        <v>0.54305308063096158</v>
      </c>
      <c r="BE41">
        <f t="shared" si="568"/>
        <v>0.54305308063096158</v>
      </c>
      <c r="BF41">
        <f t="shared" si="569"/>
        <v>0.54305308063096158</v>
      </c>
      <c r="BG41">
        <f t="shared" si="570"/>
        <v>0.54305308063096158</v>
      </c>
      <c r="BH41">
        <f t="shared" si="571"/>
        <v>0.54305308063096158</v>
      </c>
      <c r="BI41">
        <f t="shared" si="572"/>
        <v>0.54305308063096158</v>
      </c>
      <c r="BJ41">
        <f t="shared" si="573"/>
        <v>0.54305308063096158</v>
      </c>
      <c r="BK41">
        <f t="shared" si="574"/>
        <v>0.54305308063096158</v>
      </c>
      <c r="BL41">
        <f t="shared" si="575"/>
        <v>0.54305308063096158</v>
      </c>
      <c r="BM41">
        <f t="shared" si="576"/>
        <v>0.54305308063096158</v>
      </c>
      <c r="BN41">
        <f t="shared" si="577"/>
        <v>0.54305308063096158</v>
      </c>
      <c r="BO41">
        <f t="shared" si="578"/>
        <v>0.54305308063096158</v>
      </c>
      <c r="BP41">
        <f t="shared" si="579"/>
        <v>0.54305308063096158</v>
      </c>
      <c r="BQ41">
        <f t="shared" si="580"/>
        <v>0.54305308063096158</v>
      </c>
      <c r="BR41">
        <f t="shared" si="581"/>
        <v>0.54305308063096158</v>
      </c>
      <c r="BS41">
        <f t="shared" si="582"/>
        <v>0.54305308063096158</v>
      </c>
      <c r="BT41">
        <f t="shared" si="583"/>
        <v>0.54305308063096158</v>
      </c>
      <c r="BU41">
        <f t="shared" si="584"/>
        <v>0.54305308063096158</v>
      </c>
      <c r="BV41">
        <f t="shared" si="585"/>
        <v>0.54305308063096158</v>
      </c>
      <c r="BW41">
        <f t="shared" si="586"/>
        <v>0.54305308063096158</v>
      </c>
      <c r="BX41">
        <f t="shared" si="587"/>
        <v>0.54305308063096158</v>
      </c>
      <c r="BY41">
        <f t="shared" si="588"/>
        <v>0.54305308063096158</v>
      </c>
      <c r="BZ41">
        <f t="shared" si="589"/>
        <v>0.54305308063096158</v>
      </c>
      <c r="CA41">
        <f t="shared" si="590"/>
        <v>0.54305308063096158</v>
      </c>
      <c r="CB41">
        <f t="shared" si="591"/>
        <v>0.54305308063096158</v>
      </c>
      <c r="CC41">
        <f t="shared" si="592"/>
        <v>0.54305308063096158</v>
      </c>
      <c r="CD41">
        <f t="shared" si="593"/>
        <v>0.54305308063096158</v>
      </c>
      <c r="CE41">
        <f t="shared" si="594"/>
        <v>0.54305308063096158</v>
      </c>
      <c r="CF41">
        <f t="shared" si="595"/>
        <v>0.54305308063096158</v>
      </c>
      <c r="CG41">
        <f t="shared" si="596"/>
        <v>0.54305308063096158</v>
      </c>
      <c r="CH41">
        <f t="shared" si="597"/>
        <v>0.54305308063096158</v>
      </c>
      <c r="CI41">
        <f t="shared" si="598"/>
        <v>0.54305308063096158</v>
      </c>
      <c r="CJ41">
        <f t="shared" si="599"/>
        <v>0.54305308063096158</v>
      </c>
      <c r="CK41">
        <f t="shared" si="600"/>
        <v>0.54305308063096158</v>
      </c>
      <c r="CL41">
        <f t="shared" si="601"/>
        <v>0.54305308063096158</v>
      </c>
      <c r="CM41">
        <f t="shared" si="602"/>
        <v>0.54305308063096158</v>
      </c>
      <c r="CN41">
        <f t="shared" si="603"/>
        <v>0.54305308063096158</v>
      </c>
      <c r="CO41">
        <f t="shared" si="604"/>
        <v>0.54305308063096158</v>
      </c>
      <c r="CP41">
        <f t="shared" si="605"/>
        <v>0.54305308063096158</v>
      </c>
      <c r="CQ41">
        <f t="shared" si="606"/>
        <v>0.54305308063096158</v>
      </c>
      <c r="CR41">
        <f t="shared" si="607"/>
        <v>0.54305308063096158</v>
      </c>
      <c r="CS41">
        <f t="shared" si="608"/>
        <v>0.54305308063096158</v>
      </c>
      <c r="CT41">
        <f t="shared" si="609"/>
        <v>0.54305308063096158</v>
      </c>
      <c r="CU41">
        <f t="shared" si="610"/>
        <v>0.54305308063096158</v>
      </c>
      <c r="CV41">
        <f t="shared" si="611"/>
        <v>0.54305308063096158</v>
      </c>
      <c r="CW41">
        <f t="shared" si="612"/>
        <v>0.54305308063096158</v>
      </c>
      <c r="CX41">
        <f t="shared" si="613"/>
        <v>0.54305308063096158</v>
      </c>
      <c r="CY41">
        <f t="shared" si="614"/>
        <v>0.54305308063096158</v>
      </c>
      <c r="CZ41">
        <f t="shared" si="615"/>
        <v>0.54305308063096158</v>
      </c>
      <c r="DA41">
        <f t="shared" si="616"/>
        <v>0.54305308063096158</v>
      </c>
      <c r="DB41">
        <f t="shared" si="617"/>
        <v>0.54305308063096158</v>
      </c>
      <c r="DC41">
        <f t="shared" si="618"/>
        <v>0.54305308063096158</v>
      </c>
      <c r="DD41">
        <f t="shared" si="619"/>
        <v>0.54305308063096158</v>
      </c>
      <c r="DE41">
        <f t="shared" si="620"/>
        <v>0.54305308063096158</v>
      </c>
      <c r="DF41">
        <f t="shared" si="621"/>
        <v>0.54305308063096158</v>
      </c>
      <c r="DG41">
        <f t="shared" si="622"/>
        <v>0.54305308063096158</v>
      </c>
      <c r="DH41">
        <f t="shared" si="623"/>
        <v>0.54305308063096158</v>
      </c>
      <c r="DI41">
        <f t="shared" si="624"/>
        <v>0.54305308063096158</v>
      </c>
      <c r="DJ41">
        <f t="shared" si="625"/>
        <v>0.54305308063096158</v>
      </c>
      <c r="DK41">
        <f t="shared" si="626"/>
        <v>0.54305308063096158</v>
      </c>
      <c r="DL41">
        <f t="shared" si="627"/>
        <v>0.54305308063096158</v>
      </c>
      <c r="DM41">
        <f t="shared" si="628"/>
        <v>0.54305308063096158</v>
      </c>
      <c r="DN41">
        <f t="shared" si="629"/>
        <v>0.54305308063096158</v>
      </c>
      <c r="DO41">
        <f t="shared" si="630"/>
        <v>0.54305308063096158</v>
      </c>
      <c r="DP41">
        <f t="shared" si="631"/>
        <v>0.54305308063096158</v>
      </c>
      <c r="DQ41">
        <f t="shared" si="632"/>
        <v>0.54305308063096158</v>
      </c>
      <c r="DR41">
        <f t="shared" si="633"/>
        <v>0.54305308063096158</v>
      </c>
      <c r="DS41">
        <f t="shared" si="634"/>
        <v>0.54305308063096158</v>
      </c>
      <c r="DT41">
        <f t="shared" si="635"/>
        <v>0.54305308063096158</v>
      </c>
      <c r="DU41">
        <f t="shared" si="636"/>
        <v>0.54305308063096158</v>
      </c>
      <c r="DV41">
        <f t="shared" si="637"/>
        <v>0.54305308063096158</v>
      </c>
      <c r="DW41">
        <f t="shared" si="638"/>
        <v>0.54305308063096158</v>
      </c>
      <c r="DX41">
        <f t="shared" si="639"/>
        <v>0.54305308063096158</v>
      </c>
      <c r="DY41">
        <f t="shared" si="640"/>
        <v>0.54305308063096158</v>
      </c>
      <c r="DZ41">
        <f t="shared" si="641"/>
        <v>0.54305308063096158</v>
      </c>
      <c r="EA41">
        <f t="shared" si="642"/>
        <v>0.54305308063096158</v>
      </c>
      <c r="EB41">
        <f t="shared" si="643"/>
        <v>0.54305308063096158</v>
      </c>
      <c r="EC41">
        <f t="shared" si="644"/>
        <v>0.54305308063096158</v>
      </c>
      <c r="ED41">
        <f t="shared" si="645"/>
        <v>0.54305308063096158</v>
      </c>
      <c r="EE41">
        <f t="shared" si="646"/>
        <v>0.54305308063096158</v>
      </c>
      <c r="EF41">
        <f t="shared" si="647"/>
        <v>0.54305308063096158</v>
      </c>
      <c r="EG41">
        <f t="shared" si="648"/>
        <v>0.54305308063096158</v>
      </c>
      <c r="EH41">
        <f t="shared" si="649"/>
        <v>0.54305308063096158</v>
      </c>
      <c r="EI41">
        <f t="shared" si="650"/>
        <v>0.54305308063096158</v>
      </c>
      <c r="EJ41">
        <f t="shared" si="651"/>
        <v>0.54305308063096158</v>
      </c>
      <c r="EK41">
        <f t="shared" si="652"/>
        <v>0.54305308063096158</v>
      </c>
      <c r="EL41">
        <f t="shared" si="653"/>
        <v>0.54305308063096158</v>
      </c>
      <c r="EM41">
        <f t="shared" si="654"/>
        <v>0.54305308063096158</v>
      </c>
      <c r="EN41">
        <f t="shared" si="655"/>
        <v>0.54305308063096158</v>
      </c>
      <c r="EO41">
        <f t="shared" si="656"/>
        <v>0.54305308063096158</v>
      </c>
      <c r="EP41">
        <f t="shared" si="657"/>
        <v>0.54305308063096158</v>
      </c>
      <c r="EQ41">
        <f t="shared" si="658"/>
        <v>0.54305308063096158</v>
      </c>
      <c r="ER41">
        <f t="shared" si="659"/>
        <v>0.54305308063096158</v>
      </c>
      <c r="ES41">
        <f t="shared" si="660"/>
        <v>0.54305308063096158</v>
      </c>
      <c r="ET41">
        <f t="shared" si="661"/>
        <v>0.54305308063096158</v>
      </c>
      <c r="EU41">
        <f t="shared" si="662"/>
        <v>0.54305308063096158</v>
      </c>
      <c r="EV41">
        <f t="shared" si="663"/>
        <v>0.54305308063096158</v>
      </c>
      <c r="EW41">
        <f t="shared" si="664"/>
        <v>0.54305308063096158</v>
      </c>
      <c r="EX41">
        <f t="shared" si="665"/>
        <v>0.54305308063096158</v>
      </c>
      <c r="EY41">
        <f t="shared" si="666"/>
        <v>0.54305308063096158</v>
      </c>
      <c r="EZ41">
        <f t="shared" si="667"/>
        <v>0.54305308063096158</v>
      </c>
      <c r="FA41">
        <f t="shared" si="668"/>
        <v>0.54305308063096158</v>
      </c>
      <c r="FB41">
        <f t="shared" si="669"/>
        <v>0.54305308063096158</v>
      </c>
      <c r="FC41">
        <f t="shared" si="670"/>
        <v>0.54305308063096158</v>
      </c>
      <c r="FD41">
        <f t="shared" si="671"/>
        <v>0.54305308063096158</v>
      </c>
      <c r="FE41">
        <f t="shared" si="672"/>
        <v>0.54305308063096158</v>
      </c>
      <c r="FF41">
        <f t="shared" si="673"/>
        <v>0.54305308063096158</v>
      </c>
      <c r="FG41">
        <f t="shared" si="674"/>
        <v>0.54305308063096158</v>
      </c>
      <c r="FH41">
        <f t="shared" si="675"/>
        <v>0.54305308063096158</v>
      </c>
      <c r="FI41">
        <f t="shared" si="676"/>
        <v>0.54305308063096158</v>
      </c>
      <c r="FJ41">
        <f t="shared" si="677"/>
        <v>0.54305308063096158</v>
      </c>
      <c r="FK41">
        <f t="shared" si="678"/>
        <v>0.54305308063096158</v>
      </c>
      <c r="FL41">
        <f t="shared" si="679"/>
        <v>0.54305308063096158</v>
      </c>
      <c r="FM41">
        <f t="shared" si="680"/>
        <v>0.54305308063096158</v>
      </c>
      <c r="FN41">
        <f t="shared" si="681"/>
        <v>0.54305308063096158</v>
      </c>
      <c r="FO41">
        <f t="shared" si="682"/>
        <v>0.54305308063096158</v>
      </c>
      <c r="FP41">
        <f t="shared" si="683"/>
        <v>0.54305308063096158</v>
      </c>
      <c r="FQ41">
        <f t="shared" si="684"/>
        <v>0.54305308063096158</v>
      </c>
      <c r="FR41">
        <f t="shared" si="685"/>
        <v>0.54305308063096158</v>
      </c>
      <c r="FS41">
        <f t="shared" si="686"/>
        <v>0.54305308063096158</v>
      </c>
      <c r="FT41">
        <f t="shared" si="687"/>
        <v>0.54305308063096158</v>
      </c>
      <c r="FU41">
        <f t="shared" si="688"/>
        <v>0.54305308063096158</v>
      </c>
      <c r="FV41">
        <f t="shared" si="689"/>
        <v>0.54305308063096158</v>
      </c>
      <c r="FW41">
        <f t="shared" si="690"/>
        <v>0.54305308063096158</v>
      </c>
      <c r="FX41">
        <f t="shared" si="691"/>
        <v>0.54305308063096158</v>
      </c>
      <c r="FY41">
        <f t="shared" si="692"/>
        <v>0.54305308063096158</v>
      </c>
      <c r="FZ41">
        <f t="shared" si="693"/>
        <v>0.54305308063096158</v>
      </c>
      <c r="GA41">
        <f t="shared" si="694"/>
        <v>0.54305308063096158</v>
      </c>
      <c r="GB41">
        <f t="shared" si="695"/>
        <v>0.54305308063096158</v>
      </c>
      <c r="GC41">
        <f t="shared" si="696"/>
        <v>0.54305308063096158</v>
      </c>
      <c r="GD41">
        <f t="shared" si="697"/>
        <v>0.54305308063096158</v>
      </c>
      <c r="GE41">
        <f t="shared" si="698"/>
        <v>0.54305308063096158</v>
      </c>
      <c r="GF41">
        <f t="shared" si="699"/>
        <v>0.54305308063096158</v>
      </c>
      <c r="GG41">
        <f t="shared" si="700"/>
        <v>0.54305308063096158</v>
      </c>
      <c r="GH41">
        <f t="shared" si="701"/>
        <v>0.54305308063096158</v>
      </c>
      <c r="GI41">
        <f t="shared" si="702"/>
        <v>0.54305308063096158</v>
      </c>
      <c r="GJ41">
        <f t="shared" si="703"/>
        <v>0.54305308063096158</v>
      </c>
      <c r="GK41">
        <f t="shared" si="704"/>
        <v>0.54305308063096158</v>
      </c>
      <c r="GL41">
        <f t="shared" si="705"/>
        <v>0.54305308063096158</v>
      </c>
      <c r="GM41">
        <f t="shared" si="706"/>
        <v>0.54305308063096158</v>
      </c>
      <c r="GN41">
        <f t="shared" si="707"/>
        <v>0.54305308063096158</v>
      </c>
      <c r="GO41">
        <f t="shared" si="708"/>
        <v>0.54305308063096158</v>
      </c>
      <c r="GP41">
        <f t="shared" si="709"/>
        <v>0.54305308063096158</v>
      </c>
      <c r="GQ41">
        <f t="shared" si="710"/>
        <v>0.54305308063096158</v>
      </c>
      <c r="GR41">
        <f t="shared" si="711"/>
        <v>0.54305308063096158</v>
      </c>
      <c r="GS41">
        <f t="shared" si="712"/>
        <v>0.54305308063096158</v>
      </c>
      <c r="GT41">
        <f t="shared" si="713"/>
        <v>0.54305308063096158</v>
      </c>
      <c r="GU41">
        <f t="shared" si="714"/>
        <v>0.54305308063096158</v>
      </c>
      <c r="GV41">
        <f t="shared" si="715"/>
        <v>0.54305308063096158</v>
      </c>
      <c r="GW41">
        <f t="shared" si="716"/>
        <v>0.54305308063096158</v>
      </c>
      <c r="GX41">
        <f t="shared" si="717"/>
        <v>0.54305308063096158</v>
      </c>
      <c r="GY41">
        <f t="shared" si="718"/>
        <v>0.54305308063096158</v>
      </c>
      <c r="GZ41">
        <f t="shared" si="719"/>
        <v>0.54305308063096158</v>
      </c>
      <c r="HA41">
        <f t="shared" si="720"/>
        <v>0.54305308063096158</v>
      </c>
      <c r="HB41">
        <f t="shared" si="721"/>
        <v>0.54305308063096158</v>
      </c>
      <c r="HC41">
        <f t="shared" si="722"/>
        <v>0.54305308063096158</v>
      </c>
      <c r="HD41">
        <f t="shared" si="723"/>
        <v>0.54305308063096158</v>
      </c>
      <c r="HE41">
        <f t="shared" si="724"/>
        <v>0.54305308063096158</v>
      </c>
      <c r="HF41">
        <f t="shared" si="725"/>
        <v>0.54305308063096158</v>
      </c>
      <c r="HG41">
        <f t="shared" si="726"/>
        <v>0.54305308063096158</v>
      </c>
      <c r="HH41">
        <f t="shared" si="727"/>
        <v>0.54305308063096158</v>
      </c>
      <c r="HI41">
        <f t="shared" si="728"/>
        <v>0.54305308063096158</v>
      </c>
      <c r="HJ41">
        <f t="shared" si="729"/>
        <v>0.54305308063096158</v>
      </c>
      <c r="HK41">
        <f t="shared" si="730"/>
        <v>0.54305308063096158</v>
      </c>
      <c r="HL41">
        <f t="shared" si="731"/>
        <v>0.54305308063096158</v>
      </c>
      <c r="HM41">
        <f t="shared" si="732"/>
        <v>0.54305308063096158</v>
      </c>
      <c r="HN41">
        <f t="shared" si="733"/>
        <v>0.54305308063096158</v>
      </c>
      <c r="HO41">
        <f t="shared" si="734"/>
        <v>0.54305308063096158</v>
      </c>
      <c r="HP41">
        <f t="shared" si="735"/>
        <v>0.54305308063096158</v>
      </c>
      <c r="HQ41">
        <f t="shared" si="736"/>
        <v>0.54305308063096158</v>
      </c>
      <c r="HR41">
        <f t="shared" si="737"/>
        <v>0.54305308063096158</v>
      </c>
      <c r="HS41">
        <f t="shared" si="738"/>
        <v>0.54305308063096158</v>
      </c>
      <c r="HT41">
        <f t="shared" si="739"/>
        <v>0.54305308063096158</v>
      </c>
      <c r="HU41">
        <f t="shared" si="740"/>
        <v>0.54305308063096158</v>
      </c>
      <c r="HV41">
        <f t="shared" si="741"/>
        <v>0.54305308063096158</v>
      </c>
      <c r="HW41">
        <f t="shared" si="742"/>
        <v>0.54305308063096158</v>
      </c>
      <c r="HX41">
        <f t="shared" si="743"/>
        <v>0.54305308063096158</v>
      </c>
      <c r="HY41">
        <f t="shared" si="744"/>
        <v>0.54305308063096158</v>
      </c>
      <c r="HZ41">
        <f t="shared" si="745"/>
        <v>0.54305308063096158</v>
      </c>
      <c r="IA41">
        <f t="shared" si="746"/>
        <v>0.54305308063096158</v>
      </c>
      <c r="IB41">
        <f t="shared" si="747"/>
        <v>0.54305308063096158</v>
      </c>
      <c r="IC41">
        <f t="shared" si="748"/>
        <v>0.54305308063096158</v>
      </c>
      <c r="ID41">
        <f t="shared" si="749"/>
        <v>0.54305308063096158</v>
      </c>
      <c r="IE41">
        <f t="shared" si="750"/>
        <v>0.54305308063096158</v>
      </c>
      <c r="IF41">
        <f t="shared" si="751"/>
        <v>0.54305308063096158</v>
      </c>
      <c r="IG41">
        <f t="shared" si="752"/>
        <v>0.54305308063096158</v>
      </c>
      <c r="IH41">
        <f t="shared" si="753"/>
        <v>0.54305308063096158</v>
      </c>
      <c r="II41">
        <f t="shared" si="754"/>
        <v>0.54305308063096158</v>
      </c>
      <c r="IJ41">
        <f t="shared" si="755"/>
        <v>0.54305308063096158</v>
      </c>
      <c r="IK41">
        <f t="shared" si="756"/>
        <v>0.54305308063096158</v>
      </c>
      <c r="IL41">
        <f t="shared" si="757"/>
        <v>0.54305308063096158</v>
      </c>
      <c r="IM41">
        <f t="shared" si="758"/>
        <v>0.54305308063096158</v>
      </c>
      <c r="IN41">
        <f t="shared" si="759"/>
        <v>0.54305308063096158</v>
      </c>
      <c r="IO41">
        <f t="shared" si="760"/>
        <v>0.54305308063096158</v>
      </c>
      <c r="IP41">
        <f t="shared" si="761"/>
        <v>0.54305308063096158</v>
      </c>
      <c r="IQ41">
        <f t="shared" si="762"/>
        <v>0.54305308063096158</v>
      </c>
      <c r="IR41">
        <f t="shared" si="763"/>
        <v>0.54305308063096158</v>
      </c>
      <c r="IS41">
        <f t="shared" si="764"/>
        <v>0.54305308063096158</v>
      </c>
      <c r="IT41">
        <f t="shared" si="765"/>
        <v>0.54305308063096158</v>
      </c>
      <c r="IU41">
        <f t="shared" si="766"/>
        <v>0.54305308063096158</v>
      </c>
      <c r="IV41">
        <f t="shared" si="767"/>
        <v>0.54305308063096158</v>
      </c>
    </row>
    <row r="42" spans="1:256" x14ac:dyDescent="0.2">
      <c r="A42" t="s">
        <v>513</v>
      </c>
      <c r="B42">
        <f t="shared" si="513"/>
        <v>1.0839896572620158</v>
      </c>
      <c r="C42">
        <f t="shared" si="514"/>
        <v>1.0839896572620158</v>
      </c>
      <c r="D42">
        <f t="shared" si="515"/>
        <v>1.0839896572620158</v>
      </c>
      <c r="E42">
        <f t="shared" si="516"/>
        <v>1.0839896572620158</v>
      </c>
      <c r="F42">
        <f t="shared" si="517"/>
        <v>1.0839896572620158</v>
      </c>
      <c r="G42">
        <f t="shared" si="518"/>
        <v>1.0839896572620158</v>
      </c>
      <c r="H42">
        <f t="shared" si="519"/>
        <v>1.0839896572620158</v>
      </c>
      <c r="I42">
        <f t="shared" si="520"/>
        <v>1.0839896572620158</v>
      </c>
      <c r="J42">
        <f t="shared" si="521"/>
        <v>0.10839896572620158</v>
      </c>
      <c r="K42">
        <f t="shared" si="522"/>
        <v>0.10839896572620158</v>
      </c>
      <c r="L42">
        <f t="shared" si="523"/>
        <v>0.10839896572620158</v>
      </c>
      <c r="M42">
        <f t="shared" si="524"/>
        <v>0.10839896572620158</v>
      </c>
      <c r="N42">
        <f t="shared" si="525"/>
        <v>0.10839896572620158</v>
      </c>
      <c r="O42">
        <f t="shared" si="526"/>
        <v>0.10839896572620158</v>
      </c>
      <c r="P42">
        <f t="shared" si="527"/>
        <v>0.10839896572620158</v>
      </c>
      <c r="Q42">
        <f t="shared" si="528"/>
        <v>0.10839896572620158</v>
      </c>
      <c r="R42">
        <f t="shared" si="529"/>
        <v>0.15286912015913298</v>
      </c>
      <c r="S42">
        <f t="shared" si="530"/>
        <v>0.15286912015913298</v>
      </c>
      <c r="T42">
        <f t="shared" si="531"/>
        <v>0.15286912015913298</v>
      </c>
      <c r="U42">
        <f t="shared" si="532"/>
        <v>0.15286912015913298</v>
      </c>
      <c r="V42">
        <f t="shared" si="533"/>
        <v>0.15286912015913298</v>
      </c>
      <c r="W42">
        <f t="shared" si="534"/>
        <v>0.15286912015913298</v>
      </c>
      <c r="X42">
        <f t="shared" si="535"/>
        <v>0.15286912015913298</v>
      </c>
      <c r="Y42">
        <f t="shared" si="536"/>
        <v>0.15286912015913298</v>
      </c>
      <c r="Z42">
        <f t="shared" si="537"/>
        <v>0.30573824031826596</v>
      </c>
      <c r="AA42">
        <f t="shared" si="538"/>
        <v>0.30573824031826596</v>
      </c>
      <c r="AB42">
        <f t="shared" si="539"/>
        <v>0.30573824031826596</v>
      </c>
      <c r="AC42">
        <f t="shared" si="540"/>
        <v>0.30573824031826596</v>
      </c>
      <c r="AD42">
        <f t="shared" si="541"/>
        <v>0.30573824031826596</v>
      </c>
      <c r="AE42">
        <f t="shared" si="542"/>
        <v>0.30573824031826596</v>
      </c>
      <c r="AF42">
        <f t="shared" si="543"/>
        <v>0.30573824031826596</v>
      </c>
      <c r="AG42">
        <f t="shared" si="544"/>
        <v>0.30573824031826596</v>
      </c>
      <c r="AH42">
        <f t="shared" si="545"/>
        <v>0.7371634674072266</v>
      </c>
      <c r="AI42">
        <f t="shared" si="546"/>
        <v>0.7371634674072266</v>
      </c>
      <c r="AJ42">
        <f t="shared" si="547"/>
        <v>0.7371634674072266</v>
      </c>
      <c r="AK42">
        <f t="shared" si="548"/>
        <v>0.7371634674072266</v>
      </c>
      <c r="AL42">
        <f t="shared" si="549"/>
        <v>0.7371634674072266</v>
      </c>
      <c r="AM42">
        <f t="shared" si="550"/>
        <v>0.7371634674072266</v>
      </c>
      <c r="AN42">
        <f t="shared" si="551"/>
        <v>0.7371634674072266</v>
      </c>
      <c r="AO42">
        <f t="shared" si="552"/>
        <v>0.7371634674072266</v>
      </c>
      <c r="AP42">
        <f t="shared" si="553"/>
        <v>0.87097925120585951</v>
      </c>
      <c r="AQ42">
        <f t="shared" si="554"/>
        <v>0.87097925120585951</v>
      </c>
      <c r="AR42">
        <f t="shared" si="555"/>
        <v>0.87097925120585951</v>
      </c>
      <c r="AS42">
        <f t="shared" si="556"/>
        <v>0.87097925120585951</v>
      </c>
      <c r="AT42">
        <f t="shared" si="557"/>
        <v>0.87097925120585951</v>
      </c>
      <c r="AU42">
        <f t="shared" si="558"/>
        <v>0.87097925120585951</v>
      </c>
      <c r="AV42">
        <f t="shared" si="559"/>
        <v>0.87097925120585951</v>
      </c>
      <c r="AW42">
        <f t="shared" si="560"/>
        <v>0.87097925120585951</v>
      </c>
      <c r="AX42">
        <f t="shared" si="561"/>
        <v>0.9999999341057908</v>
      </c>
      <c r="AY42">
        <f t="shared" si="562"/>
        <v>0.9999999341057908</v>
      </c>
      <c r="AZ42">
        <f t="shared" si="563"/>
        <v>0.9999999341057908</v>
      </c>
      <c r="BA42">
        <f t="shared" si="564"/>
        <v>0.9999999341057908</v>
      </c>
      <c r="BB42">
        <f t="shared" si="565"/>
        <v>0.9999999341057908</v>
      </c>
      <c r="BC42">
        <f t="shared" si="566"/>
        <v>0.9999999341057908</v>
      </c>
      <c r="BD42">
        <f t="shared" si="567"/>
        <v>0.9999999341057908</v>
      </c>
      <c r="BE42">
        <f t="shared" si="568"/>
        <v>0.9999999341057908</v>
      </c>
      <c r="BF42">
        <f t="shared" si="569"/>
        <v>0.9999999341057908</v>
      </c>
      <c r="BG42">
        <f t="shared" si="570"/>
        <v>0.9999999341057908</v>
      </c>
      <c r="BH42">
        <f t="shared" si="571"/>
        <v>0.9999999341057908</v>
      </c>
      <c r="BI42">
        <f t="shared" si="572"/>
        <v>0.9999999341057908</v>
      </c>
      <c r="BJ42">
        <f t="shared" si="573"/>
        <v>0.9999999341057908</v>
      </c>
      <c r="BK42">
        <f t="shared" si="574"/>
        <v>0.9999999341057908</v>
      </c>
      <c r="BL42">
        <f t="shared" si="575"/>
        <v>0.9999999341057908</v>
      </c>
      <c r="BM42">
        <f t="shared" si="576"/>
        <v>0.9999999341057908</v>
      </c>
      <c r="BN42">
        <f t="shared" si="577"/>
        <v>0.9999999341057908</v>
      </c>
      <c r="BO42">
        <f t="shared" si="578"/>
        <v>0.9999999341057908</v>
      </c>
      <c r="BP42">
        <f t="shared" si="579"/>
        <v>0.9999999341057908</v>
      </c>
      <c r="BQ42">
        <f t="shared" si="580"/>
        <v>0.9999999341057908</v>
      </c>
      <c r="BR42">
        <f t="shared" si="581"/>
        <v>0.9999999341057908</v>
      </c>
      <c r="BS42">
        <f t="shared" si="582"/>
        <v>0.9999999341057908</v>
      </c>
      <c r="BT42">
        <f t="shared" si="583"/>
        <v>0.9999999341057908</v>
      </c>
      <c r="BU42">
        <f t="shared" si="584"/>
        <v>0.9999999341057908</v>
      </c>
      <c r="BV42">
        <f t="shared" si="585"/>
        <v>0.9999999341057908</v>
      </c>
      <c r="BW42">
        <f t="shared" si="586"/>
        <v>0.9999999341057908</v>
      </c>
      <c r="BX42">
        <f t="shared" si="587"/>
        <v>0.9999999341057908</v>
      </c>
      <c r="BY42">
        <f t="shared" si="588"/>
        <v>0.9999999341057908</v>
      </c>
      <c r="BZ42">
        <f t="shared" si="589"/>
        <v>0.9999999341057908</v>
      </c>
      <c r="CA42">
        <f t="shared" si="590"/>
        <v>0.9999999341057908</v>
      </c>
      <c r="CB42">
        <f t="shared" si="591"/>
        <v>0.9999999341057908</v>
      </c>
      <c r="CC42">
        <f t="shared" si="592"/>
        <v>0.9999999341057908</v>
      </c>
      <c r="CD42">
        <f t="shared" si="593"/>
        <v>0.9999999341057908</v>
      </c>
      <c r="CE42">
        <f t="shared" si="594"/>
        <v>0.9999999341057908</v>
      </c>
      <c r="CF42">
        <f t="shared" si="595"/>
        <v>0.9999999341057908</v>
      </c>
      <c r="CG42">
        <f t="shared" si="596"/>
        <v>0.9999999341057908</v>
      </c>
      <c r="CH42">
        <f t="shared" si="597"/>
        <v>0.9999999341057908</v>
      </c>
      <c r="CI42">
        <f t="shared" si="598"/>
        <v>0.9999999341057908</v>
      </c>
      <c r="CJ42">
        <f t="shared" si="599"/>
        <v>0.9999999341057908</v>
      </c>
      <c r="CK42">
        <f t="shared" si="600"/>
        <v>0.9999999341057908</v>
      </c>
      <c r="CL42">
        <f t="shared" si="601"/>
        <v>0.9999999341057908</v>
      </c>
      <c r="CM42">
        <f t="shared" si="602"/>
        <v>0.9999999341057908</v>
      </c>
      <c r="CN42">
        <f t="shared" si="603"/>
        <v>0.9999999341057908</v>
      </c>
      <c r="CO42">
        <f t="shared" si="604"/>
        <v>0.9999999341057908</v>
      </c>
      <c r="CP42">
        <f t="shared" si="605"/>
        <v>0.9999999341057908</v>
      </c>
      <c r="CQ42">
        <f t="shared" si="606"/>
        <v>0.9999999341057908</v>
      </c>
      <c r="CR42">
        <f t="shared" si="607"/>
        <v>0.9999999341057908</v>
      </c>
      <c r="CS42">
        <f t="shared" si="608"/>
        <v>0.9999999341057908</v>
      </c>
      <c r="CT42">
        <f t="shared" si="609"/>
        <v>0.9999999341057908</v>
      </c>
      <c r="CU42">
        <f t="shared" si="610"/>
        <v>0.9999999341057908</v>
      </c>
      <c r="CV42">
        <f t="shared" si="611"/>
        <v>0.9999999341057908</v>
      </c>
      <c r="CW42">
        <f t="shared" si="612"/>
        <v>0.9999999341057908</v>
      </c>
      <c r="CX42">
        <f t="shared" si="613"/>
        <v>0.9999999341057908</v>
      </c>
      <c r="CY42">
        <f t="shared" si="614"/>
        <v>0.9999999341057908</v>
      </c>
      <c r="CZ42">
        <f t="shared" si="615"/>
        <v>0.9999999341057908</v>
      </c>
      <c r="DA42">
        <f t="shared" si="616"/>
        <v>0.9999999341057908</v>
      </c>
      <c r="DB42">
        <f t="shared" si="617"/>
        <v>0.9999999341057908</v>
      </c>
      <c r="DC42">
        <f t="shared" si="618"/>
        <v>0.9999999341057908</v>
      </c>
      <c r="DD42">
        <f t="shared" si="619"/>
        <v>0.9999999341057908</v>
      </c>
      <c r="DE42">
        <f t="shared" si="620"/>
        <v>0.9999999341057908</v>
      </c>
      <c r="DF42">
        <f t="shared" si="621"/>
        <v>0.9999999341057908</v>
      </c>
      <c r="DG42">
        <f t="shared" si="622"/>
        <v>0.9999999341057908</v>
      </c>
      <c r="DH42">
        <f t="shared" si="623"/>
        <v>0.9999999341057908</v>
      </c>
      <c r="DI42">
        <f t="shared" si="624"/>
        <v>0.9999999341057908</v>
      </c>
      <c r="DJ42">
        <f t="shared" si="625"/>
        <v>0.9999999341057908</v>
      </c>
      <c r="DK42">
        <f t="shared" si="626"/>
        <v>0.9999999341057908</v>
      </c>
      <c r="DL42">
        <f t="shared" si="627"/>
        <v>0.9999999341057908</v>
      </c>
      <c r="DM42">
        <f t="shared" si="628"/>
        <v>0.9999999341057908</v>
      </c>
      <c r="DN42">
        <f t="shared" si="629"/>
        <v>0.9999999341057908</v>
      </c>
      <c r="DO42">
        <f t="shared" si="630"/>
        <v>0.9999999341057908</v>
      </c>
      <c r="DP42">
        <f t="shared" si="631"/>
        <v>0.9999999341057908</v>
      </c>
      <c r="DQ42">
        <f t="shared" si="632"/>
        <v>0.9999999341057908</v>
      </c>
      <c r="DR42">
        <f t="shared" si="633"/>
        <v>0.9999999341057908</v>
      </c>
      <c r="DS42">
        <f t="shared" si="634"/>
        <v>0.9999999341057908</v>
      </c>
      <c r="DT42">
        <f t="shared" si="635"/>
        <v>0.9999999341057908</v>
      </c>
      <c r="DU42">
        <f t="shared" si="636"/>
        <v>0.9999999341057908</v>
      </c>
      <c r="DV42">
        <f t="shared" si="637"/>
        <v>0.9999999341057908</v>
      </c>
      <c r="DW42">
        <f t="shared" si="638"/>
        <v>0.9999999341057908</v>
      </c>
      <c r="DX42">
        <f t="shared" si="639"/>
        <v>0.9999999341057908</v>
      </c>
      <c r="DY42">
        <f t="shared" si="640"/>
        <v>0.9999999341057908</v>
      </c>
      <c r="DZ42">
        <f t="shared" si="641"/>
        <v>0.9999999341057908</v>
      </c>
      <c r="EA42">
        <f t="shared" si="642"/>
        <v>0.9999999341057908</v>
      </c>
      <c r="EB42">
        <f t="shared" si="643"/>
        <v>0.9999999341057908</v>
      </c>
      <c r="EC42">
        <f t="shared" si="644"/>
        <v>0.9999999341057908</v>
      </c>
      <c r="ED42">
        <f t="shared" si="645"/>
        <v>0.9999999341057908</v>
      </c>
      <c r="EE42">
        <f t="shared" si="646"/>
        <v>0.9999999341057908</v>
      </c>
      <c r="EF42">
        <f t="shared" si="647"/>
        <v>0.9999999341057908</v>
      </c>
      <c r="EG42">
        <f t="shared" si="648"/>
        <v>0.9999999341057908</v>
      </c>
      <c r="EH42">
        <f t="shared" si="649"/>
        <v>0.9999999341057908</v>
      </c>
      <c r="EI42">
        <f t="shared" si="650"/>
        <v>0.9999999341057908</v>
      </c>
      <c r="EJ42">
        <f t="shared" si="651"/>
        <v>0.9999999341057908</v>
      </c>
      <c r="EK42">
        <f t="shared" si="652"/>
        <v>0.9999999341057908</v>
      </c>
      <c r="EL42">
        <f t="shared" si="653"/>
        <v>0.9999999341057908</v>
      </c>
      <c r="EM42">
        <f t="shared" si="654"/>
        <v>0.9999999341057908</v>
      </c>
      <c r="EN42">
        <f t="shared" si="655"/>
        <v>0.9999999341057908</v>
      </c>
      <c r="EO42">
        <f t="shared" si="656"/>
        <v>0.9999999341057908</v>
      </c>
      <c r="EP42">
        <f t="shared" si="657"/>
        <v>0.9999999341057908</v>
      </c>
      <c r="EQ42">
        <f t="shared" si="658"/>
        <v>0.9999999341057908</v>
      </c>
      <c r="ER42">
        <f t="shared" si="659"/>
        <v>0.9999999341057908</v>
      </c>
      <c r="ES42">
        <f t="shared" si="660"/>
        <v>0.9999999341057908</v>
      </c>
      <c r="ET42">
        <f t="shared" si="661"/>
        <v>0.9999999341057908</v>
      </c>
      <c r="EU42">
        <f t="shared" si="662"/>
        <v>0.9999999341057908</v>
      </c>
      <c r="EV42">
        <f t="shared" si="663"/>
        <v>0.9999999341057908</v>
      </c>
      <c r="EW42">
        <f t="shared" si="664"/>
        <v>0.9999999341057908</v>
      </c>
      <c r="EX42">
        <f t="shared" si="665"/>
        <v>0.9999999341057908</v>
      </c>
      <c r="EY42">
        <f t="shared" si="666"/>
        <v>0.9999999341057908</v>
      </c>
      <c r="EZ42">
        <f t="shared" si="667"/>
        <v>0.9999999341057908</v>
      </c>
      <c r="FA42">
        <f t="shared" si="668"/>
        <v>0.9999999341057908</v>
      </c>
      <c r="FB42">
        <f t="shared" si="669"/>
        <v>0.9999999341057908</v>
      </c>
      <c r="FC42">
        <f t="shared" si="670"/>
        <v>0.9999999341057908</v>
      </c>
      <c r="FD42">
        <f t="shared" si="671"/>
        <v>0.9999999341057908</v>
      </c>
      <c r="FE42">
        <f t="shared" si="672"/>
        <v>0.9999999341057908</v>
      </c>
      <c r="FF42">
        <f t="shared" si="673"/>
        <v>0.9999999341057908</v>
      </c>
      <c r="FG42">
        <f t="shared" si="674"/>
        <v>0.9999999341057908</v>
      </c>
      <c r="FH42">
        <f t="shared" si="675"/>
        <v>0.9999999341057908</v>
      </c>
      <c r="FI42">
        <f t="shared" si="676"/>
        <v>0.9999999341057908</v>
      </c>
      <c r="FJ42">
        <f t="shared" si="677"/>
        <v>0.9999999341057908</v>
      </c>
      <c r="FK42">
        <f t="shared" si="678"/>
        <v>0.9999999341057908</v>
      </c>
      <c r="FL42">
        <f t="shared" si="679"/>
        <v>0.9999999341057908</v>
      </c>
      <c r="FM42">
        <f t="shared" si="680"/>
        <v>0.9999999341057908</v>
      </c>
      <c r="FN42">
        <f t="shared" si="681"/>
        <v>0.9999999341057908</v>
      </c>
      <c r="FO42">
        <f t="shared" si="682"/>
        <v>0.9999999341057908</v>
      </c>
      <c r="FP42">
        <f t="shared" si="683"/>
        <v>0.9999999341057908</v>
      </c>
      <c r="FQ42">
        <f t="shared" si="684"/>
        <v>0.9999999341057908</v>
      </c>
      <c r="FR42">
        <f t="shared" si="685"/>
        <v>0.9999999341057908</v>
      </c>
      <c r="FS42">
        <f t="shared" si="686"/>
        <v>0.9999999341057908</v>
      </c>
      <c r="FT42">
        <f t="shared" si="687"/>
        <v>0.9999999341057908</v>
      </c>
      <c r="FU42">
        <f t="shared" si="688"/>
        <v>0.9999999341057908</v>
      </c>
      <c r="FV42">
        <f t="shared" si="689"/>
        <v>0.9999999341057908</v>
      </c>
      <c r="FW42">
        <f t="shared" si="690"/>
        <v>0.9999999341057908</v>
      </c>
      <c r="FX42">
        <f t="shared" si="691"/>
        <v>0.9999999341057908</v>
      </c>
      <c r="FY42">
        <f t="shared" si="692"/>
        <v>0.9999999341057908</v>
      </c>
      <c r="FZ42">
        <f t="shared" si="693"/>
        <v>0.9999999341057908</v>
      </c>
      <c r="GA42">
        <f t="shared" si="694"/>
        <v>0.9999999341057908</v>
      </c>
      <c r="GB42">
        <f t="shared" si="695"/>
        <v>0.9999999341057908</v>
      </c>
      <c r="GC42">
        <f t="shared" si="696"/>
        <v>0.9999999341057908</v>
      </c>
      <c r="GD42">
        <f t="shared" si="697"/>
        <v>0.9999999341057908</v>
      </c>
      <c r="GE42">
        <f t="shared" si="698"/>
        <v>0.9999999341057908</v>
      </c>
      <c r="GF42">
        <f t="shared" si="699"/>
        <v>0.9999999341057908</v>
      </c>
      <c r="GG42">
        <f t="shared" si="700"/>
        <v>0.9999999341057908</v>
      </c>
      <c r="GH42">
        <f t="shared" si="701"/>
        <v>0.9999999341057908</v>
      </c>
      <c r="GI42">
        <f t="shared" si="702"/>
        <v>0.9999999341057908</v>
      </c>
      <c r="GJ42">
        <f t="shared" si="703"/>
        <v>0.9999999341057908</v>
      </c>
      <c r="GK42">
        <f t="shared" si="704"/>
        <v>0.9999999341057908</v>
      </c>
      <c r="GL42">
        <f t="shared" si="705"/>
        <v>0.9999999341057908</v>
      </c>
      <c r="GM42">
        <f t="shared" si="706"/>
        <v>0.9999999341057908</v>
      </c>
      <c r="GN42">
        <f t="shared" si="707"/>
        <v>0.9999999341057908</v>
      </c>
      <c r="GO42">
        <f t="shared" si="708"/>
        <v>0.9999999341057908</v>
      </c>
      <c r="GP42">
        <f t="shared" si="709"/>
        <v>0.9999999341057908</v>
      </c>
      <c r="GQ42">
        <f t="shared" si="710"/>
        <v>0.9999999341057908</v>
      </c>
      <c r="GR42">
        <f t="shared" si="711"/>
        <v>0.9999999341057908</v>
      </c>
      <c r="GS42">
        <f t="shared" si="712"/>
        <v>0.9999999341057908</v>
      </c>
      <c r="GT42">
        <f t="shared" si="713"/>
        <v>0.9999999341057908</v>
      </c>
      <c r="GU42">
        <f t="shared" si="714"/>
        <v>0.9999999341057908</v>
      </c>
      <c r="GV42">
        <f t="shared" si="715"/>
        <v>0.9999999341057908</v>
      </c>
      <c r="GW42">
        <f t="shared" si="716"/>
        <v>0.9999999341057908</v>
      </c>
      <c r="GX42">
        <f t="shared" si="717"/>
        <v>0.9999999341057908</v>
      </c>
      <c r="GY42">
        <f t="shared" si="718"/>
        <v>0.9999999341057908</v>
      </c>
      <c r="GZ42">
        <f t="shared" si="719"/>
        <v>0.9999999341057908</v>
      </c>
      <c r="HA42">
        <f t="shared" si="720"/>
        <v>0.9999999341057908</v>
      </c>
      <c r="HB42">
        <f t="shared" si="721"/>
        <v>0.9999999341057908</v>
      </c>
      <c r="HC42">
        <f t="shared" si="722"/>
        <v>0.9999999341057908</v>
      </c>
      <c r="HD42">
        <f t="shared" si="723"/>
        <v>0.9999999341057908</v>
      </c>
      <c r="HE42">
        <f t="shared" si="724"/>
        <v>0.9999999341057908</v>
      </c>
      <c r="HF42">
        <f t="shared" si="725"/>
        <v>0.9999999341057908</v>
      </c>
      <c r="HG42">
        <f t="shared" si="726"/>
        <v>0.9999999341057908</v>
      </c>
      <c r="HH42">
        <f t="shared" si="727"/>
        <v>0.9999999341057908</v>
      </c>
      <c r="HI42">
        <f t="shared" si="728"/>
        <v>0.9999999341057908</v>
      </c>
      <c r="HJ42">
        <f t="shared" si="729"/>
        <v>0.9999999341057908</v>
      </c>
      <c r="HK42">
        <f t="shared" si="730"/>
        <v>0.9999999341057908</v>
      </c>
      <c r="HL42">
        <f t="shared" si="731"/>
        <v>0.9999999341057908</v>
      </c>
      <c r="HM42">
        <f t="shared" si="732"/>
        <v>0.9999999341057908</v>
      </c>
      <c r="HN42">
        <f t="shared" si="733"/>
        <v>0.9999999341057908</v>
      </c>
      <c r="HO42">
        <f t="shared" si="734"/>
        <v>0.9999999341057908</v>
      </c>
      <c r="HP42">
        <f t="shared" si="735"/>
        <v>0.9999999341057908</v>
      </c>
      <c r="HQ42">
        <f t="shared" si="736"/>
        <v>0.9999999341057908</v>
      </c>
      <c r="HR42">
        <f t="shared" si="737"/>
        <v>0.9999999341057908</v>
      </c>
      <c r="HS42">
        <f t="shared" si="738"/>
        <v>0.9999999341057908</v>
      </c>
      <c r="HT42">
        <f t="shared" si="739"/>
        <v>0.9999999341057908</v>
      </c>
      <c r="HU42">
        <f t="shared" si="740"/>
        <v>0.9999999341057908</v>
      </c>
      <c r="HV42">
        <f t="shared" si="741"/>
        <v>0.9999999341057908</v>
      </c>
      <c r="HW42">
        <f t="shared" si="742"/>
        <v>0.9999999341057908</v>
      </c>
      <c r="HX42">
        <f t="shared" si="743"/>
        <v>0.9999999341057908</v>
      </c>
      <c r="HY42">
        <f t="shared" si="744"/>
        <v>0.9999999341057908</v>
      </c>
      <c r="HZ42">
        <f t="shared" si="745"/>
        <v>0.9999999341057908</v>
      </c>
      <c r="IA42">
        <f t="shared" si="746"/>
        <v>0.9999999341057908</v>
      </c>
      <c r="IB42">
        <f t="shared" si="747"/>
        <v>0.9999999341057908</v>
      </c>
      <c r="IC42">
        <f t="shared" si="748"/>
        <v>0.9999999341057908</v>
      </c>
      <c r="ID42">
        <f t="shared" si="749"/>
        <v>0.9999999341057908</v>
      </c>
      <c r="IE42">
        <f t="shared" si="750"/>
        <v>0.9999999341057908</v>
      </c>
      <c r="IF42">
        <f t="shared" si="751"/>
        <v>0.9999999341057908</v>
      </c>
      <c r="IG42">
        <f t="shared" si="752"/>
        <v>0.9999999341057908</v>
      </c>
      <c r="IH42">
        <f t="shared" si="753"/>
        <v>0.9999999341057908</v>
      </c>
      <c r="II42">
        <f t="shared" si="754"/>
        <v>0.9999999341057908</v>
      </c>
      <c r="IJ42">
        <f t="shared" si="755"/>
        <v>0.9999999341057908</v>
      </c>
      <c r="IK42">
        <f t="shared" si="756"/>
        <v>0.9999999341057908</v>
      </c>
      <c r="IL42">
        <f t="shared" si="757"/>
        <v>0.9999999341057908</v>
      </c>
      <c r="IM42">
        <f t="shared" si="758"/>
        <v>0.9999999341057908</v>
      </c>
      <c r="IN42">
        <f t="shared" si="759"/>
        <v>0.9999999341057908</v>
      </c>
      <c r="IO42">
        <f t="shared" si="760"/>
        <v>0.9999999341057908</v>
      </c>
      <c r="IP42">
        <f t="shared" si="761"/>
        <v>0.9999999341057908</v>
      </c>
      <c r="IQ42">
        <f t="shared" si="762"/>
        <v>0.9999999341057908</v>
      </c>
      <c r="IR42">
        <f t="shared" si="763"/>
        <v>0.9999999341057908</v>
      </c>
      <c r="IS42">
        <f t="shared" si="764"/>
        <v>0.9999999341057908</v>
      </c>
      <c r="IT42">
        <f t="shared" si="765"/>
        <v>0.9999999341057908</v>
      </c>
      <c r="IU42">
        <f t="shared" si="766"/>
        <v>0.9999999341057908</v>
      </c>
      <c r="IV42">
        <f t="shared" si="767"/>
        <v>0.9999999341057908</v>
      </c>
    </row>
    <row r="43" spans="1:256" x14ac:dyDescent="0.2">
      <c r="A43" t="s">
        <v>514</v>
      </c>
      <c r="B43">
        <f t="shared" si="513"/>
        <v>0.10000000000000003</v>
      </c>
      <c r="C43">
        <f t="shared" si="514"/>
        <v>0.10000000000000003</v>
      </c>
      <c r="D43">
        <f t="shared" si="515"/>
        <v>0.10000000000000003</v>
      </c>
      <c r="E43">
        <f t="shared" si="516"/>
        <v>0.10000000000000003</v>
      </c>
      <c r="F43">
        <f t="shared" si="517"/>
        <v>0.10000000000000003</v>
      </c>
      <c r="G43">
        <f t="shared" si="518"/>
        <v>0.10000000000000003</v>
      </c>
      <c r="H43">
        <f t="shared" si="519"/>
        <v>0.10000000000000003</v>
      </c>
      <c r="I43">
        <f t="shared" si="520"/>
        <v>0.10000000000000003</v>
      </c>
      <c r="J43">
        <f t="shared" si="521"/>
        <v>0.2</v>
      </c>
      <c r="K43">
        <f t="shared" si="522"/>
        <v>0.2</v>
      </c>
      <c r="L43">
        <f t="shared" si="523"/>
        <v>0.2</v>
      </c>
      <c r="M43">
        <f t="shared" si="524"/>
        <v>0.2</v>
      </c>
      <c r="N43">
        <f t="shared" si="525"/>
        <v>0.2</v>
      </c>
      <c r="O43">
        <f t="shared" si="526"/>
        <v>0.2</v>
      </c>
      <c r="P43">
        <f t="shared" si="527"/>
        <v>0.2</v>
      </c>
      <c r="Q43">
        <f t="shared" si="528"/>
        <v>0.2</v>
      </c>
      <c r="R43">
        <f t="shared" si="529"/>
        <v>0.39999999999999997</v>
      </c>
      <c r="S43">
        <f t="shared" si="530"/>
        <v>0.39999999999999997</v>
      </c>
      <c r="T43">
        <f t="shared" si="531"/>
        <v>0.39999999999999997</v>
      </c>
      <c r="U43">
        <f t="shared" si="532"/>
        <v>0.39999999999999997</v>
      </c>
      <c r="V43">
        <f t="shared" si="533"/>
        <v>0.39999999999999997</v>
      </c>
      <c r="W43">
        <f t="shared" si="534"/>
        <v>0.39999999999999997</v>
      </c>
      <c r="X43">
        <f t="shared" si="535"/>
        <v>0.39999999999999997</v>
      </c>
      <c r="Y43">
        <f t="shared" si="536"/>
        <v>0.39999999999999997</v>
      </c>
      <c r="Z43">
        <f t="shared" si="537"/>
        <v>0.3164976873931683</v>
      </c>
      <c r="AA43">
        <f t="shared" si="538"/>
        <v>0.3164976873931683</v>
      </c>
      <c r="AB43">
        <f t="shared" si="539"/>
        <v>0.3164976873931683</v>
      </c>
      <c r="AC43">
        <f t="shared" si="540"/>
        <v>0.3164976873931683</v>
      </c>
      <c r="AD43">
        <f t="shared" si="541"/>
        <v>0.3164976873931683</v>
      </c>
      <c r="AE43">
        <f t="shared" si="542"/>
        <v>0.3164976873931683</v>
      </c>
      <c r="AF43">
        <f t="shared" si="543"/>
        <v>0.3164976873931683</v>
      </c>
      <c r="AG43">
        <f t="shared" si="544"/>
        <v>0.3164976873931683</v>
      </c>
      <c r="AH43">
        <f t="shared" si="545"/>
        <v>0.53973793029785155</v>
      </c>
      <c r="AI43">
        <f t="shared" si="546"/>
        <v>0.53973793029785155</v>
      </c>
      <c r="AJ43">
        <f t="shared" si="547"/>
        <v>0.53973793029785155</v>
      </c>
      <c r="AK43">
        <f t="shared" si="548"/>
        <v>0.53973793029785155</v>
      </c>
      <c r="AL43">
        <f t="shared" si="549"/>
        <v>0.53973793029785155</v>
      </c>
      <c r="AM43">
        <f t="shared" si="550"/>
        <v>0.53973793029785155</v>
      </c>
      <c r="AN43">
        <f t="shared" si="551"/>
        <v>0.53973793029785155</v>
      </c>
      <c r="AO43">
        <f t="shared" si="552"/>
        <v>0.53973793029785155</v>
      </c>
      <c r="AP43">
        <f t="shared" si="553"/>
        <v>0.1</v>
      </c>
      <c r="AQ43">
        <f t="shared" si="554"/>
        <v>0.1</v>
      </c>
      <c r="AR43">
        <f t="shared" si="555"/>
        <v>0.1</v>
      </c>
      <c r="AS43">
        <f t="shared" si="556"/>
        <v>0.1</v>
      </c>
      <c r="AT43">
        <f t="shared" si="557"/>
        <v>0.1</v>
      </c>
      <c r="AU43">
        <f t="shared" si="558"/>
        <v>0.1</v>
      </c>
      <c r="AV43">
        <f t="shared" si="559"/>
        <v>0.1</v>
      </c>
      <c r="AW43">
        <f t="shared" si="560"/>
        <v>0.1</v>
      </c>
      <c r="AX43">
        <f t="shared" si="561"/>
        <v>0.1</v>
      </c>
      <c r="AY43">
        <f t="shared" si="562"/>
        <v>0.1</v>
      </c>
      <c r="AZ43">
        <f t="shared" si="563"/>
        <v>0.1</v>
      </c>
      <c r="BA43">
        <f t="shared" si="564"/>
        <v>0.1</v>
      </c>
      <c r="BB43">
        <f t="shared" si="565"/>
        <v>0.1</v>
      </c>
      <c r="BC43">
        <f t="shared" si="566"/>
        <v>0.1</v>
      </c>
      <c r="BD43">
        <f t="shared" si="567"/>
        <v>0.1</v>
      </c>
      <c r="BE43">
        <f t="shared" si="568"/>
        <v>0.1</v>
      </c>
      <c r="BF43">
        <f t="shared" si="569"/>
        <v>0.1</v>
      </c>
      <c r="BG43">
        <f t="shared" si="570"/>
        <v>0.1</v>
      </c>
      <c r="BH43">
        <f t="shared" si="571"/>
        <v>0.1</v>
      </c>
      <c r="BI43">
        <f t="shared" si="572"/>
        <v>0.1</v>
      </c>
      <c r="BJ43">
        <f t="shared" si="573"/>
        <v>0.1</v>
      </c>
      <c r="BK43">
        <f t="shared" si="574"/>
        <v>0.1</v>
      </c>
      <c r="BL43">
        <f t="shared" si="575"/>
        <v>0.1</v>
      </c>
      <c r="BM43">
        <f t="shared" si="576"/>
        <v>0.1</v>
      </c>
      <c r="BN43">
        <f t="shared" si="577"/>
        <v>0.1</v>
      </c>
      <c r="BO43">
        <f t="shared" si="578"/>
        <v>0.1</v>
      </c>
      <c r="BP43">
        <f t="shared" si="579"/>
        <v>0.1</v>
      </c>
      <c r="BQ43">
        <f t="shared" si="580"/>
        <v>0.1</v>
      </c>
      <c r="BR43">
        <f t="shared" si="581"/>
        <v>0.1</v>
      </c>
      <c r="BS43">
        <f t="shared" si="582"/>
        <v>0.1</v>
      </c>
      <c r="BT43">
        <f t="shared" si="583"/>
        <v>0.1</v>
      </c>
      <c r="BU43">
        <f t="shared" si="584"/>
        <v>0.1</v>
      </c>
      <c r="BV43">
        <f t="shared" si="585"/>
        <v>0.1</v>
      </c>
      <c r="BW43">
        <f t="shared" si="586"/>
        <v>0.1</v>
      </c>
      <c r="BX43">
        <f t="shared" si="587"/>
        <v>0.1</v>
      </c>
      <c r="BY43">
        <f t="shared" si="588"/>
        <v>0.1</v>
      </c>
      <c r="BZ43">
        <f t="shared" si="589"/>
        <v>0.1</v>
      </c>
      <c r="CA43">
        <f t="shared" si="590"/>
        <v>0.1</v>
      </c>
      <c r="CB43">
        <f t="shared" si="591"/>
        <v>0.1</v>
      </c>
      <c r="CC43">
        <f t="shared" si="592"/>
        <v>0.1</v>
      </c>
      <c r="CD43">
        <f t="shared" si="593"/>
        <v>0.1</v>
      </c>
      <c r="CE43">
        <f t="shared" si="594"/>
        <v>0.1</v>
      </c>
      <c r="CF43">
        <f t="shared" si="595"/>
        <v>0.1</v>
      </c>
      <c r="CG43">
        <f t="shared" si="596"/>
        <v>0.1</v>
      </c>
      <c r="CH43">
        <f t="shared" si="597"/>
        <v>0.1</v>
      </c>
      <c r="CI43">
        <f t="shared" si="598"/>
        <v>0.1</v>
      </c>
      <c r="CJ43">
        <f t="shared" si="599"/>
        <v>0.1</v>
      </c>
      <c r="CK43">
        <f t="shared" si="600"/>
        <v>0.1</v>
      </c>
      <c r="CL43">
        <f t="shared" si="601"/>
        <v>0.1</v>
      </c>
      <c r="CM43">
        <f t="shared" si="602"/>
        <v>0.1</v>
      </c>
      <c r="CN43">
        <f t="shared" si="603"/>
        <v>0.1</v>
      </c>
      <c r="CO43">
        <f t="shared" si="604"/>
        <v>0.1</v>
      </c>
      <c r="CP43">
        <f t="shared" si="605"/>
        <v>0.1</v>
      </c>
      <c r="CQ43">
        <f t="shared" si="606"/>
        <v>0.1</v>
      </c>
      <c r="CR43">
        <f t="shared" si="607"/>
        <v>0.1</v>
      </c>
      <c r="CS43">
        <f t="shared" si="608"/>
        <v>0.1</v>
      </c>
      <c r="CT43">
        <f t="shared" si="609"/>
        <v>0.1</v>
      </c>
      <c r="CU43">
        <f t="shared" si="610"/>
        <v>0.1</v>
      </c>
      <c r="CV43">
        <f t="shared" si="611"/>
        <v>0.1</v>
      </c>
      <c r="CW43">
        <f t="shared" si="612"/>
        <v>0.1</v>
      </c>
      <c r="CX43">
        <f t="shared" si="613"/>
        <v>0.1</v>
      </c>
      <c r="CY43">
        <f t="shared" si="614"/>
        <v>0.1</v>
      </c>
      <c r="CZ43">
        <f t="shared" si="615"/>
        <v>0.1</v>
      </c>
      <c r="DA43">
        <f t="shared" si="616"/>
        <v>0.1</v>
      </c>
      <c r="DB43">
        <f t="shared" si="617"/>
        <v>0.1</v>
      </c>
      <c r="DC43">
        <f t="shared" si="618"/>
        <v>0.1</v>
      </c>
      <c r="DD43">
        <f t="shared" si="619"/>
        <v>0.1</v>
      </c>
      <c r="DE43">
        <f t="shared" si="620"/>
        <v>0.1</v>
      </c>
      <c r="DF43">
        <f t="shared" si="621"/>
        <v>0.1</v>
      </c>
      <c r="DG43">
        <f t="shared" si="622"/>
        <v>0.1</v>
      </c>
      <c r="DH43">
        <f t="shared" si="623"/>
        <v>0.1</v>
      </c>
      <c r="DI43">
        <f t="shared" si="624"/>
        <v>0.1</v>
      </c>
      <c r="DJ43">
        <f t="shared" si="625"/>
        <v>0.1</v>
      </c>
      <c r="DK43">
        <f t="shared" si="626"/>
        <v>0.1</v>
      </c>
      <c r="DL43">
        <f t="shared" si="627"/>
        <v>0.1</v>
      </c>
      <c r="DM43">
        <f t="shared" si="628"/>
        <v>0.1</v>
      </c>
      <c r="DN43">
        <f t="shared" si="629"/>
        <v>0.1</v>
      </c>
      <c r="DO43">
        <f t="shared" si="630"/>
        <v>0.1</v>
      </c>
      <c r="DP43">
        <f t="shared" si="631"/>
        <v>0.1</v>
      </c>
      <c r="DQ43">
        <f t="shared" si="632"/>
        <v>0.1</v>
      </c>
      <c r="DR43">
        <f t="shared" si="633"/>
        <v>0.1</v>
      </c>
      <c r="DS43">
        <f t="shared" si="634"/>
        <v>0.1</v>
      </c>
      <c r="DT43">
        <f t="shared" si="635"/>
        <v>0.1</v>
      </c>
      <c r="DU43">
        <f t="shared" si="636"/>
        <v>0.1</v>
      </c>
      <c r="DV43">
        <f t="shared" si="637"/>
        <v>0.1</v>
      </c>
      <c r="DW43">
        <f t="shared" si="638"/>
        <v>0.1</v>
      </c>
      <c r="DX43">
        <f t="shared" si="639"/>
        <v>0.1</v>
      </c>
      <c r="DY43">
        <f t="shared" si="640"/>
        <v>0.1</v>
      </c>
      <c r="DZ43">
        <f t="shared" si="641"/>
        <v>0.1</v>
      </c>
      <c r="EA43">
        <f t="shared" si="642"/>
        <v>0.1</v>
      </c>
      <c r="EB43">
        <f t="shared" si="643"/>
        <v>0.1</v>
      </c>
      <c r="EC43">
        <f t="shared" si="644"/>
        <v>0.1</v>
      </c>
      <c r="ED43">
        <f t="shared" si="645"/>
        <v>0.1</v>
      </c>
      <c r="EE43">
        <f t="shared" si="646"/>
        <v>0.1</v>
      </c>
      <c r="EF43">
        <f t="shared" si="647"/>
        <v>0.1</v>
      </c>
      <c r="EG43">
        <f t="shared" si="648"/>
        <v>0.1</v>
      </c>
      <c r="EH43">
        <f t="shared" si="649"/>
        <v>0.1</v>
      </c>
      <c r="EI43">
        <f t="shared" si="650"/>
        <v>0.1</v>
      </c>
      <c r="EJ43">
        <f t="shared" si="651"/>
        <v>0.1</v>
      </c>
      <c r="EK43">
        <f t="shared" si="652"/>
        <v>0.1</v>
      </c>
      <c r="EL43">
        <f t="shared" si="653"/>
        <v>0.1</v>
      </c>
      <c r="EM43">
        <f t="shared" si="654"/>
        <v>0.1</v>
      </c>
      <c r="EN43">
        <f t="shared" si="655"/>
        <v>0.1</v>
      </c>
      <c r="EO43">
        <f t="shared" si="656"/>
        <v>0.1</v>
      </c>
      <c r="EP43">
        <f t="shared" si="657"/>
        <v>0.1</v>
      </c>
      <c r="EQ43">
        <f t="shared" si="658"/>
        <v>0.1</v>
      </c>
      <c r="ER43">
        <f t="shared" si="659"/>
        <v>0.1</v>
      </c>
      <c r="ES43">
        <f t="shared" si="660"/>
        <v>0.1</v>
      </c>
      <c r="ET43">
        <f t="shared" si="661"/>
        <v>0.1</v>
      </c>
      <c r="EU43">
        <f t="shared" si="662"/>
        <v>0.1</v>
      </c>
      <c r="EV43">
        <f t="shared" si="663"/>
        <v>0.1</v>
      </c>
      <c r="EW43">
        <f t="shared" si="664"/>
        <v>0.1</v>
      </c>
      <c r="EX43">
        <f t="shared" si="665"/>
        <v>0.1</v>
      </c>
      <c r="EY43">
        <f t="shared" si="666"/>
        <v>0.1</v>
      </c>
      <c r="EZ43">
        <f t="shared" si="667"/>
        <v>0.1</v>
      </c>
      <c r="FA43">
        <f t="shared" si="668"/>
        <v>0.1</v>
      </c>
      <c r="FB43">
        <f t="shared" si="669"/>
        <v>0.1</v>
      </c>
      <c r="FC43">
        <f t="shared" si="670"/>
        <v>0.1</v>
      </c>
      <c r="FD43">
        <f t="shared" si="671"/>
        <v>0.1</v>
      </c>
      <c r="FE43">
        <f t="shared" si="672"/>
        <v>0.1</v>
      </c>
      <c r="FF43">
        <f t="shared" si="673"/>
        <v>0.1</v>
      </c>
      <c r="FG43">
        <f t="shared" si="674"/>
        <v>0.1</v>
      </c>
      <c r="FH43">
        <f t="shared" si="675"/>
        <v>0.1</v>
      </c>
      <c r="FI43">
        <f t="shared" si="676"/>
        <v>0.1</v>
      </c>
      <c r="FJ43">
        <f t="shared" si="677"/>
        <v>0.1</v>
      </c>
      <c r="FK43">
        <f t="shared" si="678"/>
        <v>0.1</v>
      </c>
      <c r="FL43">
        <f t="shared" si="679"/>
        <v>0.1</v>
      </c>
      <c r="FM43">
        <f t="shared" si="680"/>
        <v>0.1</v>
      </c>
      <c r="FN43">
        <f t="shared" si="681"/>
        <v>0.1</v>
      </c>
      <c r="FO43">
        <f t="shared" si="682"/>
        <v>0.1</v>
      </c>
      <c r="FP43">
        <f t="shared" si="683"/>
        <v>0.1</v>
      </c>
      <c r="FQ43">
        <f t="shared" si="684"/>
        <v>0.1</v>
      </c>
      <c r="FR43">
        <f t="shared" si="685"/>
        <v>0.1</v>
      </c>
      <c r="FS43">
        <f t="shared" si="686"/>
        <v>0.1</v>
      </c>
      <c r="FT43">
        <f t="shared" si="687"/>
        <v>0.1</v>
      </c>
      <c r="FU43">
        <f t="shared" si="688"/>
        <v>0.1</v>
      </c>
      <c r="FV43">
        <f t="shared" si="689"/>
        <v>0.1</v>
      </c>
      <c r="FW43">
        <f t="shared" si="690"/>
        <v>0.1</v>
      </c>
      <c r="FX43">
        <f t="shared" si="691"/>
        <v>0.1</v>
      </c>
      <c r="FY43">
        <f t="shared" si="692"/>
        <v>0.1</v>
      </c>
      <c r="FZ43">
        <f t="shared" si="693"/>
        <v>0.1</v>
      </c>
      <c r="GA43">
        <f t="shared" si="694"/>
        <v>0.1</v>
      </c>
      <c r="GB43">
        <f t="shared" si="695"/>
        <v>0.1</v>
      </c>
      <c r="GC43">
        <f t="shared" si="696"/>
        <v>0.1</v>
      </c>
      <c r="GD43">
        <f t="shared" si="697"/>
        <v>0.1</v>
      </c>
      <c r="GE43">
        <f t="shared" si="698"/>
        <v>0.1</v>
      </c>
      <c r="GF43">
        <f t="shared" si="699"/>
        <v>0.1</v>
      </c>
      <c r="GG43">
        <f t="shared" si="700"/>
        <v>0.1</v>
      </c>
      <c r="GH43">
        <f t="shared" si="701"/>
        <v>0.1</v>
      </c>
      <c r="GI43">
        <f t="shared" si="702"/>
        <v>0.1</v>
      </c>
      <c r="GJ43">
        <f t="shared" si="703"/>
        <v>0.1</v>
      </c>
      <c r="GK43">
        <f t="shared" si="704"/>
        <v>0.1</v>
      </c>
      <c r="GL43">
        <f t="shared" si="705"/>
        <v>0.1</v>
      </c>
      <c r="GM43">
        <f t="shared" si="706"/>
        <v>0.1</v>
      </c>
      <c r="GN43">
        <f t="shared" si="707"/>
        <v>0.1</v>
      </c>
      <c r="GO43">
        <f t="shared" si="708"/>
        <v>0.1</v>
      </c>
      <c r="GP43">
        <f t="shared" si="709"/>
        <v>0.1</v>
      </c>
      <c r="GQ43">
        <f t="shared" si="710"/>
        <v>0.1</v>
      </c>
      <c r="GR43">
        <f t="shared" si="711"/>
        <v>0.1</v>
      </c>
      <c r="GS43">
        <f t="shared" si="712"/>
        <v>0.1</v>
      </c>
      <c r="GT43">
        <f t="shared" si="713"/>
        <v>0.1</v>
      </c>
      <c r="GU43">
        <f t="shared" si="714"/>
        <v>0.1</v>
      </c>
      <c r="GV43">
        <f t="shared" si="715"/>
        <v>0.1</v>
      </c>
      <c r="GW43">
        <f t="shared" si="716"/>
        <v>0.1</v>
      </c>
      <c r="GX43">
        <f t="shared" si="717"/>
        <v>0.1</v>
      </c>
      <c r="GY43">
        <f t="shared" si="718"/>
        <v>0.1</v>
      </c>
      <c r="GZ43">
        <f t="shared" si="719"/>
        <v>0.1</v>
      </c>
      <c r="HA43">
        <f t="shared" si="720"/>
        <v>0.1</v>
      </c>
      <c r="HB43">
        <f t="shared" si="721"/>
        <v>0.1</v>
      </c>
      <c r="HC43">
        <f t="shared" si="722"/>
        <v>0.1</v>
      </c>
      <c r="HD43">
        <f t="shared" si="723"/>
        <v>0.1</v>
      </c>
      <c r="HE43">
        <f t="shared" si="724"/>
        <v>0.1</v>
      </c>
      <c r="HF43">
        <f t="shared" si="725"/>
        <v>0.1</v>
      </c>
      <c r="HG43">
        <f t="shared" si="726"/>
        <v>0.1</v>
      </c>
      <c r="HH43">
        <f t="shared" si="727"/>
        <v>0.1</v>
      </c>
      <c r="HI43">
        <f t="shared" si="728"/>
        <v>0.1</v>
      </c>
      <c r="HJ43">
        <f t="shared" si="729"/>
        <v>0.1</v>
      </c>
      <c r="HK43">
        <f t="shared" si="730"/>
        <v>0.1</v>
      </c>
      <c r="HL43">
        <f t="shared" si="731"/>
        <v>0.1</v>
      </c>
      <c r="HM43">
        <f t="shared" si="732"/>
        <v>0.1</v>
      </c>
      <c r="HN43">
        <f t="shared" si="733"/>
        <v>0.1</v>
      </c>
      <c r="HO43">
        <f t="shared" si="734"/>
        <v>0.1</v>
      </c>
      <c r="HP43">
        <f t="shared" si="735"/>
        <v>0.1</v>
      </c>
      <c r="HQ43">
        <f t="shared" si="736"/>
        <v>0.1</v>
      </c>
      <c r="HR43">
        <f t="shared" si="737"/>
        <v>0.1</v>
      </c>
      <c r="HS43">
        <f t="shared" si="738"/>
        <v>0.1</v>
      </c>
      <c r="HT43">
        <f t="shared" si="739"/>
        <v>0.1</v>
      </c>
      <c r="HU43">
        <f t="shared" si="740"/>
        <v>0.1</v>
      </c>
      <c r="HV43">
        <f t="shared" si="741"/>
        <v>0.1</v>
      </c>
      <c r="HW43">
        <f t="shared" si="742"/>
        <v>0.1</v>
      </c>
      <c r="HX43">
        <f t="shared" si="743"/>
        <v>0.1</v>
      </c>
      <c r="HY43">
        <f t="shared" si="744"/>
        <v>0.1</v>
      </c>
      <c r="HZ43">
        <f t="shared" si="745"/>
        <v>0.1</v>
      </c>
      <c r="IA43">
        <f t="shared" si="746"/>
        <v>0.1</v>
      </c>
      <c r="IB43">
        <f t="shared" si="747"/>
        <v>0.1</v>
      </c>
      <c r="IC43">
        <f t="shared" si="748"/>
        <v>0.1</v>
      </c>
      <c r="ID43">
        <f t="shared" si="749"/>
        <v>0.1</v>
      </c>
      <c r="IE43">
        <f t="shared" si="750"/>
        <v>0.1</v>
      </c>
      <c r="IF43">
        <f t="shared" si="751"/>
        <v>0.1</v>
      </c>
      <c r="IG43">
        <f t="shared" si="752"/>
        <v>0.1</v>
      </c>
      <c r="IH43">
        <f t="shared" si="753"/>
        <v>0.1</v>
      </c>
      <c r="II43">
        <f t="shared" si="754"/>
        <v>0.1</v>
      </c>
      <c r="IJ43">
        <f t="shared" si="755"/>
        <v>0.1</v>
      </c>
      <c r="IK43">
        <f t="shared" si="756"/>
        <v>0.1</v>
      </c>
      <c r="IL43">
        <f t="shared" si="757"/>
        <v>0.1</v>
      </c>
      <c r="IM43">
        <f t="shared" si="758"/>
        <v>0.1</v>
      </c>
      <c r="IN43">
        <f t="shared" si="759"/>
        <v>0.1</v>
      </c>
      <c r="IO43">
        <f t="shared" si="760"/>
        <v>0.1</v>
      </c>
      <c r="IP43">
        <f t="shared" si="761"/>
        <v>0.1</v>
      </c>
      <c r="IQ43">
        <f t="shared" si="762"/>
        <v>0.1</v>
      </c>
      <c r="IR43">
        <f t="shared" si="763"/>
        <v>0.1</v>
      </c>
      <c r="IS43">
        <f t="shared" si="764"/>
        <v>0.1</v>
      </c>
      <c r="IT43">
        <f t="shared" si="765"/>
        <v>0.1</v>
      </c>
      <c r="IU43">
        <f t="shared" si="766"/>
        <v>0.1</v>
      </c>
      <c r="IV43">
        <f t="shared" si="767"/>
        <v>0.1</v>
      </c>
    </row>
    <row r="44" spans="1:256" x14ac:dyDescent="0.2">
      <c r="A44" t="s">
        <v>515</v>
      </c>
      <c r="B44">
        <f t="shared" si="513"/>
        <v>2</v>
      </c>
      <c r="C44">
        <f t="shared" si="514"/>
        <v>2</v>
      </c>
      <c r="D44">
        <f t="shared" si="515"/>
        <v>2</v>
      </c>
      <c r="E44">
        <f t="shared" si="516"/>
        <v>2</v>
      </c>
      <c r="F44">
        <f t="shared" si="517"/>
        <v>2</v>
      </c>
      <c r="G44">
        <f t="shared" si="518"/>
        <v>2</v>
      </c>
      <c r="H44">
        <f t="shared" si="519"/>
        <v>2</v>
      </c>
      <c r="I44">
        <f t="shared" si="520"/>
        <v>2</v>
      </c>
      <c r="J44">
        <f t="shared" si="521"/>
        <v>1.1053192419418489</v>
      </c>
      <c r="K44">
        <f t="shared" si="522"/>
        <v>1.1053192419418489</v>
      </c>
      <c r="L44">
        <f t="shared" si="523"/>
        <v>1.1053192419418489</v>
      </c>
      <c r="M44">
        <f t="shared" si="524"/>
        <v>1.1053192419418489</v>
      </c>
      <c r="N44">
        <f t="shared" si="525"/>
        <v>1.1053192419418489</v>
      </c>
      <c r="O44">
        <f t="shared" si="526"/>
        <v>1.1053192419418489</v>
      </c>
      <c r="P44">
        <f t="shared" si="527"/>
        <v>1.1053192419418489</v>
      </c>
      <c r="Q44">
        <f t="shared" si="528"/>
        <v>1.1053192419418489</v>
      </c>
      <c r="R44">
        <f t="shared" si="529"/>
        <v>0.77301572930398088</v>
      </c>
      <c r="S44">
        <f t="shared" si="530"/>
        <v>0.77301572930398088</v>
      </c>
      <c r="T44">
        <f t="shared" si="531"/>
        <v>0.77301572930398088</v>
      </c>
      <c r="U44">
        <f t="shared" si="532"/>
        <v>0.77301572930398088</v>
      </c>
      <c r="V44">
        <f t="shared" si="533"/>
        <v>0.77301572930398088</v>
      </c>
      <c r="W44">
        <f t="shared" si="534"/>
        <v>0.77301572930398088</v>
      </c>
      <c r="X44">
        <f t="shared" si="535"/>
        <v>0.77301572930398088</v>
      </c>
      <c r="Y44">
        <f t="shared" si="536"/>
        <v>0.77301572930398088</v>
      </c>
      <c r="Z44">
        <f t="shared" si="537"/>
        <v>9.9999999999999978E-2</v>
      </c>
      <c r="AA44">
        <f t="shared" si="538"/>
        <v>9.9999999999999978E-2</v>
      </c>
      <c r="AB44">
        <f t="shared" si="539"/>
        <v>9.9999999999999978E-2</v>
      </c>
      <c r="AC44">
        <f t="shared" si="540"/>
        <v>9.9999999999999978E-2</v>
      </c>
      <c r="AD44">
        <f t="shared" si="541"/>
        <v>9.9999999999999978E-2</v>
      </c>
      <c r="AE44">
        <f t="shared" si="542"/>
        <v>9.9999999999999978E-2</v>
      </c>
      <c r="AF44">
        <f t="shared" si="543"/>
        <v>9.9999999999999978E-2</v>
      </c>
      <c r="AG44">
        <f t="shared" si="544"/>
        <v>9.9999999999999978E-2</v>
      </c>
      <c r="AH44">
        <f t="shared" si="545"/>
        <v>0.68254425048828127</v>
      </c>
      <c r="AI44">
        <f t="shared" si="546"/>
        <v>0.68254425048828127</v>
      </c>
      <c r="AJ44">
        <f t="shared" si="547"/>
        <v>0.68254425048828127</v>
      </c>
      <c r="AK44">
        <f t="shared" si="548"/>
        <v>0.68254425048828127</v>
      </c>
      <c r="AL44">
        <f t="shared" si="549"/>
        <v>0.68254425048828127</v>
      </c>
      <c r="AM44">
        <f t="shared" si="550"/>
        <v>0.68254425048828127</v>
      </c>
      <c r="AN44">
        <f t="shared" si="551"/>
        <v>0.68254425048828127</v>
      </c>
      <c r="AO44">
        <f t="shared" si="552"/>
        <v>0.68254425048828127</v>
      </c>
      <c r="AP44">
        <f t="shared" si="553"/>
        <v>0.68254425048828127</v>
      </c>
      <c r="AQ44">
        <f t="shared" si="554"/>
        <v>0.68254425048828127</v>
      </c>
      <c r="AR44">
        <f t="shared" si="555"/>
        <v>0.68254425048828127</v>
      </c>
      <c r="AS44">
        <f t="shared" si="556"/>
        <v>0.68254425048828127</v>
      </c>
      <c r="AT44">
        <f t="shared" si="557"/>
        <v>0.68254425048828127</v>
      </c>
      <c r="AU44">
        <f t="shared" si="558"/>
        <v>0.68254425048828127</v>
      </c>
      <c r="AV44">
        <f t="shared" si="559"/>
        <v>0.68254425048828127</v>
      </c>
      <c r="AW44">
        <f t="shared" si="560"/>
        <v>0.68254425048828127</v>
      </c>
      <c r="AX44">
        <f t="shared" si="561"/>
        <v>0.34110592284764263</v>
      </c>
      <c r="AY44">
        <f t="shared" si="562"/>
        <v>0.34110592284764263</v>
      </c>
      <c r="AZ44">
        <f t="shared" si="563"/>
        <v>0.34110592284764263</v>
      </c>
      <c r="BA44">
        <f t="shared" si="564"/>
        <v>0.34110592284764263</v>
      </c>
      <c r="BB44">
        <f t="shared" si="565"/>
        <v>0.34110592284764263</v>
      </c>
      <c r="BC44">
        <f t="shared" si="566"/>
        <v>0.34110592284764263</v>
      </c>
      <c r="BD44">
        <f t="shared" si="567"/>
        <v>0.34110592284764263</v>
      </c>
      <c r="BE44">
        <f t="shared" si="568"/>
        <v>0.34110592284764263</v>
      </c>
      <c r="BF44">
        <f t="shared" si="569"/>
        <v>0.34110592284764263</v>
      </c>
      <c r="BG44">
        <f t="shared" si="570"/>
        <v>0.34110592284764263</v>
      </c>
      <c r="BH44">
        <f t="shared" si="571"/>
        <v>0.34110592284764263</v>
      </c>
      <c r="BI44">
        <f t="shared" si="572"/>
        <v>0.34110592284764263</v>
      </c>
      <c r="BJ44">
        <f t="shared" si="573"/>
        <v>0.34110592284764263</v>
      </c>
      <c r="BK44">
        <f t="shared" si="574"/>
        <v>0.34110592284764263</v>
      </c>
      <c r="BL44">
        <f t="shared" si="575"/>
        <v>0.34110592284764263</v>
      </c>
      <c r="BM44">
        <f t="shared" si="576"/>
        <v>0.34110592284764263</v>
      </c>
      <c r="BN44">
        <f t="shared" si="577"/>
        <v>0.34110592284764263</v>
      </c>
      <c r="BO44">
        <f t="shared" si="578"/>
        <v>0.34110592284764263</v>
      </c>
      <c r="BP44">
        <f t="shared" si="579"/>
        <v>0.34110592284764263</v>
      </c>
      <c r="BQ44">
        <f t="shared" si="580"/>
        <v>0.34110592284764263</v>
      </c>
      <c r="BR44">
        <f t="shared" si="581"/>
        <v>0.34110592284764263</v>
      </c>
      <c r="BS44">
        <f t="shared" si="582"/>
        <v>0.34110592284764263</v>
      </c>
      <c r="BT44">
        <f t="shared" si="583"/>
        <v>0.34110592284764263</v>
      </c>
      <c r="BU44">
        <f t="shared" si="584"/>
        <v>0.34110592284764263</v>
      </c>
      <c r="BV44">
        <f t="shared" si="585"/>
        <v>0.34110592284764263</v>
      </c>
      <c r="BW44">
        <f t="shared" si="586"/>
        <v>0.34110592284764263</v>
      </c>
      <c r="BX44">
        <f t="shared" si="587"/>
        <v>0.34110592284764263</v>
      </c>
      <c r="BY44">
        <f t="shared" si="588"/>
        <v>0.34110592284764263</v>
      </c>
      <c r="BZ44">
        <f t="shared" si="589"/>
        <v>0.34110592284764263</v>
      </c>
      <c r="CA44">
        <f t="shared" si="590"/>
        <v>0.34110592284764263</v>
      </c>
      <c r="CB44">
        <f t="shared" si="591"/>
        <v>0.34110592284764263</v>
      </c>
      <c r="CC44">
        <f t="shared" si="592"/>
        <v>0.34110592284764263</v>
      </c>
      <c r="CD44">
        <f t="shared" si="593"/>
        <v>0.34110592284764263</v>
      </c>
      <c r="CE44">
        <f t="shared" si="594"/>
        <v>0.34110592284764263</v>
      </c>
      <c r="CF44">
        <f t="shared" si="595"/>
        <v>0.34110592284764263</v>
      </c>
      <c r="CG44">
        <f t="shared" si="596"/>
        <v>0.34110592284764263</v>
      </c>
      <c r="CH44">
        <f t="shared" si="597"/>
        <v>0.34110592284764263</v>
      </c>
      <c r="CI44">
        <f t="shared" si="598"/>
        <v>0.34110592284764263</v>
      </c>
      <c r="CJ44">
        <f t="shared" si="599"/>
        <v>0.34110592284764263</v>
      </c>
      <c r="CK44">
        <f t="shared" si="600"/>
        <v>0.34110592284764263</v>
      </c>
      <c r="CL44">
        <f t="shared" si="601"/>
        <v>0.34110592284764263</v>
      </c>
      <c r="CM44">
        <f t="shared" si="602"/>
        <v>0.34110592284764263</v>
      </c>
      <c r="CN44">
        <f t="shared" si="603"/>
        <v>0.34110592284764263</v>
      </c>
      <c r="CO44">
        <f t="shared" si="604"/>
        <v>0.34110592284764263</v>
      </c>
      <c r="CP44">
        <f t="shared" si="605"/>
        <v>0.34110592284764263</v>
      </c>
      <c r="CQ44">
        <f t="shared" si="606"/>
        <v>0.34110592284764263</v>
      </c>
      <c r="CR44">
        <f t="shared" si="607"/>
        <v>0.34110592284764263</v>
      </c>
      <c r="CS44">
        <f t="shared" si="608"/>
        <v>0.34110592284764263</v>
      </c>
      <c r="CT44">
        <f t="shared" si="609"/>
        <v>0.34110592284764263</v>
      </c>
      <c r="CU44">
        <f t="shared" si="610"/>
        <v>0.34110592284764263</v>
      </c>
      <c r="CV44">
        <f t="shared" si="611"/>
        <v>0.34110592284764263</v>
      </c>
      <c r="CW44">
        <f t="shared" si="612"/>
        <v>0.34110592284764263</v>
      </c>
      <c r="CX44">
        <f t="shared" si="613"/>
        <v>0.34110592284764263</v>
      </c>
      <c r="CY44">
        <f t="shared" si="614"/>
        <v>0.34110592284764263</v>
      </c>
      <c r="CZ44">
        <f t="shared" si="615"/>
        <v>0.34110592284764263</v>
      </c>
      <c r="DA44">
        <f t="shared" si="616"/>
        <v>0.34110592284764263</v>
      </c>
      <c r="DB44">
        <f t="shared" si="617"/>
        <v>0.34110592284764263</v>
      </c>
      <c r="DC44">
        <f t="shared" si="618"/>
        <v>0.34110592284764263</v>
      </c>
      <c r="DD44">
        <f t="shared" si="619"/>
        <v>0.34110592284764263</v>
      </c>
      <c r="DE44">
        <f t="shared" si="620"/>
        <v>0.34110592284764263</v>
      </c>
      <c r="DF44">
        <f t="shared" si="621"/>
        <v>0.34110592284764263</v>
      </c>
      <c r="DG44">
        <f t="shared" si="622"/>
        <v>0.34110592284764263</v>
      </c>
      <c r="DH44">
        <f t="shared" si="623"/>
        <v>0.34110592284764263</v>
      </c>
      <c r="DI44">
        <f t="shared" si="624"/>
        <v>0.34110592284764263</v>
      </c>
      <c r="DJ44">
        <f t="shared" si="625"/>
        <v>0.34110592284764263</v>
      </c>
      <c r="DK44">
        <f t="shared" si="626"/>
        <v>0.34110592284764263</v>
      </c>
      <c r="DL44">
        <f t="shared" si="627"/>
        <v>0.34110592284764263</v>
      </c>
      <c r="DM44">
        <f t="shared" si="628"/>
        <v>0.34110592284764263</v>
      </c>
      <c r="DN44">
        <f t="shared" si="629"/>
        <v>0.34110592284764263</v>
      </c>
      <c r="DO44">
        <f t="shared" si="630"/>
        <v>0.34110592284764263</v>
      </c>
      <c r="DP44">
        <f t="shared" si="631"/>
        <v>0.34110592284764263</v>
      </c>
      <c r="DQ44">
        <f t="shared" si="632"/>
        <v>0.34110592284764263</v>
      </c>
      <c r="DR44">
        <f t="shared" si="633"/>
        <v>0.34110592284764263</v>
      </c>
      <c r="DS44">
        <f t="shared" si="634"/>
        <v>0.34110592284764263</v>
      </c>
      <c r="DT44">
        <f t="shared" si="635"/>
        <v>0.34110592284764263</v>
      </c>
      <c r="DU44">
        <f t="shared" si="636"/>
        <v>0.34110592284764263</v>
      </c>
      <c r="DV44">
        <f t="shared" si="637"/>
        <v>0.34110592284764263</v>
      </c>
      <c r="DW44">
        <f t="shared" si="638"/>
        <v>0.34110592284764263</v>
      </c>
      <c r="DX44">
        <f t="shared" si="639"/>
        <v>0.34110592284764263</v>
      </c>
      <c r="DY44">
        <f t="shared" si="640"/>
        <v>0.34110592284764263</v>
      </c>
      <c r="DZ44">
        <f t="shared" si="641"/>
        <v>0.34110592284764263</v>
      </c>
      <c r="EA44">
        <f t="shared" si="642"/>
        <v>0.34110592284764263</v>
      </c>
      <c r="EB44">
        <f t="shared" si="643"/>
        <v>0.34110592284764263</v>
      </c>
      <c r="EC44">
        <f t="shared" si="644"/>
        <v>0.34110592284764263</v>
      </c>
      <c r="ED44">
        <f t="shared" si="645"/>
        <v>0.34110592284764263</v>
      </c>
      <c r="EE44">
        <f t="shared" si="646"/>
        <v>0.34110592284764263</v>
      </c>
      <c r="EF44">
        <f t="shared" si="647"/>
        <v>0.34110592284764263</v>
      </c>
      <c r="EG44">
        <f t="shared" si="648"/>
        <v>0.34110592284764263</v>
      </c>
      <c r="EH44">
        <f t="shared" si="649"/>
        <v>0.34110592284764263</v>
      </c>
      <c r="EI44">
        <f t="shared" si="650"/>
        <v>0.34110592284764263</v>
      </c>
      <c r="EJ44">
        <f t="shared" si="651"/>
        <v>0.34110592284764263</v>
      </c>
      <c r="EK44">
        <f t="shared" si="652"/>
        <v>0.34110592284764263</v>
      </c>
      <c r="EL44">
        <f t="shared" si="653"/>
        <v>0.34110592284764263</v>
      </c>
      <c r="EM44">
        <f t="shared" si="654"/>
        <v>0.34110592284764263</v>
      </c>
      <c r="EN44">
        <f t="shared" si="655"/>
        <v>0.34110592284764263</v>
      </c>
      <c r="EO44">
        <f t="shared" si="656"/>
        <v>0.34110592284764263</v>
      </c>
      <c r="EP44">
        <f t="shared" si="657"/>
        <v>0.34110592284764263</v>
      </c>
      <c r="EQ44">
        <f t="shared" si="658"/>
        <v>0.34110592284764263</v>
      </c>
      <c r="ER44">
        <f t="shared" si="659"/>
        <v>0.34110592284764263</v>
      </c>
      <c r="ES44">
        <f t="shared" si="660"/>
        <v>0.34110592284764263</v>
      </c>
      <c r="ET44">
        <f t="shared" si="661"/>
        <v>0.34110592284764263</v>
      </c>
      <c r="EU44">
        <f t="shared" si="662"/>
        <v>0.34110592284764263</v>
      </c>
      <c r="EV44">
        <f t="shared" si="663"/>
        <v>0.34110592284764263</v>
      </c>
      <c r="EW44">
        <f t="shared" si="664"/>
        <v>0.34110592284764263</v>
      </c>
      <c r="EX44">
        <f t="shared" si="665"/>
        <v>0.34110592284764263</v>
      </c>
      <c r="EY44">
        <f t="shared" si="666"/>
        <v>0.34110592284764263</v>
      </c>
      <c r="EZ44">
        <f t="shared" si="667"/>
        <v>0.34110592284764263</v>
      </c>
      <c r="FA44">
        <f t="shared" si="668"/>
        <v>0.34110592284764263</v>
      </c>
      <c r="FB44">
        <f t="shared" si="669"/>
        <v>0.34110592284764263</v>
      </c>
      <c r="FC44">
        <f t="shared" si="670"/>
        <v>0.34110592284764263</v>
      </c>
      <c r="FD44">
        <f t="shared" si="671"/>
        <v>0.34110592284764263</v>
      </c>
      <c r="FE44">
        <f t="shared" si="672"/>
        <v>0.34110592284764263</v>
      </c>
      <c r="FF44">
        <f t="shared" si="673"/>
        <v>0.34110592284764263</v>
      </c>
      <c r="FG44">
        <f t="shared" si="674"/>
        <v>0.34110592284764263</v>
      </c>
      <c r="FH44">
        <f t="shared" si="675"/>
        <v>0.34110592284764263</v>
      </c>
      <c r="FI44">
        <f t="shared" si="676"/>
        <v>0.34110592284764263</v>
      </c>
      <c r="FJ44">
        <f t="shared" si="677"/>
        <v>0.34110592284764263</v>
      </c>
      <c r="FK44">
        <f t="shared" si="678"/>
        <v>0.34110592284764263</v>
      </c>
      <c r="FL44">
        <f t="shared" si="679"/>
        <v>0.34110592284764263</v>
      </c>
      <c r="FM44">
        <f t="shared" si="680"/>
        <v>0.34110592284764263</v>
      </c>
      <c r="FN44">
        <f t="shared" si="681"/>
        <v>0.34110592284764263</v>
      </c>
      <c r="FO44">
        <f t="shared" si="682"/>
        <v>0.34110592284764263</v>
      </c>
      <c r="FP44">
        <f t="shared" si="683"/>
        <v>0.34110592284764263</v>
      </c>
      <c r="FQ44">
        <f t="shared" si="684"/>
        <v>0.34110592284764263</v>
      </c>
      <c r="FR44">
        <f t="shared" si="685"/>
        <v>0.34110592284764263</v>
      </c>
      <c r="FS44">
        <f t="shared" si="686"/>
        <v>0.34110592284764263</v>
      </c>
      <c r="FT44">
        <f t="shared" si="687"/>
        <v>0.34110592284764263</v>
      </c>
      <c r="FU44">
        <f t="shared" si="688"/>
        <v>0.34110592284764263</v>
      </c>
      <c r="FV44">
        <f t="shared" si="689"/>
        <v>0.34110592284764263</v>
      </c>
      <c r="FW44">
        <f t="shared" si="690"/>
        <v>0.34110592284764263</v>
      </c>
      <c r="FX44">
        <f t="shared" si="691"/>
        <v>0.34110592284764263</v>
      </c>
      <c r="FY44">
        <f t="shared" si="692"/>
        <v>0.34110592284764263</v>
      </c>
      <c r="FZ44">
        <f t="shared" si="693"/>
        <v>0.34110592284764263</v>
      </c>
      <c r="GA44">
        <f t="shared" si="694"/>
        <v>0.34110592284764263</v>
      </c>
      <c r="GB44">
        <f t="shared" si="695"/>
        <v>0.34110592284764263</v>
      </c>
      <c r="GC44">
        <f t="shared" si="696"/>
        <v>0.34110592284764263</v>
      </c>
      <c r="GD44">
        <f t="shared" si="697"/>
        <v>0.34110592284764263</v>
      </c>
      <c r="GE44">
        <f t="shared" si="698"/>
        <v>0.34110592284764263</v>
      </c>
      <c r="GF44">
        <f t="shared" si="699"/>
        <v>0.34110592284764263</v>
      </c>
      <c r="GG44">
        <f t="shared" si="700"/>
        <v>0.34110592284764263</v>
      </c>
      <c r="GH44">
        <f t="shared" si="701"/>
        <v>0.34110592284764263</v>
      </c>
      <c r="GI44">
        <f t="shared" si="702"/>
        <v>0.34110592284764263</v>
      </c>
      <c r="GJ44">
        <f t="shared" si="703"/>
        <v>0.34110592284764263</v>
      </c>
      <c r="GK44">
        <f t="shared" si="704"/>
        <v>0.34110592284764263</v>
      </c>
      <c r="GL44">
        <f t="shared" si="705"/>
        <v>0.34110592284764263</v>
      </c>
      <c r="GM44">
        <f t="shared" si="706"/>
        <v>0.34110592284764263</v>
      </c>
      <c r="GN44">
        <f t="shared" si="707"/>
        <v>0.34110592284764263</v>
      </c>
      <c r="GO44">
        <f t="shared" si="708"/>
        <v>0.34110592284764263</v>
      </c>
      <c r="GP44">
        <f t="shared" si="709"/>
        <v>0.34110592284764263</v>
      </c>
      <c r="GQ44">
        <f t="shared" si="710"/>
        <v>0.34110592284764263</v>
      </c>
      <c r="GR44">
        <f t="shared" si="711"/>
        <v>0.34110592284764263</v>
      </c>
      <c r="GS44">
        <f t="shared" si="712"/>
        <v>0.34110592284764263</v>
      </c>
      <c r="GT44">
        <f t="shared" si="713"/>
        <v>0.34110592284764263</v>
      </c>
      <c r="GU44">
        <f t="shared" si="714"/>
        <v>0.34110592284764263</v>
      </c>
      <c r="GV44">
        <f t="shared" si="715"/>
        <v>0.34110592284764263</v>
      </c>
      <c r="GW44">
        <f t="shared" si="716"/>
        <v>0.34110592284764263</v>
      </c>
      <c r="GX44">
        <f t="shared" si="717"/>
        <v>0.34110592284764263</v>
      </c>
      <c r="GY44">
        <f t="shared" si="718"/>
        <v>0.34110592284764263</v>
      </c>
      <c r="GZ44">
        <f t="shared" si="719"/>
        <v>0.34110592284764263</v>
      </c>
      <c r="HA44">
        <f t="shared" si="720"/>
        <v>0.34110592284764263</v>
      </c>
      <c r="HB44">
        <f t="shared" si="721"/>
        <v>0.34110592284764263</v>
      </c>
      <c r="HC44">
        <f t="shared" si="722"/>
        <v>0.34110592284764263</v>
      </c>
      <c r="HD44">
        <f t="shared" si="723"/>
        <v>0.34110592284764263</v>
      </c>
      <c r="HE44">
        <f t="shared" si="724"/>
        <v>0.34110592284764263</v>
      </c>
      <c r="HF44">
        <f t="shared" si="725"/>
        <v>0.34110592284764263</v>
      </c>
      <c r="HG44">
        <f t="shared" si="726"/>
        <v>0.34110592284764263</v>
      </c>
      <c r="HH44">
        <f t="shared" si="727"/>
        <v>0.34110592284764263</v>
      </c>
      <c r="HI44">
        <f t="shared" si="728"/>
        <v>0.34110592284764263</v>
      </c>
      <c r="HJ44">
        <f t="shared" si="729"/>
        <v>0.34110592284764263</v>
      </c>
      <c r="HK44">
        <f t="shared" si="730"/>
        <v>0.34110592284764263</v>
      </c>
      <c r="HL44">
        <f t="shared" si="731"/>
        <v>0.34110592284764263</v>
      </c>
      <c r="HM44">
        <f t="shared" si="732"/>
        <v>0.34110592284764263</v>
      </c>
      <c r="HN44">
        <f t="shared" si="733"/>
        <v>0.34110592284764263</v>
      </c>
      <c r="HO44">
        <f t="shared" si="734"/>
        <v>0.34110592284764263</v>
      </c>
      <c r="HP44">
        <f t="shared" si="735"/>
        <v>0.34110592284764263</v>
      </c>
      <c r="HQ44">
        <f t="shared" si="736"/>
        <v>0.34110592284764263</v>
      </c>
      <c r="HR44">
        <f t="shared" si="737"/>
        <v>0.34110592284764263</v>
      </c>
      <c r="HS44">
        <f t="shared" si="738"/>
        <v>0.34110592284764263</v>
      </c>
      <c r="HT44">
        <f t="shared" si="739"/>
        <v>0.34110592284764263</v>
      </c>
      <c r="HU44">
        <f t="shared" si="740"/>
        <v>0.34110592284764263</v>
      </c>
      <c r="HV44">
        <f t="shared" si="741"/>
        <v>0.34110592284764263</v>
      </c>
      <c r="HW44">
        <f t="shared" si="742"/>
        <v>0.34110592284764263</v>
      </c>
      <c r="HX44">
        <f t="shared" si="743"/>
        <v>0.34110592284764263</v>
      </c>
      <c r="HY44">
        <f t="shared" si="744"/>
        <v>0.34110592284764263</v>
      </c>
      <c r="HZ44">
        <f t="shared" si="745"/>
        <v>0.34110592284764263</v>
      </c>
      <c r="IA44">
        <f t="shared" si="746"/>
        <v>0.34110592284764263</v>
      </c>
      <c r="IB44">
        <f t="shared" si="747"/>
        <v>0.34110592284764263</v>
      </c>
      <c r="IC44">
        <f t="shared" si="748"/>
        <v>0.34110592284764263</v>
      </c>
      <c r="ID44">
        <f t="shared" si="749"/>
        <v>0.34110592284764263</v>
      </c>
      <c r="IE44">
        <f t="shared" si="750"/>
        <v>0.34110592284764263</v>
      </c>
      <c r="IF44">
        <f t="shared" si="751"/>
        <v>0.34110592284764263</v>
      </c>
      <c r="IG44">
        <f t="shared" si="752"/>
        <v>0.34110592284764263</v>
      </c>
      <c r="IH44">
        <f t="shared" si="753"/>
        <v>0.34110592284764263</v>
      </c>
      <c r="II44">
        <f t="shared" si="754"/>
        <v>0.34110592284764263</v>
      </c>
      <c r="IJ44">
        <f t="shared" si="755"/>
        <v>0.34110592284764263</v>
      </c>
      <c r="IK44">
        <f t="shared" si="756"/>
        <v>0.34110592284764263</v>
      </c>
      <c r="IL44">
        <f t="shared" si="757"/>
        <v>0.34110592284764263</v>
      </c>
      <c r="IM44">
        <f t="shared" si="758"/>
        <v>0.34110592284764263</v>
      </c>
      <c r="IN44">
        <f t="shared" si="759"/>
        <v>0.34110592284764263</v>
      </c>
      <c r="IO44">
        <f t="shared" si="760"/>
        <v>0.34110592284764263</v>
      </c>
      <c r="IP44">
        <f t="shared" si="761"/>
        <v>0.34110592284764263</v>
      </c>
      <c r="IQ44">
        <f t="shared" si="762"/>
        <v>0.34110592284764263</v>
      </c>
      <c r="IR44">
        <f t="shared" si="763"/>
        <v>0.34110592284764263</v>
      </c>
      <c r="IS44">
        <f t="shared" si="764"/>
        <v>0.34110592284764263</v>
      </c>
      <c r="IT44">
        <f t="shared" si="765"/>
        <v>0.34110592284764263</v>
      </c>
      <c r="IU44">
        <f t="shared" si="766"/>
        <v>0.34110592284764263</v>
      </c>
      <c r="IV44">
        <f t="shared" si="767"/>
        <v>0.34110592284764263</v>
      </c>
    </row>
    <row r="45" spans="1:256" x14ac:dyDescent="0.2">
      <c r="A45" t="s">
        <v>516</v>
      </c>
      <c r="B45">
        <f t="shared" si="513"/>
        <v>0.1</v>
      </c>
      <c r="C45">
        <f t="shared" si="514"/>
        <v>0.1</v>
      </c>
      <c r="D45">
        <f t="shared" si="515"/>
        <v>0.1</v>
      </c>
      <c r="E45">
        <f t="shared" si="516"/>
        <v>0.1</v>
      </c>
      <c r="F45">
        <f t="shared" si="517"/>
        <v>0.1</v>
      </c>
      <c r="G45">
        <f t="shared" si="518"/>
        <v>0.1</v>
      </c>
      <c r="H45">
        <f t="shared" si="519"/>
        <v>0.1</v>
      </c>
      <c r="I45">
        <f t="shared" si="520"/>
        <v>0.1</v>
      </c>
      <c r="J45">
        <f t="shared" si="521"/>
        <v>0.2</v>
      </c>
      <c r="K45">
        <f t="shared" si="522"/>
        <v>0.2</v>
      </c>
      <c r="L45">
        <f t="shared" si="523"/>
        <v>0.2</v>
      </c>
      <c r="M45">
        <f t="shared" si="524"/>
        <v>0.2</v>
      </c>
      <c r="N45">
        <f t="shared" si="525"/>
        <v>0.2</v>
      </c>
      <c r="O45">
        <f t="shared" si="526"/>
        <v>0.2</v>
      </c>
      <c r="P45">
        <f t="shared" si="527"/>
        <v>0.2</v>
      </c>
      <c r="Q45">
        <f t="shared" si="528"/>
        <v>0.2</v>
      </c>
      <c r="R45">
        <f t="shared" si="529"/>
        <v>0.40000000000000008</v>
      </c>
      <c r="S45">
        <f t="shared" si="530"/>
        <v>0.40000000000000008</v>
      </c>
      <c r="T45">
        <f t="shared" si="531"/>
        <v>0.40000000000000008</v>
      </c>
      <c r="U45">
        <f t="shared" si="532"/>
        <v>0.40000000000000008</v>
      </c>
      <c r="V45">
        <f t="shared" si="533"/>
        <v>0.40000000000000008</v>
      </c>
      <c r="W45">
        <f t="shared" si="534"/>
        <v>0.40000000000000008</v>
      </c>
      <c r="X45">
        <f t="shared" si="535"/>
        <v>0.40000000000000008</v>
      </c>
      <c r="Y45">
        <f t="shared" si="536"/>
        <v>0.40000000000000008</v>
      </c>
      <c r="Z45">
        <f t="shared" si="537"/>
        <v>0.80000000000000016</v>
      </c>
      <c r="AA45">
        <f t="shared" si="538"/>
        <v>0.80000000000000016</v>
      </c>
      <c r="AB45">
        <f t="shared" si="539"/>
        <v>0.80000000000000016</v>
      </c>
      <c r="AC45">
        <f t="shared" si="540"/>
        <v>0.80000000000000016</v>
      </c>
      <c r="AD45">
        <f t="shared" si="541"/>
        <v>0.80000000000000016</v>
      </c>
      <c r="AE45">
        <f t="shared" si="542"/>
        <v>0.80000000000000016</v>
      </c>
      <c r="AF45">
        <f t="shared" si="543"/>
        <v>0.80000000000000016</v>
      </c>
      <c r="AG45">
        <f t="shared" si="544"/>
        <v>0.80000000000000016</v>
      </c>
      <c r="AH45">
        <f t="shared" si="545"/>
        <v>0.33077934265136721</v>
      </c>
      <c r="AI45">
        <f t="shared" si="546"/>
        <v>0.33077934265136721</v>
      </c>
      <c r="AJ45">
        <f t="shared" si="547"/>
        <v>0.33077934265136721</v>
      </c>
      <c r="AK45">
        <f t="shared" si="548"/>
        <v>0.33077934265136721</v>
      </c>
      <c r="AL45">
        <f t="shared" si="549"/>
        <v>0.33077934265136721</v>
      </c>
      <c r="AM45">
        <f t="shared" si="550"/>
        <v>0.33077934265136721</v>
      </c>
      <c r="AN45">
        <f t="shared" si="551"/>
        <v>0.33077934265136721</v>
      </c>
      <c r="AO45">
        <f t="shared" si="552"/>
        <v>0.33077934265136721</v>
      </c>
      <c r="AP45">
        <f t="shared" si="553"/>
        <v>0.66155868530273443</v>
      </c>
      <c r="AQ45">
        <f t="shared" si="554"/>
        <v>0.66155868530273443</v>
      </c>
      <c r="AR45">
        <f t="shared" si="555"/>
        <v>0.66155868530273443</v>
      </c>
      <c r="AS45">
        <f t="shared" si="556"/>
        <v>0.66155868530273443</v>
      </c>
      <c r="AT45">
        <f t="shared" si="557"/>
        <v>0.66155868530273443</v>
      </c>
      <c r="AU45">
        <f t="shared" si="558"/>
        <v>0.66155868530273443</v>
      </c>
      <c r="AV45">
        <f t="shared" si="559"/>
        <v>0.66155868530273443</v>
      </c>
      <c r="AW45">
        <f t="shared" si="560"/>
        <v>0.66155868530273443</v>
      </c>
      <c r="AX45">
        <f t="shared" si="561"/>
        <v>1.0544743217632389</v>
      </c>
      <c r="AY45">
        <f t="shared" si="562"/>
        <v>1.0544743217632389</v>
      </c>
      <c r="AZ45">
        <f t="shared" si="563"/>
        <v>1.0544743217632389</v>
      </c>
      <c r="BA45">
        <f t="shared" si="564"/>
        <v>1.0544743217632389</v>
      </c>
      <c r="BB45">
        <f t="shared" si="565"/>
        <v>1.0544743217632389</v>
      </c>
      <c r="BC45">
        <f t="shared" si="566"/>
        <v>1.0544743217632389</v>
      </c>
      <c r="BD45">
        <f t="shared" si="567"/>
        <v>1.0544743217632389</v>
      </c>
      <c r="BE45">
        <f t="shared" si="568"/>
        <v>1.0544743217632389</v>
      </c>
      <c r="BF45">
        <f t="shared" si="569"/>
        <v>1.0544743217632389</v>
      </c>
      <c r="BG45">
        <f t="shared" si="570"/>
        <v>1.0544743217632389</v>
      </c>
      <c r="BH45">
        <f t="shared" si="571"/>
        <v>1.0544743217632389</v>
      </c>
      <c r="BI45">
        <f t="shared" si="572"/>
        <v>1.0544743217632389</v>
      </c>
      <c r="BJ45">
        <f t="shared" si="573"/>
        <v>1.0544743217632389</v>
      </c>
      <c r="BK45">
        <f t="shared" si="574"/>
        <v>1.0544743217632389</v>
      </c>
      <c r="BL45">
        <f t="shared" si="575"/>
        <v>1.0544743217632389</v>
      </c>
      <c r="BM45">
        <f t="shared" si="576"/>
        <v>1.0544743217632389</v>
      </c>
      <c r="BN45">
        <f t="shared" si="577"/>
        <v>1.0544743217632389</v>
      </c>
      <c r="BO45">
        <f t="shared" si="578"/>
        <v>1.0544743217632389</v>
      </c>
      <c r="BP45">
        <f t="shared" si="579"/>
        <v>1.0544743217632389</v>
      </c>
      <c r="BQ45">
        <f t="shared" si="580"/>
        <v>1.0544743217632389</v>
      </c>
      <c r="BR45">
        <f t="shared" si="581"/>
        <v>1.0544743217632389</v>
      </c>
      <c r="BS45">
        <f t="shared" si="582"/>
        <v>1.0544743217632389</v>
      </c>
      <c r="BT45">
        <f t="shared" si="583"/>
        <v>1.0544743217632389</v>
      </c>
      <c r="BU45">
        <f t="shared" si="584"/>
        <v>1.0544743217632389</v>
      </c>
      <c r="BV45">
        <f t="shared" si="585"/>
        <v>1.0544743217632389</v>
      </c>
      <c r="BW45">
        <f t="shared" si="586"/>
        <v>1.0544743217632389</v>
      </c>
      <c r="BX45">
        <f t="shared" si="587"/>
        <v>1.0544743217632389</v>
      </c>
      <c r="BY45">
        <f t="shared" si="588"/>
        <v>1.0544743217632389</v>
      </c>
      <c r="BZ45">
        <f t="shared" si="589"/>
        <v>1.0544743217632389</v>
      </c>
      <c r="CA45">
        <f t="shared" si="590"/>
        <v>1.0544743217632389</v>
      </c>
      <c r="CB45">
        <f t="shared" si="591"/>
        <v>1.0544743217632389</v>
      </c>
      <c r="CC45">
        <f t="shared" si="592"/>
        <v>1.0544743217632389</v>
      </c>
      <c r="CD45">
        <f t="shared" si="593"/>
        <v>1.0544743217632389</v>
      </c>
      <c r="CE45">
        <f t="shared" si="594"/>
        <v>1.0544743217632389</v>
      </c>
      <c r="CF45">
        <f t="shared" si="595"/>
        <v>1.0544743217632389</v>
      </c>
      <c r="CG45">
        <f t="shared" si="596"/>
        <v>1.0544743217632389</v>
      </c>
      <c r="CH45">
        <f t="shared" si="597"/>
        <v>1.0544743217632389</v>
      </c>
      <c r="CI45">
        <f t="shared" si="598"/>
        <v>1.0544743217632389</v>
      </c>
      <c r="CJ45">
        <f t="shared" si="599"/>
        <v>1.0544743217632389</v>
      </c>
      <c r="CK45">
        <f t="shared" si="600"/>
        <v>1.0544743217632389</v>
      </c>
      <c r="CL45">
        <f t="shared" si="601"/>
        <v>1.0544743217632389</v>
      </c>
      <c r="CM45">
        <f t="shared" si="602"/>
        <v>1.0544743217632389</v>
      </c>
      <c r="CN45">
        <f t="shared" si="603"/>
        <v>1.0544743217632389</v>
      </c>
      <c r="CO45">
        <f t="shared" si="604"/>
        <v>1.0544743217632389</v>
      </c>
      <c r="CP45">
        <f t="shared" si="605"/>
        <v>1.0544743217632389</v>
      </c>
      <c r="CQ45">
        <f t="shared" si="606"/>
        <v>1.0544743217632389</v>
      </c>
      <c r="CR45">
        <f t="shared" si="607"/>
        <v>1.0544743217632389</v>
      </c>
      <c r="CS45">
        <f t="shared" si="608"/>
        <v>1.0544743217632389</v>
      </c>
      <c r="CT45">
        <f t="shared" si="609"/>
        <v>1.0544743217632389</v>
      </c>
      <c r="CU45">
        <f t="shared" si="610"/>
        <v>1.0544743217632389</v>
      </c>
      <c r="CV45">
        <f t="shared" si="611"/>
        <v>1.0544743217632389</v>
      </c>
      <c r="CW45">
        <f t="shared" si="612"/>
        <v>1.0544743217632389</v>
      </c>
      <c r="CX45">
        <f t="shared" si="613"/>
        <v>1.0544743217632389</v>
      </c>
      <c r="CY45">
        <f t="shared" si="614"/>
        <v>1.0544743217632389</v>
      </c>
      <c r="CZ45">
        <f t="shared" si="615"/>
        <v>1.0544743217632389</v>
      </c>
      <c r="DA45">
        <f t="shared" si="616"/>
        <v>1.0544743217632389</v>
      </c>
      <c r="DB45">
        <f t="shared" si="617"/>
        <v>1.0544743217632389</v>
      </c>
      <c r="DC45">
        <f t="shared" si="618"/>
        <v>1.0544743217632389</v>
      </c>
      <c r="DD45">
        <f t="shared" si="619"/>
        <v>1.0544743217632389</v>
      </c>
      <c r="DE45">
        <f t="shared" si="620"/>
        <v>1.0544743217632389</v>
      </c>
      <c r="DF45">
        <f t="shared" si="621"/>
        <v>1.0544743217632389</v>
      </c>
      <c r="DG45">
        <f t="shared" si="622"/>
        <v>1.0544743217632389</v>
      </c>
      <c r="DH45">
        <f t="shared" si="623"/>
        <v>1.0544743217632389</v>
      </c>
      <c r="DI45">
        <f t="shared" si="624"/>
        <v>1.0544743217632389</v>
      </c>
      <c r="DJ45">
        <f t="shared" si="625"/>
        <v>1.0544743217632389</v>
      </c>
      <c r="DK45">
        <f t="shared" si="626"/>
        <v>1.0544743217632389</v>
      </c>
      <c r="DL45">
        <f t="shared" si="627"/>
        <v>1.0544743217632389</v>
      </c>
      <c r="DM45">
        <f t="shared" si="628"/>
        <v>1.0544743217632389</v>
      </c>
      <c r="DN45">
        <f t="shared" si="629"/>
        <v>1.0544743217632389</v>
      </c>
      <c r="DO45">
        <f t="shared" si="630"/>
        <v>1.0544743217632389</v>
      </c>
      <c r="DP45">
        <f t="shared" si="631"/>
        <v>1.0544743217632389</v>
      </c>
      <c r="DQ45">
        <f t="shared" si="632"/>
        <v>1.0544743217632389</v>
      </c>
      <c r="DR45">
        <f t="shared" si="633"/>
        <v>1.0544743217632389</v>
      </c>
      <c r="DS45">
        <f t="shared" si="634"/>
        <v>1.0544743217632389</v>
      </c>
      <c r="DT45">
        <f t="shared" si="635"/>
        <v>1.0544743217632389</v>
      </c>
      <c r="DU45">
        <f t="shared" si="636"/>
        <v>1.0544743217632389</v>
      </c>
      <c r="DV45">
        <f t="shared" si="637"/>
        <v>1.0544743217632389</v>
      </c>
      <c r="DW45">
        <f t="shared" si="638"/>
        <v>1.0544743217632389</v>
      </c>
      <c r="DX45">
        <f t="shared" si="639"/>
        <v>1.0544743217632389</v>
      </c>
      <c r="DY45">
        <f t="shared" si="640"/>
        <v>1.0544743217632389</v>
      </c>
      <c r="DZ45">
        <f t="shared" si="641"/>
        <v>1.0544743217632389</v>
      </c>
      <c r="EA45">
        <f t="shared" si="642"/>
        <v>1.0544743217632389</v>
      </c>
      <c r="EB45">
        <f t="shared" si="643"/>
        <v>1.0544743217632389</v>
      </c>
      <c r="EC45">
        <f t="shared" si="644"/>
        <v>1.0544743217632389</v>
      </c>
      <c r="ED45">
        <f t="shared" si="645"/>
        <v>1.0544743217632389</v>
      </c>
      <c r="EE45">
        <f t="shared" si="646"/>
        <v>1.0544743217632389</v>
      </c>
      <c r="EF45">
        <f t="shared" si="647"/>
        <v>1.0544743217632389</v>
      </c>
      <c r="EG45">
        <f t="shared" si="648"/>
        <v>1.0544743217632389</v>
      </c>
      <c r="EH45">
        <f t="shared" si="649"/>
        <v>1.0544743217632389</v>
      </c>
      <c r="EI45">
        <f t="shared" si="650"/>
        <v>1.0544743217632389</v>
      </c>
      <c r="EJ45">
        <f t="shared" si="651"/>
        <v>1.0544743217632389</v>
      </c>
      <c r="EK45">
        <f t="shared" si="652"/>
        <v>1.0544743217632389</v>
      </c>
      <c r="EL45">
        <f t="shared" si="653"/>
        <v>1.0544743217632389</v>
      </c>
      <c r="EM45">
        <f t="shared" si="654"/>
        <v>1.0544743217632389</v>
      </c>
      <c r="EN45">
        <f t="shared" si="655"/>
        <v>1.0544743217632389</v>
      </c>
      <c r="EO45">
        <f t="shared" si="656"/>
        <v>1.0544743217632389</v>
      </c>
      <c r="EP45">
        <f t="shared" si="657"/>
        <v>1.0544743217632389</v>
      </c>
      <c r="EQ45">
        <f t="shared" si="658"/>
        <v>1.0544743217632389</v>
      </c>
      <c r="ER45">
        <f t="shared" si="659"/>
        <v>1.0544743217632389</v>
      </c>
      <c r="ES45">
        <f t="shared" si="660"/>
        <v>1.0544743217632389</v>
      </c>
      <c r="ET45">
        <f t="shared" si="661"/>
        <v>1.0544743217632389</v>
      </c>
      <c r="EU45">
        <f t="shared" si="662"/>
        <v>1.0544743217632389</v>
      </c>
      <c r="EV45">
        <f t="shared" si="663"/>
        <v>1.0544743217632389</v>
      </c>
      <c r="EW45">
        <f t="shared" si="664"/>
        <v>1.0544743217632389</v>
      </c>
      <c r="EX45">
        <f t="shared" si="665"/>
        <v>1.0544743217632389</v>
      </c>
      <c r="EY45">
        <f t="shared" si="666"/>
        <v>1.0544743217632389</v>
      </c>
      <c r="EZ45">
        <f t="shared" si="667"/>
        <v>1.0544743217632389</v>
      </c>
      <c r="FA45">
        <f t="shared" si="668"/>
        <v>1.0544743217632389</v>
      </c>
      <c r="FB45">
        <f t="shared" si="669"/>
        <v>1.0544743217632389</v>
      </c>
      <c r="FC45">
        <f t="shared" si="670"/>
        <v>1.0544743217632389</v>
      </c>
      <c r="FD45">
        <f t="shared" si="671"/>
        <v>1.0544743217632389</v>
      </c>
      <c r="FE45">
        <f t="shared" si="672"/>
        <v>1.0544743217632389</v>
      </c>
      <c r="FF45">
        <f t="shared" si="673"/>
        <v>1.0544743217632389</v>
      </c>
      <c r="FG45">
        <f t="shared" si="674"/>
        <v>1.0544743217632389</v>
      </c>
      <c r="FH45">
        <f t="shared" si="675"/>
        <v>1.0544743217632389</v>
      </c>
      <c r="FI45">
        <f t="shared" si="676"/>
        <v>1.0544743217632389</v>
      </c>
      <c r="FJ45">
        <f t="shared" si="677"/>
        <v>1.0544743217632389</v>
      </c>
      <c r="FK45">
        <f t="shared" si="678"/>
        <v>1.0544743217632389</v>
      </c>
      <c r="FL45">
        <f t="shared" si="679"/>
        <v>1.0544743217632389</v>
      </c>
      <c r="FM45">
        <f t="shared" si="680"/>
        <v>1.0544743217632389</v>
      </c>
      <c r="FN45">
        <f t="shared" si="681"/>
        <v>1.0544743217632389</v>
      </c>
      <c r="FO45">
        <f t="shared" si="682"/>
        <v>1.0544743217632389</v>
      </c>
      <c r="FP45">
        <f t="shared" si="683"/>
        <v>1.0544743217632389</v>
      </c>
      <c r="FQ45">
        <f t="shared" si="684"/>
        <v>1.0544743217632389</v>
      </c>
      <c r="FR45">
        <f t="shared" si="685"/>
        <v>1.0544743217632389</v>
      </c>
      <c r="FS45">
        <f t="shared" si="686"/>
        <v>1.0544743217632389</v>
      </c>
      <c r="FT45">
        <f t="shared" si="687"/>
        <v>1.0544743217632389</v>
      </c>
      <c r="FU45">
        <f t="shared" si="688"/>
        <v>1.0544743217632389</v>
      </c>
      <c r="FV45">
        <f t="shared" si="689"/>
        <v>1.0544743217632389</v>
      </c>
      <c r="FW45">
        <f t="shared" si="690"/>
        <v>1.0544743217632389</v>
      </c>
      <c r="FX45">
        <f t="shared" si="691"/>
        <v>1.0544743217632389</v>
      </c>
      <c r="FY45">
        <f t="shared" si="692"/>
        <v>1.0544743217632389</v>
      </c>
      <c r="FZ45">
        <f t="shared" si="693"/>
        <v>1.0544743217632389</v>
      </c>
      <c r="GA45">
        <f t="shared" si="694"/>
        <v>1.0544743217632389</v>
      </c>
      <c r="GB45">
        <f t="shared" si="695"/>
        <v>1.0544743217632389</v>
      </c>
      <c r="GC45">
        <f t="shared" si="696"/>
        <v>1.0544743217632389</v>
      </c>
      <c r="GD45">
        <f t="shared" si="697"/>
        <v>1.0544743217632389</v>
      </c>
      <c r="GE45">
        <f t="shared" si="698"/>
        <v>1.0544743217632389</v>
      </c>
      <c r="GF45">
        <f t="shared" si="699"/>
        <v>1.0544743217632389</v>
      </c>
      <c r="GG45">
        <f t="shared" si="700"/>
        <v>1.0544743217632389</v>
      </c>
      <c r="GH45">
        <f t="shared" si="701"/>
        <v>1.0544743217632389</v>
      </c>
      <c r="GI45">
        <f t="shared" si="702"/>
        <v>1.0544743217632389</v>
      </c>
      <c r="GJ45">
        <f t="shared" si="703"/>
        <v>1.0544743217632389</v>
      </c>
      <c r="GK45">
        <f t="shared" si="704"/>
        <v>1.0544743217632389</v>
      </c>
      <c r="GL45">
        <f t="shared" si="705"/>
        <v>1.0544743217632389</v>
      </c>
      <c r="GM45">
        <f t="shared" si="706"/>
        <v>1.0544743217632389</v>
      </c>
      <c r="GN45">
        <f t="shared" si="707"/>
        <v>1.0544743217632389</v>
      </c>
      <c r="GO45">
        <f t="shared" si="708"/>
        <v>1.0544743217632389</v>
      </c>
      <c r="GP45">
        <f t="shared" si="709"/>
        <v>1.0544743217632389</v>
      </c>
      <c r="GQ45">
        <f t="shared" si="710"/>
        <v>1.0544743217632389</v>
      </c>
      <c r="GR45">
        <f t="shared" si="711"/>
        <v>1.0544743217632389</v>
      </c>
      <c r="GS45">
        <f t="shared" si="712"/>
        <v>1.0544743217632389</v>
      </c>
      <c r="GT45">
        <f t="shared" si="713"/>
        <v>1.0544743217632389</v>
      </c>
      <c r="GU45">
        <f t="shared" si="714"/>
        <v>1.0544743217632389</v>
      </c>
      <c r="GV45">
        <f t="shared" si="715"/>
        <v>1.0544743217632389</v>
      </c>
      <c r="GW45">
        <f t="shared" si="716"/>
        <v>1.0544743217632389</v>
      </c>
      <c r="GX45">
        <f t="shared" si="717"/>
        <v>1.0544743217632389</v>
      </c>
      <c r="GY45">
        <f t="shared" si="718"/>
        <v>1.0544743217632389</v>
      </c>
      <c r="GZ45">
        <f t="shared" si="719"/>
        <v>1.0544743217632389</v>
      </c>
      <c r="HA45">
        <f t="shared" si="720"/>
        <v>1.0544743217632389</v>
      </c>
      <c r="HB45">
        <f t="shared" si="721"/>
        <v>1.0544743217632389</v>
      </c>
      <c r="HC45">
        <f t="shared" si="722"/>
        <v>1.0544743217632389</v>
      </c>
      <c r="HD45">
        <f t="shared" si="723"/>
        <v>1.0544743217632389</v>
      </c>
      <c r="HE45">
        <f t="shared" si="724"/>
        <v>1.0544743217632389</v>
      </c>
      <c r="HF45">
        <f t="shared" si="725"/>
        <v>1.0544743217632389</v>
      </c>
      <c r="HG45">
        <f t="shared" si="726"/>
        <v>1.0544743217632389</v>
      </c>
      <c r="HH45">
        <f t="shared" si="727"/>
        <v>1.0544743217632389</v>
      </c>
      <c r="HI45">
        <f t="shared" si="728"/>
        <v>1.0544743217632389</v>
      </c>
      <c r="HJ45">
        <f t="shared" si="729"/>
        <v>1.0544743217632389</v>
      </c>
      <c r="HK45">
        <f t="shared" si="730"/>
        <v>1.0544743217632389</v>
      </c>
      <c r="HL45">
        <f t="shared" si="731"/>
        <v>1.0544743217632389</v>
      </c>
      <c r="HM45">
        <f t="shared" si="732"/>
        <v>1.0544743217632389</v>
      </c>
      <c r="HN45">
        <f t="shared" si="733"/>
        <v>1.0544743217632389</v>
      </c>
      <c r="HO45">
        <f t="shared" si="734"/>
        <v>1.0544743217632389</v>
      </c>
      <c r="HP45">
        <f t="shared" si="735"/>
        <v>1.0544743217632389</v>
      </c>
      <c r="HQ45">
        <f t="shared" si="736"/>
        <v>1.0544743217632389</v>
      </c>
      <c r="HR45">
        <f t="shared" si="737"/>
        <v>1.0544743217632389</v>
      </c>
      <c r="HS45">
        <f t="shared" si="738"/>
        <v>1.0544743217632389</v>
      </c>
      <c r="HT45">
        <f t="shared" si="739"/>
        <v>1.0544743217632389</v>
      </c>
      <c r="HU45">
        <f t="shared" si="740"/>
        <v>1.0544743217632389</v>
      </c>
      <c r="HV45">
        <f t="shared" si="741"/>
        <v>1.0544743217632389</v>
      </c>
      <c r="HW45">
        <f t="shared" si="742"/>
        <v>1.0544743217632389</v>
      </c>
      <c r="HX45">
        <f t="shared" si="743"/>
        <v>1.0544743217632389</v>
      </c>
      <c r="HY45">
        <f t="shared" si="744"/>
        <v>1.0544743217632389</v>
      </c>
      <c r="HZ45">
        <f t="shared" si="745"/>
        <v>1.0544743217632389</v>
      </c>
      <c r="IA45">
        <f t="shared" si="746"/>
        <v>1.0544743217632389</v>
      </c>
      <c r="IB45">
        <f t="shared" si="747"/>
        <v>1.0544743217632389</v>
      </c>
      <c r="IC45">
        <f t="shared" si="748"/>
        <v>1.0544743217632389</v>
      </c>
      <c r="ID45">
        <f t="shared" si="749"/>
        <v>1.0544743217632389</v>
      </c>
      <c r="IE45">
        <f t="shared" si="750"/>
        <v>1.0544743217632389</v>
      </c>
      <c r="IF45">
        <f t="shared" si="751"/>
        <v>1.0544743217632389</v>
      </c>
      <c r="IG45">
        <f t="shared" si="752"/>
        <v>1.0544743217632389</v>
      </c>
      <c r="IH45">
        <f t="shared" si="753"/>
        <v>1.0544743217632389</v>
      </c>
      <c r="II45">
        <f t="shared" si="754"/>
        <v>1.0544743217632389</v>
      </c>
      <c r="IJ45">
        <f t="shared" si="755"/>
        <v>1.0544743217632389</v>
      </c>
      <c r="IK45">
        <f t="shared" si="756"/>
        <v>1.0544743217632389</v>
      </c>
      <c r="IL45">
        <f t="shared" si="757"/>
        <v>1.0544743217632389</v>
      </c>
      <c r="IM45">
        <f t="shared" si="758"/>
        <v>1.0544743217632389</v>
      </c>
      <c r="IN45">
        <f t="shared" si="759"/>
        <v>1.0544743217632389</v>
      </c>
      <c r="IO45">
        <f t="shared" si="760"/>
        <v>1.0544743217632389</v>
      </c>
      <c r="IP45">
        <f t="shared" si="761"/>
        <v>1.0544743217632389</v>
      </c>
      <c r="IQ45">
        <f t="shared" si="762"/>
        <v>1.0544743217632389</v>
      </c>
      <c r="IR45">
        <f t="shared" si="763"/>
        <v>1.0544743217632389</v>
      </c>
      <c r="IS45">
        <f t="shared" si="764"/>
        <v>1.0544743217632389</v>
      </c>
      <c r="IT45">
        <f t="shared" si="765"/>
        <v>1.0544743217632389</v>
      </c>
      <c r="IU45">
        <f t="shared" si="766"/>
        <v>1.0544743217632389</v>
      </c>
      <c r="IV45">
        <f t="shared" si="767"/>
        <v>1.0544743217632389</v>
      </c>
    </row>
    <row r="46" spans="1:256" x14ac:dyDescent="0.2">
      <c r="A46" t="s">
        <v>517</v>
      </c>
      <c r="B46">
        <f t="shared" si="513"/>
        <v>0.1</v>
      </c>
      <c r="C46">
        <f t="shared" si="514"/>
        <v>0.1</v>
      </c>
      <c r="D46">
        <f t="shared" si="515"/>
        <v>0.1</v>
      </c>
      <c r="E46">
        <f t="shared" si="516"/>
        <v>0.1</v>
      </c>
      <c r="F46">
        <f t="shared" si="517"/>
        <v>0.1</v>
      </c>
      <c r="G46">
        <f t="shared" si="518"/>
        <v>0.1</v>
      </c>
      <c r="H46">
        <f t="shared" si="519"/>
        <v>0.1</v>
      </c>
      <c r="I46">
        <f t="shared" si="520"/>
        <v>0.1</v>
      </c>
      <c r="J46">
        <f t="shared" si="521"/>
        <v>0.1</v>
      </c>
      <c r="K46">
        <f t="shared" si="522"/>
        <v>0.1</v>
      </c>
      <c r="L46">
        <f t="shared" si="523"/>
        <v>0.1</v>
      </c>
      <c r="M46">
        <f t="shared" si="524"/>
        <v>0.1</v>
      </c>
      <c r="N46">
        <f t="shared" si="525"/>
        <v>0.1</v>
      </c>
      <c r="O46">
        <f t="shared" si="526"/>
        <v>0.1</v>
      </c>
      <c r="P46">
        <f t="shared" si="527"/>
        <v>0.1</v>
      </c>
      <c r="Q46">
        <f t="shared" si="528"/>
        <v>0.1</v>
      </c>
      <c r="R46">
        <f t="shared" si="529"/>
        <v>0.1</v>
      </c>
      <c r="S46">
        <f t="shared" si="530"/>
        <v>0.1</v>
      </c>
      <c r="T46">
        <f t="shared" si="531"/>
        <v>0.1</v>
      </c>
      <c r="U46">
        <f t="shared" si="532"/>
        <v>0.1</v>
      </c>
      <c r="V46">
        <f t="shared" si="533"/>
        <v>0.1</v>
      </c>
      <c r="W46">
        <f t="shared" si="534"/>
        <v>0.1</v>
      </c>
      <c r="X46">
        <f t="shared" si="535"/>
        <v>0.1</v>
      </c>
      <c r="Y46">
        <f t="shared" si="536"/>
        <v>0.1</v>
      </c>
      <c r="Z46">
        <f t="shared" si="537"/>
        <v>0.1</v>
      </c>
      <c r="AA46">
        <f t="shared" si="538"/>
        <v>0.1</v>
      </c>
      <c r="AB46">
        <f t="shared" si="539"/>
        <v>0.1</v>
      </c>
      <c r="AC46">
        <f t="shared" si="540"/>
        <v>0.1</v>
      </c>
      <c r="AD46">
        <f t="shared" si="541"/>
        <v>0.1</v>
      </c>
      <c r="AE46">
        <f t="shared" si="542"/>
        <v>0.1</v>
      </c>
      <c r="AF46">
        <f t="shared" si="543"/>
        <v>0.1</v>
      </c>
      <c r="AG46">
        <f t="shared" si="544"/>
        <v>0.1</v>
      </c>
      <c r="AH46">
        <f t="shared" si="545"/>
        <v>0.72533958435058599</v>
      </c>
      <c r="AI46">
        <f t="shared" si="546"/>
        <v>0.72533958435058599</v>
      </c>
      <c r="AJ46">
        <f t="shared" si="547"/>
        <v>0.72533958435058599</v>
      </c>
      <c r="AK46">
        <f t="shared" si="548"/>
        <v>0.72533958435058599</v>
      </c>
      <c r="AL46">
        <f t="shared" si="549"/>
        <v>0.72533958435058599</v>
      </c>
      <c r="AM46">
        <f t="shared" si="550"/>
        <v>0.72533958435058599</v>
      </c>
      <c r="AN46">
        <f t="shared" si="551"/>
        <v>0.72533958435058599</v>
      </c>
      <c r="AO46">
        <f t="shared" si="552"/>
        <v>0.72533958435058599</v>
      </c>
      <c r="AP46">
        <f t="shared" si="553"/>
        <v>0.72533958435058599</v>
      </c>
      <c r="AQ46">
        <f t="shared" si="554"/>
        <v>0.72533958435058599</v>
      </c>
      <c r="AR46">
        <f t="shared" si="555"/>
        <v>0.72533958435058599</v>
      </c>
      <c r="AS46">
        <f t="shared" si="556"/>
        <v>0.72533958435058599</v>
      </c>
      <c r="AT46">
        <f t="shared" si="557"/>
        <v>0.72533958435058599</v>
      </c>
      <c r="AU46">
        <f t="shared" si="558"/>
        <v>0.72533958435058599</v>
      </c>
      <c r="AV46">
        <f t="shared" si="559"/>
        <v>0.72533958435058599</v>
      </c>
      <c r="AW46">
        <f t="shared" si="560"/>
        <v>0.72533958435058599</v>
      </c>
      <c r="AX46">
        <f t="shared" si="561"/>
        <v>0.32424638342620221</v>
      </c>
      <c r="AY46">
        <f t="shared" si="562"/>
        <v>0.32424638342620221</v>
      </c>
      <c r="AZ46">
        <f t="shared" si="563"/>
        <v>0.32424638342620221</v>
      </c>
      <c r="BA46">
        <f t="shared" si="564"/>
        <v>0.32424638342620221</v>
      </c>
      <c r="BB46">
        <f t="shared" si="565"/>
        <v>0.32424638342620221</v>
      </c>
      <c r="BC46">
        <f t="shared" si="566"/>
        <v>0.32424638342620221</v>
      </c>
      <c r="BD46">
        <f t="shared" si="567"/>
        <v>0.32424638342620221</v>
      </c>
      <c r="BE46">
        <f t="shared" si="568"/>
        <v>0.32424638342620221</v>
      </c>
      <c r="BF46">
        <f t="shared" si="569"/>
        <v>0.32424638342620221</v>
      </c>
      <c r="BG46">
        <f t="shared" si="570"/>
        <v>0.32424638342620221</v>
      </c>
      <c r="BH46">
        <f t="shared" si="571"/>
        <v>0.32424638342620221</v>
      </c>
      <c r="BI46">
        <f t="shared" si="572"/>
        <v>0.32424638342620221</v>
      </c>
      <c r="BJ46">
        <f t="shared" si="573"/>
        <v>0.32424638342620221</v>
      </c>
      <c r="BK46">
        <f t="shared" si="574"/>
        <v>0.32424638342620221</v>
      </c>
      <c r="BL46">
        <f t="shared" si="575"/>
        <v>0.32424638342620221</v>
      </c>
      <c r="BM46">
        <f t="shared" si="576"/>
        <v>0.32424638342620221</v>
      </c>
      <c r="BN46">
        <f t="shared" si="577"/>
        <v>0.32424638342620221</v>
      </c>
      <c r="BO46">
        <f t="shared" si="578"/>
        <v>0.32424638342620221</v>
      </c>
      <c r="BP46">
        <f t="shared" si="579"/>
        <v>0.32424638342620221</v>
      </c>
      <c r="BQ46">
        <f t="shared" si="580"/>
        <v>0.32424638342620221</v>
      </c>
      <c r="BR46">
        <f t="shared" si="581"/>
        <v>0.32424638342620221</v>
      </c>
      <c r="BS46">
        <f t="shared" si="582"/>
        <v>0.32424638342620221</v>
      </c>
      <c r="BT46">
        <f t="shared" si="583"/>
        <v>0.32424638342620221</v>
      </c>
      <c r="BU46">
        <f t="shared" si="584"/>
        <v>0.32424638342620221</v>
      </c>
      <c r="BV46">
        <f t="shared" si="585"/>
        <v>0.32424638342620221</v>
      </c>
      <c r="BW46">
        <f t="shared" si="586"/>
        <v>0.32424638342620221</v>
      </c>
      <c r="BX46">
        <f t="shared" si="587"/>
        <v>0.32424638342620221</v>
      </c>
      <c r="BY46">
        <f t="shared" si="588"/>
        <v>0.32424638342620221</v>
      </c>
      <c r="BZ46">
        <f t="shared" si="589"/>
        <v>0.32424638342620221</v>
      </c>
      <c r="CA46">
        <f t="shared" si="590"/>
        <v>0.32424638342620221</v>
      </c>
      <c r="CB46">
        <f t="shared" si="591"/>
        <v>0.32424638342620221</v>
      </c>
      <c r="CC46">
        <f t="shared" si="592"/>
        <v>0.32424638342620221</v>
      </c>
      <c r="CD46">
        <f t="shared" si="593"/>
        <v>0.32424638342620221</v>
      </c>
      <c r="CE46">
        <f t="shared" si="594"/>
        <v>0.32424638342620221</v>
      </c>
      <c r="CF46">
        <f t="shared" si="595"/>
        <v>0.32424638342620221</v>
      </c>
      <c r="CG46">
        <f t="shared" si="596"/>
        <v>0.32424638342620221</v>
      </c>
      <c r="CH46">
        <f t="shared" si="597"/>
        <v>0.32424638342620221</v>
      </c>
      <c r="CI46">
        <f t="shared" si="598"/>
        <v>0.32424638342620221</v>
      </c>
      <c r="CJ46">
        <f t="shared" si="599"/>
        <v>0.32424638342620221</v>
      </c>
      <c r="CK46">
        <f t="shared" si="600"/>
        <v>0.32424638342620221</v>
      </c>
      <c r="CL46">
        <f t="shared" si="601"/>
        <v>0.32424638342620221</v>
      </c>
      <c r="CM46">
        <f t="shared" si="602"/>
        <v>0.32424638342620221</v>
      </c>
      <c r="CN46">
        <f t="shared" si="603"/>
        <v>0.32424638342620221</v>
      </c>
      <c r="CO46">
        <f t="shared" si="604"/>
        <v>0.32424638342620221</v>
      </c>
      <c r="CP46">
        <f t="shared" si="605"/>
        <v>0.32424638342620221</v>
      </c>
      <c r="CQ46">
        <f t="shared" si="606"/>
        <v>0.32424638342620221</v>
      </c>
      <c r="CR46">
        <f t="shared" si="607"/>
        <v>0.32424638342620221</v>
      </c>
      <c r="CS46">
        <f t="shared" si="608"/>
        <v>0.32424638342620221</v>
      </c>
      <c r="CT46">
        <f t="shared" si="609"/>
        <v>0.32424638342620221</v>
      </c>
      <c r="CU46">
        <f t="shared" si="610"/>
        <v>0.32424638342620221</v>
      </c>
      <c r="CV46">
        <f t="shared" si="611"/>
        <v>0.32424638342620221</v>
      </c>
      <c r="CW46">
        <f t="shared" si="612"/>
        <v>0.32424638342620221</v>
      </c>
      <c r="CX46">
        <f t="shared" si="613"/>
        <v>0.32424638342620221</v>
      </c>
      <c r="CY46">
        <f t="shared" si="614"/>
        <v>0.32424638342620221</v>
      </c>
      <c r="CZ46">
        <f t="shared" si="615"/>
        <v>0.32424638342620221</v>
      </c>
      <c r="DA46">
        <f t="shared" si="616"/>
        <v>0.32424638342620221</v>
      </c>
      <c r="DB46">
        <f t="shared" si="617"/>
        <v>0.32424638342620221</v>
      </c>
      <c r="DC46">
        <f t="shared" si="618"/>
        <v>0.32424638342620221</v>
      </c>
      <c r="DD46">
        <f t="shared" si="619"/>
        <v>0.32424638342620221</v>
      </c>
      <c r="DE46">
        <f t="shared" si="620"/>
        <v>0.32424638342620221</v>
      </c>
      <c r="DF46">
        <f t="shared" si="621"/>
        <v>0.32424638342620221</v>
      </c>
      <c r="DG46">
        <f t="shared" si="622"/>
        <v>0.32424638342620221</v>
      </c>
      <c r="DH46">
        <f t="shared" si="623"/>
        <v>0.32424638342620221</v>
      </c>
      <c r="DI46">
        <f t="shared" si="624"/>
        <v>0.32424638342620221</v>
      </c>
      <c r="DJ46">
        <f t="shared" si="625"/>
        <v>0.32424638342620221</v>
      </c>
      <c r="DK46">
        <f t="shared" si="626"/>
        <v>0.32424638342620221</v>
      </c>
      <c r="DL46">
        <f t="shared" si="627"/>
        <v>0.32424638342620221</v>
      </c>
      <c r="DM46">
        <f t="shared" si="628"/>
        <v>0.32424638342620221</v>
      </c>
      <c r="DN46">
        <f t="shared" si="629"/>
        <v>0.32424638342620221</v>
      </c>
      <c r="DO46">
        <f t="shared" si="630"/>
        <v>0.32424638342620221</v>
      </c>
      <c r="DP46">
        <f t="shared" si="631"/>
        <v>0.32424638342620221</v>
      </c>
      <c r="DQ46">
        <f t="shared" si="632"/>
        <v>0.32424638342620221</v>
      </c>
      <c r="DR46">
        <f t="shared" si="633"/>
        <v>0.32424638342620221</v>
      </c>
      <c r="DS46">
        <f t="shared" si="634"/>
        <v>0.32424638342620221</v>
      </c>
      <c r="DT46">
        <f t="shared" si="635"/>
        <v>0.32424638342620221</v>
      </c>
      <c r="DU46">
        <f t="shared" si="636"/>
        <v>0.32424638342620221</v>
      </c>
      <c r="DV46">
        <f t="shared" si="637"/>
        <v>0.32424638342620221</v>
      </c>
      <c r="DW46">
        <f t="shared" si="638"/>
        <v>0.32424638342620221</v>
      </c>
      <c r="DX46">
        <f t="shared" si="639"/>
        <v>0.32424638342620221</v>
      </c>
      <c r="DY46">
        <f t="shared" si="640"/>
        <v>0.32424638342620221</v>
      </c>
      <c r="DZ46">
        <f t="shared" si="641"/>
        <v>0.32424638342620221</v>
      </c>
      <c r="EA46">
        <f t="shared" si="642"/>
        <v>0.32424638342620221</v>
      </c>
      <c r="EB46">
        <f t="shared" si="643"/>
        <v>0.32424638342620221</v>
      </c>
      <c r="EC46">
        <f t="shared" si="644"/>
        <v>0.32424638342620221</v>
      </c>
      <c r="ED46">
        <f t="shared" si="645"/>
        <v>0.32424638342620221</v>
      </c>
      <c r="EE46">
        <f t="shared" si="646"/>
        <v>0.32424638342620221</v>
      </c>
      <c r="EF46">
        <f t="shared" si="647"/>
        <v>0.32424638342620221</v>
      </c>
      <c r="EG46">
        <f t="shared" si="648"/>
        <v>0.32424638342620221</v>
      </c>
      <c r="EH46">
        <f t="shared" si="649"/>
        <v>0.32424638342620221</v>
      </c>
      <c r="EI46">
        <f t="shared" si="650"/>
        <v>0.32424638342620221</v>
      </c>
      <c r="EJ46">
        <f t="shared" si="651"/>
        <v>0.32424638342620221</v>
      </c>
      <c r="EK46">
        <f t="shared" si="652"/>
        <v>0.32424638342620221</v>
      </c>
      <c r="EL46">
        <f t="shared" si="653"/>
        <v>0.32424638342620221</v>
      </c>
      <c r="EM46">
        <f t="shared" si="654"/>
        <v>0.32424638342620221</v>
      </c>
      <c r="EN46">
        <f t="shared" si="655"/>
        <v>0.32424638342620221</v>
      </c>
      <c r="EO46">
        <f t="shared" si="656"/>
        <v>0.32424638342620221</v>
      </c>
      <c r="EP46">
        <f t="shared" si="657"/>
        <v>0.32424638342620221</v>
      </c>
      <c r="EQ46">
        <f t="shared" si="658"/>
        <v>0.32424638342620221</v>
      </c>
      <c r="ER46">
        <f t="shared" si="659"/>
        <v>0.32424638342620221</v>
      </c>
      <c r="ES46">
        <f t="shared" si="660"/>
        <v>0.32424638342620221</v>
      </c>
      <c r="ET46">
        <f t="shared" si="661"/>
        <v>0.32424638342620221</v>
      </c>
      <c r="EU46">
        <f t="shared" si="662"/>
        <v>0.32424638342620221</v>
      </c>
      <c r="EV46">
        <f t="shared" si="663"/>
        <v>0.32424638342620221</v>
      </c>
      <c r="EW46">
        <f t="shared" si="664"/>
        <v>0.32424638342620221</v>
      </c>
      <c r="EX46">
        <f t="shared" si="665"/>
        <v>0.32424638342620221</v>
      </c>
      <c r="EY46">
        <f t="shared" si="666"/>
        <v>0.32424638342620221</v>
      </c>
      <c r="EZ46">
        <f t="shared" si="667"/>
        <v>0.32424638342620221</v>
      </c>
      <c r="FA46">
        <f t="shared" si="668"/>
        <v>0.32424638342620221</v>
      </c>
      <c r="FB46">
        <f t="shared" si="669"/>
        <v>0.32424638342620221</v>
      </c>
      <c r="FC46">
        <f t="shared" si="670"/>
        <v>0.32424638342620221</v>
      </c>
      <c r="FD46">
        <f t="shared" si="671"/>
        <v>0.32424638342620221</v>
      </c>
      <c r="FE46">
        <f t="shared" si="672"/>
        <v>0.32424638342620221</v>
      </c>
      <c r="FF46">
        <f t="shared" si="673"/>
        <v>0.32424638342620221</v>
      </c>
      <c r="FG46">
        <f t="shared" si="674"/>
        <v>0.32424638342620221</v>
      </c>
      <c r="FH46">
        <f t="shared" si="675"/>
        <v>0.32424638342620221</v>
      </c>
      <c r="FI46">
        <f t="shared" si="676"/>
        <v>0.32424638342620221</v>
      </c>
      <c r="FJ46">
        <f t="shared" si="677"/>
        <v>0.32424638342620221</v>
      </c>
      <c r="FK46">
        <f t="shared" si="678"/>
        <v>0.32424638342620221</v>
      </c>
      <c r="FL46">
        <f t="shared" si="679"/>
        <v>0.32424638342620221</v>
      </c>
      <c r="FM46">
        <f t="shared" si="680"/>
        <v>0.32424638342620221</v>
      </c>
      <c r="FN46">
        <f t="shared" si="681"/>
        <v>0.32424638342620221</v>
      </c>
      <c r="FO46">
        <f t="shared" si="682"/>
        <v>0.32424638342620221</v>
      </c>
      <c r="FP46">
        <f t="shared" si="683"/>
        <v>0.32424638342620221</v>
      </c>
      <c r="FQ46">
        <f t="shared" si="684"/>
        <v>0.32424638342620221</v>
      </c>
      <c r="FR46">
        <f t="shared" si="685"/>
        <v>0.32424638342620221</v>
      </c>
      <c r="FS46">
        <f t="shared" si="686"/>
        <v>0.32424638342620221</v>
      </c>
      <c r="FT46">
        <f t="shared" si="687"/>
        <v>0.32424638342620221</v>
      </c>
      <c r="FU46">
        <f t="shared" si="688"/>
        <v>0.32424638342620221</v>
      </c>
      <c r="FV46">
        <f t="shared" si="689"/>
        <v>0.32424638342620221</v>
      </c>
      <c r="FW46">
        <f t="shared" si="690"/>
        <v>0.32424638342620221</v>
      </c>
      <c r="FX46">
        <f t="shared" si="691"/>
        <v>0.32424638342620221</v>
      </c>
      <c r="FY46">
        <f t="shared" si="692"/>
        <v>0.32424638342620221</v>
      </c>
      <c r="FZ46">
        <f t="shared" si="693"/>
        <v>0.32424638342620221</v>
      </c>
      <c r="GA46">
        <f t="shared" si="694"/>
        <v>0.32424638342620221</v>
      </c>
      <c r="GB46">
        <f t="shared" si="695"/>
        <v>0.32424638342620221</v>
      </c>
      <c r="GC46">
        <f t="shared" si="696"/>
        <v>0.32424638342620221</v>
      </c>
      <c r="GD46">
        <f t="shared" si="697"/>
        <v>0.32424638342620221</v>
      </c>
      <c r="GE46">
        <f t="shared" si="698"/>
        <v>0.32424638342620221</v>
      </c>
      <c r="GF46">
        <f t="shared" si="699"/>
        <v>0.32424638342620221</v>
      </c>
      <c r="GG46">
        <f t="shared" si="700"/>
        <v>0.32424638342620221</v>
      </c>
      <c r="GH46">
        <f t="shared" si="701"/>
        <v>0.32424638342620221</v>
      </c>
      <c r="GI46">
        <f t="shared" si="702"/>
        <v>0.32424638342620221</v>
      </c>
      <c r="GJ46">
        <f t="shared" si="703"/>
        <v>0.32424638342620221</v>
      </c>
      <c r="GK46">
        <f t="shared" si="704"/>
        <v>0.32424638342620221</v>
      </c>
      <c r="GL46">
        <f t="shared" si="705"/>
        <v>0.32424638342620221</v>
      </c>
      <c r="GM46">
        <f t="shared" si="706"/>
        <v>0.32424638342620221</v>
      </c>
      <c r="GN46">
        <f t="shared" si="707"/>
        <v>0.32424638342620221</v>
      </c>
      <c r="GO46">
        <f t="shared" si="708"/>
        <v>0.32424638342620221</v>
      </c>
      <c r="GP46">
        <f t="shared" si="709"/>
        <v>0.32424638342620221</v>
      </c>
      <c r="GQ46">
        <f t="shared" si="710"/>
        <v>0.32424638342620221</v>
      </c>
      <c r="GR46">
        <f t="shared" si="711"/>
        <v>0.32424638342620221</v>
      </c>
      <c r="GS46">
        <f t="shared" si="712"/>
        <v>0.32424638342620221</v>
      </c>
      <c r="GT46">
        <f t="shared" si="713"/>
        <v>0.32424638342620221</v>
      </c>
      <c r="GU46">
        <f t="shared" si="714"/>
        <v>0.32424638342620221</v>
      </c>
      <c r="GV46">
        <f t="shared" si="715"/>
        <v>0.32424638342620221</v>
      </c>
      <c r="GW46">
        <f t="shared" si="716"/>
        <v>0.32424638342620221</v>
      </c>
      <c r="GX46">
        <f t="shared" si="717"/>
        <v>0.32424638342620221</v>
      </c>
      <c r="GY46">
        <f t="shared" si="718"/>
        <v>0.32424638342620221</v>
      </c>
      <c r="GZ46">
        <f t="shared" si="719"/>
        <v>0.32424638342620221</v>
      </c>
      <c r="HA46">
        <f t="shared" si="720"/>
        <v>0.32424638342620221</v>
      </c>
      <c r="HB46">
        <f t="shared" si="721"/>
        <v>0.32424638342620221</v>
      </c>
      <c r="HC46">
        <f t="shared" si="722"/>
        <v>0.32424638342620221</v>
      </c>
      <c r="HD46">
        <f t="shared" si="723"/>
        <v>0.32424638342620221</v>
      </c>
      <c r="HE46">
        <f t="shared" si="724"/>
        <v>0.32424638342620221</v>
      </c>
      <c r="HF46">
        <f t="shared" si="725"/>
        <v>0.32424638342620221</v>
      </c>
      <c r="HG46">
        <f t="shared" si="726"/>
        <v>0.32424638342620221</v>
      </c>
      <c r="HH46">
        <f t="shared" si="727"/>
        <v>0.32424638342620221</v>
      </c>
      <c r="HI46">
        <f t="shared" si="728"/>
        <v>0.32424638342620221</v>
      </c>
      <c r="HJ46">
        <f t="shared" si="729"/>
        <v>0.32424638342620221</v>
      </c>
      <c r="HK46">
        <f t="shared" si="730"/>
        <v>0.32424638342620221</v>
      </c>
      <c r="HL46">
        <f t="shared" si="731"/>
        <v>0.32424638342620221</v>
      </c>
      <c r="HM46">
        <f t="shared" si="732"/>
        <v>0.32424638342620221</v>
      </c>
      <c r="HN46">
        <f t="shared" si="733"/>
        <v>0.32424638342620221</v>
      </c>
      <c r="HO46">
        <f t="shared" si="734"/>
        <v>0.32424638342620221</v>
      </c>
      <c r="HP46">
        <f t="shared" si="735"/>
        <v>0.32424638342620221</v>
      </c>
      <c r="HQ46">
        <f t="shared" si="736"/>
        <v>0.32424638342620221</v>
      </c>
      <c r="HR46">
        <f t="shared" si="737"/>
        <v>0.32424638342620221</v>
      </c>
      <c r="HS46">
        <f t="shared" si="738"/>
        <v>0.32424638342620221</v>
      </c>
      <c r="HT46">
        <f t="shared" si="739"/>
        <v>0.32424638342620221</v>
      </c>
      <c r="HU46">
        <f t="shared" si="740"/>
        <v>0.32424638342620221</v>
      </c>
      <c r="HV46">
        <f t="shared" si="741"/>
        <v>0.32424638342620221</v>
      </c>
      <c r="HW46">
        <f t="shared" si="742"/>
        <v>0.32424638342620221</v>
      </c>
      <c r="HX46">
        <f t="shared" si="743"/>
        <v>0.32424638342620221</v>
      </c>
      <c r="HY46">
        <f t="shared" si="744"/>
        <v>0.32424638342620221</v>
      </c>
      <c r="HZ46">
        <f t="shared" si="745"/>
        <v>0.32424638342620221</v>
      </c>
      <c r="IA46">
        <f t="shared" si="746"/>
        <v>0.32424638342620221</v>
      </c>
      <c r="IB46">
        <f t="shared" si="747"/>
        <v>0.32424638342620221</v>
      </c>
      <c r="IC46">
        <f t="shared" si="748"/>
        <v>0.32424638342620221</v>
      </c>
      <c r="ID46">
        <f t="shared" si="749"/>
        <v>0.32424638342620221</v>
      </c>
      <c r="IE46">
        <f t="shared" si="750"/>
        <v>0.32424638342620221</v>
      </c>
      <c r="IF46">
        <f t="shared" si="751"/>
        <v>0.32424638342620221</v>
      </c>
      <c r="IG46">
        <f t="shared" si="752"/>
        <v>0.32424638342620221</v>
      </c>
      <c r="IH46">
        <f t="shared" si="753"/>
        <v>0.32424638342620221</v>
      </c>
      <c r="II46">
        <f t="shared" si="754"/>
        <v>0.32424638342620221</v>
      </c>
      <c r="IJ46">
        <f t="shared" si="755"/>
        <v>0.32424638342620221</v>
      </c>
      <c r="IK46">
        <f t="shared" si="756"/>
        <v>0.32424638342620221</v>
      </c>
      <c r="IL46">
        <f t="shared" si="757"/>
        <v>0.32424638342620221</v>
      </c>
      <c r="IM46">
        <f t="shared" si="758"/>
        <v>0.32424638342620221</v>
      </c>
      <c r="IN46">
        <f t="shared" si="759"/>
        <v>0.32424638342620221</v>
      </c>
      <c r="IO46">
        <f t="shared" si="760"/>
        <v>0.32424638342620221</v>
      </c>
      <c r="IP46">
        <f t="shared" si="761"/>
        <v>0.32424638342620221</v>
      </c>
      <c r="IQ46">
        <f t="shared" si="762"/>
        <v>0.32424638342620221</v>
      </c>
      <c r="IR46">
        <f t="shared" si="763"/>
        <v>0.32424638342620221</v>
      </c>
      <c r="IS46">
        <f t="shared" si="764"/>
        <v>0.32424638342620221</v>
      </c>
      <c r="IT46">
        <f t="shared" si="765"/>
        <v>0.32424638342620221</v>
      </c>
      <c r="IU46">
        <f t="shared" si="766"/>
        <v>0.32424638342620221</v>
      </c>
      <c r="IV46">
        <f t="shared" si="767"/>
        <v>0.32424638342620221</v>
      </c>
    </row>
    <row r="47" spans="1:256" x14ac:dyDescent="0.2">
      <c r="A47" t="s">
        <v>518</v>
      </c>
      <c r="B47">
        <f t="shared" si="513"/>
        <v>2</v>
      </c>
      <c r="C47">
        <f t="shared" si="514"/>
        <v>2</v>
      </c>
      <c r="D47">
        <f t="shared" si="515"/>
        <v>2</v>
      </c>
      <c r="E47">
        <f t="shared" si="516"/>
        <v>2</v>
      </c>
      <c r="F47">
        <f t="shared" si="517"/>
        <v>2</v>
      </c>
      <c r="G47">
        <f t="shared" si="518"/>
        <v>2</v>
      </c>
      <c r="H47">
        <f t="shared" si="519"/>
        <v>2</v>
      </c>
      <c r="I47">
        <f t="shared" si="520"/>
        <v>2</v>
      </c>
      <c r="J47">
        <f t="shared" si="521"/>
        <v>0.2</v>
      </c>
      <c r="K47">
        <f t="shared" si="522"/>
        <v>0.2</v>
      </c>
      <c r="L47">
        <f t="shared" si="523"/>
        <v>0.2</v>
      </c>
      <c r="M47">
        <f t="shared" si="524"/>
        <v>0.2</v>
      </c>
      <c r="N47">
        <f t="shared" si="525"/>
        <v>0.2</v>
      </c>
      <c r="O47">
        <f t="shared" si="526"/>
        <v>0.2</v>
      </c>
      <c r="P47">
        <f t="shared" si="527"/>
        <v>0.2</v>
      </c>
      <c r="Q47">
        <f t="shared" si="528"/>
        <v>0.2</v>
      </c>
      <c r="R47">
        <f t="shared" si="529"/>
        <v>0.1</v>
      </c>
      <c r="S47">
        <f t="shared" si="530"/>
        <v>0.1</v>
      </c>
      <c r="T47">
        <f t="shared" si="531"/>
        <v>0.1</v>
      </c>
      <c r="U47">
        <f t="shared" si="532"/>
        <v>0.1</v>
      </c>
      <c r="V47">
        <f t="shared" si="533"/>
        <v>0.1</v>
      </c>
      <c r="W47">
        <f t="shared" si="534"/>
        <v>0.1</v>
      </c>
      <c r="X47">
        <f t="shared" si="535"/>
        <v>0.1</v>
      </c>
      <c r="Y47">
        <f t="shared" si="536"/>
        <v>0.1</v>
      </c>
      <c r="Z47">
        <f t="shared" si="537"/>
        <v>0.1</v>
      </c>
      <c r="AA47">
        <f t="shared" si="538"/>
        <v>0.1</v>
      </c>
      <c r="AB47">
        <f t="shared" si="539"/>
        <v>0.1</v>
      </c>
      <c r="AC47">
        <f t="shared" si="540"/>
        <v>0.1</v>
      </c>
      <c r="AD47">
        <f t="shared" si="541"/>
        <v>0.1</v>
      </c>
      <c r="AE47">
        <f t="shared" si="542"/>
        <v>0.1</v>
      </c>
      <c r="AF47">
        <f t="shared" si="543"/>
        <v>0.1</v>
      </c>
      <c r="AG47">
        <f t="shared" si="544"/>
        <v>0.1</v>
      </c>
      <c r="AH47">
        <f t="shared" si="545"/>
        <v>0.34302524566650389</v>
      </c>
      <c r="AI47">
        <f t="shared" si="546"/>
        <v>0.34302524566650389</v>
      </c>
      <c r="AJ47">
        <f t="shared" si="547"/>
        <v>0.34302524566650389</v>
      </c>
      <c r="AK47">
        <f t="shared" si="548"/>
        <v>0.34302524566650389</v>
      </c>
      <c r="AL47">
        <f t="shared" si="549"/>
        <v>0.34302524566650389</v>
      </c>
      <c r="AM47">
        <f t="shared" si="550"/>
        <v>0.34302524566650389</v>
      </c>
      <c r="AN47">
        <f t="shared" si="551"/>
        <v>0.34302524566650389</v>
      </c>
      <c r="AO47">
        <f t="shared" si="552"/>
        <v>0.34302524566650389</v>
      </c>
      <c r="AP47">
        <f t="shared" si="553"/>
        <v>0.1</v>
      </c>
      <c r="AQ47">
        <f t="shared" si="554"/>
        <v>0.1</v>
      </c>
      <c r="AR47">
        <f t="shared" si="555"/>
        <v>0.1</v>
      </c>
      <c r="AS47">
        <f t="shared" si="556"/>
        <v>0.1</v>
      </c>
      <c r="AT47">
        <f t="shared" si="557"/>
        <v>0.1</v>
      </c>
      <c r="AU47">
        <f t="shared" si="558"/>
        <v>0.1</v>
      </c>
      <c r="AV47">
        <f t="shared" si="559"/>
        <v>0.1</v>
      </c>
      <c r="AW47">
        <f t="shared" si="560"/>
        <v>0.1</v>
      </c>
      <c r="AX47">
        <f t="shared" si="561"/>
        <v>0.1</v>
      </c>
      <c r="AY47">
        <f t="shared" si="562"/>
        <v>0.1</v>
      </c>
      <c r="AZ47">
        <f t="shared" si="563"/>
        <v>0.1</v>
      </c>
      <c r="BA47">
        <f t="shared" si="564"/>
        <v>0.1</v>
      </c>
      <c r="BB47">
        <f t="shared" si="565"/>
        <v>0.1</v>
      </c>
      <c r="BC47">
        <f t="shared" si="566"/>
        <v>0.1</v>
      </c>
      <c r="BD47">
        <f t="shared" si="567"/>
        <v>0.1</v>
      </c>
      <c r="BE47">
        <f t="shared" si="568"/>
        <v>0.1</v>
      </c>
      <c r="BF47">
        <f t="shared" si="569"/>
        <v>0.1</v>
      </c>
      <c r="BG47">
        <f t="shared" si="570"/>
        <v>0.1</v>
      </c>
      <c r="BH47">
        <f t="shared" si="571"/>
        <v>0.1</v>
      </c>
      <c r="BI47">
        <f t="shared" si="572"/>
        <v>0.1</v>
      </c>
      <c r="BJ47">
        <f t="shared" si="573"/>
        <v>0.1</v>
      </c>
      <c r="BK47">
        <f t="shared" si="574"/>
        <v>0.1</v>
      </c>
      <c r="BL47">
        <f t="shared" si="575"/>
        <v>0.1</v>
      </c>
      <c r="BM47">
        <f t="shared" si="576"/>
        <v>0.1</v>
      </c>
      <c r="BN47">
        <f t="shared" si="577"/>
        <v>0.1</v>
      </c>
      <c r="BO47">
        <f t="shared" si="578"/>
        <v>0.1</v>
      </c>
      <c r="BP47">
        <f t="shared" si="579"/>
        <v>0.1</v>
      </c>
      <c r="BQ47">
        <f t="shared" si="580"/>
        <v>0.1</v>
      </c>
      <c r="BR47">
        <f t="shared" si="581"/>
        <v>0.1</v>
      </c>
      <c r="BS47">
        <f t="shared" si="582"/>
        <v>0.1</v>
      </c>
      <c r="BT47">
        <f t="shared" si="583"/>
        <v>0.1</v>
      </c>
      <c r="BU47">
        <f t="shared" si="584"/>
        <v>0.1</v>
      </c>
      <c r="BV47">
        <f t="shared" si="585"/>
        <v>0.1</v>
      </c>
      <c r="BW47">
        <f t="shared" si="586"/>
        <v>0.1</v>
      </c>
      <c r="BX47">
        <f t="shared" si="587"/>
        <v>0.1</v>
      </c>
      <c r="BY47">
        <f t="shared" si="588"/>
        <v>0.1</v>
      </c>
      <c r="BZ47">
        <f t="shared" si="589"/>
        <v>0.1</v>
      </c>
      <c r="CA47">
        <f t="shared" si="590"/>
        <v>0.1</v>
      </c>
      <c r="CB47">
        <f t="shared" si="591"/>
        <v>0.1</v>
      </c>
      <c r="CC47">
        <f t="shared" si="592"/>
        <v>0.1</v>
      </c>
      <c r="CD47">
        <f t="shared" si="593"/>
        <v>0.1</v>
      </c>
      <c r="CE47">
        <f t="shared" si="594"/>
        <v>0.1</v>
      </c>
      <c r="CF47">
        <f t="shared" si="595"/>
        <v>0.1</v>
      </c>
      <c r="CG47">
        <f t="shared" si="596"/>
        <v>0.1</v>
      </c>
      <c r="CH47">
        <f t="shared" si="597"/>
        <v>0.1</v>
      </c>
      <c r="CI47">
        <f t="shared" si="598"/>
        <v>0.1</v>
      </c>
      <c r="CJ47">
        <f t="shared" si="599"/>
        <v>0.1</v>
      </c>
      <c r="CK47">
        <f t="shared" si="600"/>
        <v>0.1</v>
      </c>
      <c r="CL47">
        <f t="shared" si="601"/>
        <v>0.1</v>
      </c>
      <c r="CM47">
        <f t="shared" si="602"/>
        <v>0.1</v>
      </c>
      <c r="CN47">
        <f t="shared" si="603"/>
        <v>0.1</v>
      </c>
      <c r="CO47">
        <f t="shared" si="604"/>
        <v>0.1</v>
      </c>
      <c r="CP47">
        <f t="shared" si="605"/>
        <v>0.1</v>
      </c>
      <c r="CQ47">
        <f t="shared" si="606"/>
        <v>0.1</v>
      </c>
      <c r="CR47">
        <f t="shared" si="607"/>
        <v>0.1</v>
      </c>
      <c r="CS47">
        <f t="shared" si="608"/>
        <v>0.1</v>
      </c>
      <c r="CT47">
        <f t="shared" si="609"/>
        <v>0.1</v>
      </c>
      <c r="CU47">
        <f t="shared" si="610"/>
        <v>0.1</v>
      </c>
      <c r="CV47">
        <f t="shared" si="611"/>
        <v>0.1</v>
      </c>
      <c r="CW47">
        <f t="shared" si="612"/>
        <v>0.1</v>
      </c>
      <c r="CX47">
        <f t="shared" si="613"/>
        <v>0.1</v>
      </c>
      <c r="CY47">
        <f t="shared" si="614"/>
        <v>0.1</v>
      </c>
      <c r="CZ47">
        <f t="shared" si="615"/>
        <v>0.1</v>
      </c>
      <c r="DA47">
        <f t="shared" si="616"/>
        <v>0.1</v>
      </c>
      <c r="DB47">
        <f t="shared" si="617"/>
        <v>0.1</v>
      </c>
      <c r="DC47">
        <f t="shared" si="618"/>
        <v>0.1</v>
      </c>
      <c r="DD47">
        <f t="shared" si="619"/>
        <v>0.1</v>
      </c>
      <c r="DE47">
        <f t="shared" si="620"/>
        <v>0.1</v>
      </c>
      <c r="DF47">
        <f t="shared" si="621"/>
        <v>0.1</v>
      </c>
      <c r="DG47">
        <f t="shared" si="622"/>
        <v>0.1</v>
      </c>
      <c r="DH47">
        <f t="shared" si="623"/>
        <v>0.1</v>
      </c>
      <c r="DI47">
        <f t="shared" si="624"/>
        <v>0.1</v>
      </c>
      <c r="DJ47">
        <f t="shared" si="625"/>
        <v>0.1</v>
      </c>
      <c r="DK47">
        <f t="shared" si="626"/>
        <v>0.1</v>
      </c>
      <c r="DL47">
        <f t="shared" si="627"/>
        <v>0.1</v>
      </c>
      <c r="DM47">
        <f t="shared" si="628"/>
        <v>0.1</v>
      </c>
      <c r="DN47">
        <f t="shared" si="629"/>
        <v>0.1</v>
      </c>
      <c r="DO47">
        <f t="shared" si="630"/>
        <v>0.1</v>
      </c>
      <c r="DP47">
        <f t="shared" si="631"/>
        <v>0.1</v>
      </c>
      <c r="DQ47">
        <f t="shared" si="632"/>
        <v>0.1</v>
      </c>
      <c r="DR47">
        <f t="shared" si="633"/>
        <v>0.1</v>
      </c>
      <c r="DS47">
        <f t="shared" si="634"/>
        <v>0.1</v>
      </c>
      <c r="DT47">
        <f t="shared" si="635"/>
        <v>0.1</v>
      </c>
      <c r="DU47">
        <f t="shared" si="636"/>
        <v>0.1</v>
      </c>
      <c r="DV47">
        <f t="shared" si="637"/>
        <v>0.1</v>
      </c>
      <c r="DW47">
        <f t="shared" si="638"/>
        <v>0.1</v>
      </c>
      <c r="DX47">
        <f t="shared" si="639"/>
        <v>0.1</v>
      </c>
      <c r="DY47">
        <f t="shared" si="640"/>
        <v>0.1</v>
      </c>
      <c r="DZ47">
        <f t="shared" si="641"/>
        <v>0.1</v>
      </c>
      <c r="EA47">
        <f t="shared" si="642"/>
        <v>0.1</v>
      </c>
      <c r="EB47">
        <f t="shared" si="643"/>
        <v>0.1</v>
      </c>
      <c r="EC47">
        <f t="shared" si="644"/>
        <v>0.1</v>
      </c>
      <c r="ED47">
        <f t="shared" si="645"/>
        <v>0.1</v>
      </c>
      <c r="EE47">
        <f t="shared" si="646"/>
        <v>0.1</v>
      </c>
      <c r="EF47">
        <f t="shared" si="647"/>
        <v>0.1</v>
      </c>
      <c r="EG47">
        <f t="shared" si="648"/>
        <v>0.1</v>
      </c>
      <c r="EH47">
        <f t="shared" si="649"/>
        <v>0.1</v>
      </c>
      <c r="EI47">
        <f t="shared" si="650"/>
        <v>0.1</v>
      </c>
      <c r="EJ47">
        <f t="shared" si="651"/>
        <v>0.1</v>
      </c>
      <c r="EK47">
        <f t="shared" si="652"/>
        <v>0.1</v>
      </c>
      <c r="EL47">
        <f t="shared" si="653"/>
        <v>0.1</v>
      </c>
      <c r="EM47">
        <f t="shared" si="654"/>
        <v>0.1</v>
      </c>
      <c r="EN47">
        <f t="shared" si="655"/>
        <v>0.1</v>
      </c>
      <c r="EO47">
        <f t="shared" si="656"/>
        <v>0.1</v>
      </c>
      <c r="EP47">
        <f t="shared" si="657"/>
        <v>0.1</v>
      </c>
      <c r="EQ47">
        <f t="shared" si="658"/>
        <v>0.1</v>
      </c>
      <c r="ER47">
        <f t="shared" si="659"/>
        <v>0.1</v>
      </c>
      <c r="ES47">
        <f t="shared" si="660"/>
        <v>0.1</v>
      </c>
      <c r="ET47">
        <f t="shared" si="661"/>
        <v>0.1</v>
      </c>
      <c r="EU47">
        <f t="shared" si="662"/>
        <v>0.1</v>
      </c>
      <c r="EV47">
        <f t="shared" si="663"/>
        <v>0.1</v>
      </c>
      <c r="EW47">
        <f t="shared" si="664"/>
        <v>0.1</v>
      </c>
      <c r="EX47">
        <f t="shared" si="665"/>
        <v>0.1</v>
      </c>
      <c r="EY47">
        <f t="shared" si="666"/>
        <v>0.1</v>
      </c>
      <c r="EZ47">
        <f t="shared" si="667"/>
        <v>0.1</v>
      </c>
      <c r="FA47">
        <f t="shared" si="668"/>
        <v>0.1</v>
      </c>
      <c r="FB47">
        <f t="shared" si="669"/>
        <v>0.1</v>
      </c>
      <c r="FC47">
        <f t="shared" si="670"/>
        <v>0.1</v>
      </c>
      <c r="FD47">
        <f t="shared" si="671"/>
        <v>0.1</v>
      </c>
      <c r="FE47">
        <f t="shared" si="672"/>
        <v>0.1</v>
      </c>
      <c r="FF47">
        <f t="shared" si="673"/>
        <v>0.1</v>
      </c>
      <c r="FG47">
        <f t="shared" si="674"/>
        <v>0.1</v>
      </c>
      <c r="FH47">
        <f t="shared" si="675"/>
        <v>0.1</v>
      </c>
      <c r="FI47">
        <f t="shared" si="676"/>
        <v>0.1</v>
      </c>
      <c r="FJ47">
        <f t="shared" si="677"/>
        <v>0.1</v>
      </c>
      <c r="FK47">
        <f t="shared" si="678"/>
        <v>0.1</v>
      </c>
      <c r="FL47">
        <f t="shared" si="679"/>
        <v>0.1</v>
      </c>
      <c r="FM47">
        <f t="shared" si="680"/>
        <v>0.1</v>
      </c>
      <c r="FN47">
        <f t="shared" si="681"/>
        <v>0.1</v>
      </c>
      <c r="FO47">
        <f t="shared" si="682"/>
        <v>0.1</v>
      </c>
      <c r="FP47">
        <f t="shared" si="683"/>
        <v>0.1</v>
      </c>
      <c r="FQ47">
        <f t="shared" si="684"/>
        <v>0.1</v>
      </c>
      <c r="FR47">
        <f t="shared" si="685"/>
        <v>0.1</v>
      </c>
      <c r="FS47">
        <f t="shared" si="686"/>
        <v>0.1</v>
      </c>
      <c r="FT47">
        <f t="shared" si="687"/>
        <v>0.1</v>
      </c>
      <c r="FU47">
        <f t="shared" si="688"/>
        <v>0.1</v>
      </c>
      <c r="FV47">
        <f t="shared" si="689"/>
        <v>0.1</v>
      </c>
      <c r="FW47">
        <f t="shared" si="690"/>
        <v>0.1</v>
      </c>
      <c r="FX47">
        <f t="shared" si="691"/>
        <v>0.1</v>
      </c>
      <c r="FY47">
        <f t="shared" si="692"/>
        <v>0.1</v>
      </c>
      <c r="FZ47">
        <f t="shared" si="693"/>
        <v>0.1</v>
      </c>
      <c r="GA47">
        <f t="shared" si="694"/>
        <v>0.1</v>
      </c>
      <c r="GB47">
        <f t="shared" si="695"/>
        <v>0.1</v>
      </c>
      <c r="GC47">
        <f t="shared" si="696"/>
        <v>0.1</v>
      </c>
      <c r="GD47">
        <f t="shared" si="697"/>
        <v>0.1</v>
      </c>
      <c r="GE47">
        <f t="shared" si="698"/>
        <v>0.1</v>
      </c>
      <c r="GF47">
        <f t="shared" si="699"/>
        <v>0.1</v>
      </c>
      <c r="GG47">
        <f t="shared" si="700"/>
        <v>0.1</v>
      </c>
      <c r="GH47">
        <f t="shared" si="701"/>
        <v>0.1</v>
      </c>
      <c r="GI47">
        <f t="shared" si="702"/>
        <v>0.1</v>
      </c>
      <c r="GJ47">
        <f t="shared" si="703"/>
        <v>0.1</v>
      </c>
      <c r="GK47">
        <f t="shared" si="704"/>
        <v>0.1</v>
      </c>
      <c r="GL47">
        <f t="shared" si="705"/>
        <v>0.1</v>
      </c>
      <c r="GM47">
        <f t="shared" si="706"/>
        <v>0.1</v>
      </c>
      <c r="GN47">
        <f t="shared" si="707"/>
        <v>0.1</v>
      </c>
      <c r="GO47">
        <f t="shared" si="708"/>
        <v>0.1</v>
      </c>
      <c r="GP47">
        <f t="shared" si="709"/>
        <v>0.1</v>
      </c>
      <c r="GQ47">
        <f t="shared" si="710"/>
        <v>0.1</v>
      </c>
      <c r="GR47">
        <f t="shared" si="711"/>
        <v>0.1</v>
      </c>
      <c r="GS47">
        <f t="shared" si="712"/>
        <v>0.1</v>
      </c>
      <c r="GT47">
        <f t="shared" si="713"/>
        <v>0.1</v>
      </c>
      <c r="GU47">
        <f t="shared" si="714"/>
        <v>0.1</v>
      </c>
      <c r="GV47">
        <f t="shared" si="715"/>
        <v>0.1</v>
      </c>
      <c r="GW47">
        <f t="shared" si="716"/>
        <v>0.1</v>
      </c>
      <c r="GX47">
        <f t="shared" si="717"/>
        <v>0.1</v>
      </c>
      <c r="GY47">
        <f t="shared" si="718"/>
        <v>0.1</v>
      </c>
      <c r="GZ47">
        <f t="shared" si="719"/>
        <v>0.1</v>
      </c>
      <c r="HA47">
        <f t="shared" si="720"/>
        <v>0.1</v>
      </c>
      <c r="HB47">
        <f t="shared" si="721"/>
        <v>0.1</v>
      </c>
      <c r="HC47">
        <f t="shared" si="722"/>
        <v>0.1</v>
      </c>
      <c r="HD47">
        <f t="shared" si="723"/>
        <v>0.1</v>
      </c>
      <c r="HE47">
        <f t="shared" si="724"/>
        <v>0.1</v>
      </c>
      <c r="HF47">
        <f t="shared" si="725"/>
        <v>0.1</v>
      </c>
      <c r="HG47">
        <f t="shared" si="726"/>
        <v>0.1</v>
      </c>
      <c r="HH47">
        <f t="shared" si="727"/>
        <v>0.1</v>
      </c>
      <c r="HI47">
        <f t="shared" si="728"/>
        <v>0.1</v>
      </c>
      <c r="HJ47">
        <f t="shared" si="729"/>
        <v>0.1</v>
      </c>
      <c r="HK47">
        <f t="shared" si="730"/>
        <v>0.1</v>
      </c>
      <c r="HL47">
        <f t="shared" si="731"/>
        <v>0.1</v>
      </c>
      <c r="HM47">
        <f t="shared" si="732"/>
        <v>0.1</v>
      </c>
      <c r="HN47">
        <f t="shared" si="733"/>
        <v>0.1</v>
      </c>
      <c r="HO47">
        <f t="shared" si="734"/>
        <v>0.1</v>
      </c>
      <c r="HP47">
        <f t="shared" si="735"/>
        <v>0.1</v>
      </c>
      <c r="HQ47">
        <f t="shared" si="736"/>
        <v>0.1</v>
      </c>
      <c r="HR47">
        <f t="shared" si="737"/>
        <v>0.1</v>
      </c>
      <c r="HS47">
        <f t="shared" si="738"/>
        <v>0.1</v>
      </c>
      <c r="HT47">
        <f t="shared" si="739"/>
        <v>0.1</v>
      </c>
      <c r="HU47">
        <f t="shared" si="740"/>
        <v>0.1</v>
      </c>
      <c r="HV47">
        <f t="shared" si="741"/>
        <v>0.1</v>
      </c>
      <c r="HW47">
        <f t="shared" si="742"/>
        <v>0.1</v>
      </c>
      <c r="HX47">
        <f t="shared" si="743"/>
        <v>0.1</v>
      </c>
      <c r="HY47">
        <f t="shared" si="744"/>
        <v>0.1</v>
      </c>
      <c r="HZ47">
        <f t="shared" si="745"/>
        <v>0.1</v>
      </c>
      <c r="IA47">
        <f t="shared" si="746"/>
        <v>0.1</v>
      </c>
      <c r="IB47">
        <f t="shared" si="747"/>
        <v>0.1</v>
      </c>
      <c r="IC47">
        <f t="shared" si="748"/>
        <v>0.1</v>
      </c>
      <c r="ID47">
        <f t="shared" si="749"/>
        <v>0.1</v>
      </c>
      <c r="IE47">
        <f t="shared" si="750"/>
        <v>0.1</v>
      </c>
      <c r="IF47">
        <f t="shared" si="751"/>
        <v>0.1</v>
      </c>
      <c r="IG47">
        <f t="shared" si="752"/>
        <v>0.1</v>
      </c>
      <c r="IH47">
        <f t="shared" si="753"/>
        <v>0.1</v>
      </c>
      <c r="II47">
        <f t="shared" si="754"/>
        <v>0.1</v>
      </c>
      <c r="IJ47">
        <f t="shared" si="755"/>
        <v>0.1</v>
      </c>
      <c r="IK47">
        <f t="shared" si="756"/>
        <v>0.1</v>
      </c>
      <c r="IL47">
        <f t="shared" si="757"/>
        <v>0.1</v>
      </c>
      <c r="IM47">
        <f t="shared" si="758"/>
        <v>0.1</v>
      </c>
      <c r="IN47">
        <f t="shared" si="759"/>
        <v>0.1</v>
      </c>
      <c r="IO47">
        <f t="shared" si="760"/>
        <v>0.1</v>
      </c>
      <c r="IP47">
        <f t="shared" si="761"/>
        <v>0.1</v>
      </c>
      <c r="IQ47">
        <f t="shared" si="762"/>
        <v>0.1</v>
      </c>
      <c r="IR47">
        <f t="shared" si="763"/>
        <v>0.1</v>
      </c>
      <c r="IS47">
        <f t="shared" si="764"/>
        <v>0.1</v>
      </c>
      <c r="IT47">
        <f t="shared" si="765"/>
        <v>0.1</v>
      </c>
      <c r="IU47">
        <f t="shared" si="766"/>
        <v>0.1</v>
      </c>
      <c r="IV47">
        <f t="shared" si="767"/>
        <v>0.1</v>
      </c>
    </row>
    <row r="48" spans="1:256" x14ac:dyDescent="0.2">
      <c r="A48" t="s">
        <v>519</v>
      </c>
      <c r="B48">
        <f t="shared" si="513"/>
        <v>0.789254583573752</v>
      </c>
      <c r="C48">
        <f t="shared" si="514"/>
        <v>0.789254583573752</v>
      </c>
      <c r="D48">
        <f t="shared" si="515"/>
        <v>0.789254583573752</v>
      </c>
      <c r="E48">
        <f t="shared" si="516"/>
        <v>0.789254583573752</v>
      </c>
      <c r="F48">
        <f t="shared" si="517"/>
        <v>0.789254583573752</v>
      </c>
      <c r="G48">
        <f t="shared" si="518"/>
        <v>0.789254583573752</v>
      </c>
      <c r="H48">
        <f t="shared" si="519"/>
        <v>0.789254583573752</v>
      </c>
      <c r="I48">
        <f t="shared" si="520"/>
        <v>0.789254583573752</v>
      </c>
      <c r="J48">
        <f t="shared" si="521"/>
        <v>1.28571893731135</v>
      </c>
      <c r="K48">
        <f t="shared" si="522"/>
        <v>1.28571893731135</v>
      </c>
      <c r="L48">
        <f t="shared" si="523"/>
        <v>1.28571893731135</v>
      </c>
      <c r="M48">
        <f t="shared" si="524"/>
        <v>1.28571893731135</v>
      </c>
      <c r="N48">
        <f t="shared" si="525"/>
        <v>1.28571893731135</v>
      </c>
      <c r="O48">
        <f t="shared" si="526"/>
        <v>1.28571893731135</v>
      </c>
      <c r="P48">
        <f t="shared" si="527"/>
        <v>1.28571893731135</v>
      </c>
      <c r="Q48">
        <f t="shared" si="528"/>
        <v>1.28571893731135</v>
      </c>
      <c r="R48">
        <f t="shared" si="529"/>
        <v>1.1013679470973989</v>
      </c>
      <c r="S48">
        <f t="shared" si="530"/>
        <v>1.1013679470973989</v>
      </c>
      <c r="T48">
        <f t="shared" si="531"/>
        <v>1.1013679470973989</v>
      </c>
      <c r="U48">
        <f t="shared" si="532"/>
        <v>1.1013679470973989</v>
      </c>
      <c r="V48">
        <f t="shared" si="533"/>
        <v>1.1013679470973989</v>
      </c>
      <c r="W48">
        <f t="shared" si="534"/>
        <v>1.1013679470973989</v>
      </c>
      <c r="X48">
        <f t="shared" si="535"/>
        <v>1.1013679470973989</v>
      </c>
      <c r="Y48">
        <f t="shared" si="536"/>
        <v>1.1013679470973989</v>
      </c>
      <c r="Z48">
        <f t="shared" si="537"/>
        <v>1.3525884045854113</v>
      </c>
      <c r="AA48">
        <f t="shared" si="538"/>
        <v>1.3525884045854113</v>
      </c>
      <c r="AB48">
        <f t="shared" si="539"/>
        <v>1.3525884045854113</v>
      </c>
      <c r="AC48">
        <f t="shared" si="540"/>
        <v>1.3525884045854113</v>
      </c>
      <c r="AD48">
        <f t="shared" si="541"/>
        <v>1.3525884045854113</v>
      </c>
      <c r="AE48">
        <f t="shared" si="542"/>
        <v>1.3525884045854113</v>
      </c>
      <c r="AF48">
        <f t="shared" si="543"/>
        <v>1.3525884045854113</v>
      </c>
      <c r="AG48">
        <f t="shared" si="544"/>
        <v>1.3525884045854113</v>
      </c>
      <c r="AH48">
        <f t="shared" si="545"/>
        <v>0.81556205749511723</v>
      </c>
      <c r="AI48">
        <f t="shared" si="546"/>
        <v>0.81556205749511723</v>
      </c>
      <c r="AJ48">
        <f t="shared" si="547"/>
        <v>0.81556205749511723</v>
      </c>
      <c r="AK48">
        <f t="shared" si="548"/>
        <v>0.81556205749511723</v>
      </c>
      <c r="AL48">
        <f t="shared" si="549"/>
        <v>0.81556205749511723</v>
      </c>
      <c r="AM48">
        <f t="shared" si="550"/>
        <v>0.81556205749511723</v>
      </c>
      <c r="AN48">
        <f t="shared" si="551"/>
        <v>0.81556205749511723</v>
      </c>
      <c r="AO48">
        <f t="shared" si="552"/>
        <v>0.81556205749511723</v>
      </c>
      <c r="AP48">
        <f t="shared" si="553"/>
        <v>1.6311241149902345</v>
      </c>
      <c r="AQ48">
        <f t="shared" si="554"/>
        <v>1.6311241149902345</v>
      </c>
      <c r="AR48">
        <f t="shared" si="555"/>
        <v>1.6311241149902345</v>
      </c>
      <c r="AS48">
        <f t="shared" si="556"/>
        <v>1.6311241149902345</v>
      </c>
      <c r="AT48">
        <f t="shared" si="557"/>
        <v>1.6311241149902345</v>
      </c>
      <c r="AU48">
        <f t="shared" si="558"/>
        <v>1.6311241149902345</v>
      </c>
      <c r="AV48">
        <f t="shared" si="559"/>
        <v>1.6311241149902345</v>
      </c>
      <c r="AW48">
        <f t="shared" si="560"/>
        <v>1.6311241149902345</v>
      </c>
      <c r="AX48">
        <f t="shared" si="561"/>
        <v>1.5413234019075928</v>
      </c>
      <c r="AY48">
        <f t="shared" si="562"/>
        <v>1.5413234019075928</v>
      </c>
      <c r="AZ48">
        <f t="shared" si="563"/>
        <v>1.5413234019075928</v>
      </c>
      <c r="BA48">
        <f t="shared" si="564"/>
        <v>1.5413234019075928</v>
      </c>
      <c r="BB48">
        <f t="shared" si="565"/>
        <v>1.5413234019075928</v>
      </c>
      <c r="BC48">
        <f t="shared" si="566"/>
        <v>1.5413234019075928</v>
      </c>
      <c r="BD48">
        <f t="shared" si="567"/>
        <v>1.5413234019075928</v>
      </c>
      <c r="BE48">
        <f t="shared" si="568"/>
        <v>1.5413234019075928</v>
      </c>
      <c r="BF48">
        <f t="shared" si="569"/>
        <v>1.5413234019075928</v>
      </c>
      <c r="BG48">
        <f t="shared" si="570"/>
        <v>1.5413234019075928</v>
      </c>
      <c r="BH48">
        <f t="shared" si="571"/>
        <v>1.5413234019075928</v>
      </c>
      <c r="BI48">
        <f t="shared" si="572"/>
        <v>1.5413234019075928</v>
      </c>
      <c r="BJ48">
        <f t="shared" si="573"/>
        <v>1.5413234019075928</v>
      </c>
      <c r="BK48">
        <f t="shared" si="574"/>
        <v>1.5413234019075928</v>
      </c>
      <c r="BL48">
        <f t="shared" si="575"/>
        <v>1.5413234019075928</v>
      </c>
      <c r="BM48">
        <f t="shared" si="576"/>
        <v>1.5413234019075928</v>
      </c>
      <c r="BN48">
        <f t="shared" si="577"/>
        <v>1.5413234019075928</v>
      </c>
      <c r="BO48">
        <f t="shared" si="578"/>
        <v>1.5413234019075928</v>
      </c>
      <c r="BP48">
        <f t="shared" si="579"/>
        <v>1.5413234019075928</v>
      </c>
      <c r="BQ48">
        <f t="shared" si="580"/>
        <v>1.5413234019075928</v>
      </c>
      <c r="BR48">
        <f t="shared" si="581"/>
        <v>1.5413234019075928</v>
      </c>
      <c r="BS48">
        <f t="shared" si="582"/>
        <v>1.5413234019075928</v>
      </c>
      <c r="BT48">
        <f t="shared" si="583"/>
        <v>1.5413234019075928</v>
      </c>
      <c r="BU48">
        <f t="shared" si="584"/>
        <v>1.5413234019075928</v>
      </c>
      <c r="BV48">
        <f t="shared" si="585"/>
        <v>1.5413234019075928</v>
      </c>
      <c r="BW48">
        <f t="shared" si="586"/>
        <v>1.5413234019075928</v>
      </c>
      <c r="BX48">
        <f t="shared" si="587"/>
        <v>1.5413234019075928</v>
      </c>
      <c r="BY48">
        <f t="shared" si="588"/>
        <v>1.5413234019075928</v>
      </c>
      <c r="BZ48">
        <f t="shared" si="589"/>
        <v>1.5413234019075928</v>
      </c>
      <c r="CA48">
        <f t="shared" si="590"/>
        <v>1.5413234019075928</v>
      </c>
      <c r="CB48">
        <f t="shared" si="591"/>
        <v>1.5413234019075928</v>
      </c>
      <c r="CC48">
        <f t="shared" si="592"/>
        <v>1.5413234019075928</v>
      </c>
      <c r="CD48">
        <f t="shared" si="593"/>
        <v>1.5413234019075928</v>
      </c>
      <c r="CE48">
        <f t="shared" si="594"/>
        <v>1.5413234019075928</v>
      </c>
      <c r="CF48">
        <f t="shared" si="595"/>
        <v>1.5413234019075928</v>
      </c>
      <c r="CG48">
        <f t="shared" si="596"/>
        <v>1.5413234019075928</v>
      </c>
      <c r="CH48">
        <f t="shared" si="597"/>
        <v>1.5413234019075928</v>
      </c>
      <c r="CI48">
        <f t="shared" si="598"/>
        <v>1.5413234019075928</v>
      </c>
      <c r="CJ48">
        <f t="shared" si="599"/>
        <v>1.5413234019075928</v>
      </c>
      <c r="CK48">
        <f t="shared" si="600"/>
        <v>1.5413234019075928</v>
      </c>
      <c r="CL48">
        <f t="shared" si="601"/>
        <v>1.5413234019075928</v>
      </c>
      <c r="CM48">
        <f t="shared" si="602"/>
        <v>1.5413234019075928</v>
      </c>
      <c r="CN48">
        <f t="shared" si="603"/>
        <v>1.5413234019075928</v>
      </c>
      <c r="CO48">
        <f t="shared" si="604"/>
        <v>1.5413234019075928</v>
      </c>
      <c r="CP48">
        <f t="shared" si="605"/>
        <v>1.5413234019075928</v>
      </c>
      <c r="CQ48">
        <f t="shared" si="606"/>
        <v>1.5413234019075928</v>
      </c>
      <c r="CR48">
        <f t="shared" si="607"/>
        <v>1.5413234019075928</v>
      </c>
      <c r="CS48">
        <f t="shared" si="608"/>
        <v>1.5413234019075928</v>
      </c>
      <c r="CT48">
        <f t="shared" si="609"/>
        <v>1.5413234019075928</v>
      </c>
      <c r="CU48">
        <f t="shared" si="610"/>
        <v>1.5413234019075928</v>
      </c>
      <c r="CV48">
        <f t="shared" si="611"/>
        <v>1.5413234019075928</v>
      </c>
      <c r="CW48">
        <f t="shared" si="612"/>
        <v>1.5413234019075928</v>
      </c>
      <c r="CX48">
        <f t="shared" si="613"/>
        <v>1.5413234019075928</v>
      </c>
      <c r="CY48">
        <f t="shared" si="614"/>
        <v>1.5413234019075928</v>
      </c>
      <c r="CZ48">
        <f t="shared" si="615"/>
        <v>1.5413234019075928</v>
      </c>
      <c r="DA48">
        <f t="shared" si="616"/>
        <v>1.5413234019075928</v>
      </c>
      <c r="DB48">
        <f t="shared" si="617"/>
        <v>1.5413234019075928</v>
      </c>
      <c r="DC48">
        <f t="shared" si="618"/>
        <v>1.5413234019075928</v>
      </c>
      <c r="DD48">
        <f t="shared" si="619"/>
        <v>1.5413234019075928</v>
      </c>
      <c r="DE48">
        <f t="shared" si="620"/>
        <v>1.5413234019075928</v>
      </c>
      <c r="DF48">
        <f t="shared" si="621"/>
        <v>1.5413234019075928</v>
      </c>
      <c r="DG48">
        <f t="shared" si="622"/>
        <v>1.5413234019075928</v>
      </c>
      <c r="DH48">
        <f t="shared" si="623"/>
        <v>1.5413234019075928</v>
      </c>
      <c r="DI48">
        <f t="shared" si="624"/>
        <v>1.5413234019075928</v>
      </c>
      <c r="DJ48">
        <f t="shared" si="625"/>
        <v>1.5413234019075928</v>
      </c>
      <c r="DK48">
        <f t="shared" si="626"/>
        <v>1.5413234019075928</v>
      </c>
      <c r="DL48">
        <f t="shared" si="627"/>
        <v>1.5413234019075928</v>
      </c>
      <c r="DM48">
        <f t="shared" si="628"/>
        <v>1.5413234019075928</v>
      </c>
      <c r="DN48">
        <f t="shared" si="629"/>
        <v>1.5413234019075928</v>
      </c>
      <c r="DO48">
        <f t="shared" si="630"/>
        <v>1.5413234019075928</v>
      </c>
      <c r="DP48">
        <f t="shared" si="631"/>
        <v>1.5413234019075928</v>
      </c>
      <c r="DQ48">
        <f t="shared" si="632"/>
        <v>1.5413234019075928</v>
      </c>
      <c r="DR48">
        <f t="shared" si="633"/>
        <v>1.5413234019075928</v>
      </c>
      <c r="DS48">
        <f t="shared" si="634"/>
        <v>1.5413234019075928</v>
      </c>
      <c r="DT48">
        <f t="shared" si="635"/>
        <v>1.5413234019075928</v>
      </c>
      <c r="DU48">
        <f t="shared" si="636"/>
        <v>1.5413234019075928</v>
      </c>
      <c r="DV48">
        <f t="shared" si="637"/>
        <v>1.5413234019075928</v>
      </c>
      <c r="DW48">
        <f t="shared" si="638"/>
        <v>1.5413234019075928</v>
      </c>
      <c r="DX48">
        <f t="shared" si="639"/>
        <v>1.5413234019075928</v>
      </c>
      <c r="DY48">
        <f t="shared" si="640"/>
        <v>1.5413234019075928</v>
      </c>
      <c r="DZ48">
        <f t="shared" si="641"/>
        <v>1.5413234019075928</v>
      </c>
      <c r="EA48">
        <f t="shared" si="642"/>
        <v>1.5413234019075928</v>
      </c>
      <c r="EB48">
        <f t="shared" si="643"/>
        <v>1.5413234019075928</v>
      </c>
      <c r="EC48">
        <f t="shared" si="644"/>
        <v>1.5413234019075928</v>
      </c>
      <c r="ED48">
        <f t="shared" si="645"/>
        <v>1.5413234019075928</v>
      </c>
      <c r="EE48">
        <f t="shared" si="646"/>
        <v>1.5413234019075928</v>
      </c>
      <c r="EF48">
        <f t="shared" si="647"/>
        <v>1.5413234019075928</v>
      </c>
      <c r="EG48">
        <f t="shared" si="648"/>
        <v>1.5413234019075928</v>
      </c>
      <c r="EH48">
        <f t="shared" si="649"/>
        <v>1.5413234019075928</v>
      </c>
      <c r="EI48">
        <f t="shared" si="650"/>
        <v>1.5413234019075928</v>
      </c>
      <c r="EJ48">
        <f t="shared" si="651"/>
        <v>1.5413234019075928</v>
      </c>
      <c r="EK48">
        <f t="shared" si="652"/>
        <v>1.5413234019075928</v>
      </c>
      <c r="EL48">
        <f t="shared" si="653"/>
        <v>1.5413234019075928</v>
      </c>
      <c r="EM48">
        <f t="shared" si="654"/>
        <v>1.5413234019075928</v>
      </c>
      <c r="EN48">
        <f t="shared" si="655"/>
        <v>1.5413234019075928</v>
      </c>
      <c r="EO48">
        <f t="shared" si="656"/>
        <v>1.5413234019075928</v>
      </c>
      <c r="EP48">
        <f t="shared" si="657"/>
        <v>1.5413234019075928</v>
      </c>
      <c r="EQ48">
        <f t="shared" si="658"/>
        <v>1.5413234019075928</v>
      </c>
      <c r="ER48">
        <f t="shared" si="659"/>
        <v>1.5413234019075928</v>
      </c>
      <c r="ES48">
        <f t="shared" si="660"/>
        <v>1.5413234019075928</v>
      </c>
      <c r="ET48">
        <f t="shared" si="661"/>
        <v>1.5413234019075928</v>
      </c>
      <c r="EU48">
        <f t="shared" si="662"/>
        <v>1.5413234019075928</v>
      </c>
      <c r="EV48">
        <f t="shared" si="663"/>
        <v>1.5413234019075928</v>
      </c>
      <c r="EW48">
        <f t="shared" si="664"/>
        <v>1.5413234019075928</v>
      </c>
      <c r="EX48">
        <f t="shared" si="665"/>
        <v>1.5413234019075928</v>
      </c>
      <c r="EY48">
        <f t="shared" si="666"/>
        <v>1.5413234019075928</v>
      </c>
      <c r="EZ48">
        <f t="shared" si="667"/>
        <v>1.5413234019075928</v>
      </c>
      <c r="FA48">
        <f t="shared" si="668"/>
        <v>1.5413234019075928</v>
      </c>
      <c r="FB48">
        <f t="shared" si="669"/>
        <v>1.5413234019075928</v>
      </c>
      <c r="FC48">
        <f t="shared" si="670"/>
        <v>1.5413234019075928</v>
      </c>
      <c r="FD48">
        <f t="shared" si="671"/>
        <v>1.5413234019075928</v>
      </c>
      <c r="FE48">
        <f t="shared" si="672"/>
        <v>1.5413234019075928</v>
      </c>
      <c r="FF48">
        <f t="shared" si="673"/>
        <v>1.5413234019075928</v>
      </c>
      <c r="FG48">
        <f t="shared" si="674"/>
        <v>1.5413234019075928</v>
      </c>
      <c r="FH48">
        <f t="shared" si="675"/>
        <v>1.5413234019075928</v>
      </c>
      <c r="FI48">
        <f t="shared" si="676"/>
        <v>1.5413234019075928</v>
      </c>
      <c r="FJ48">
        <f t="shared" si="677"/>
        <v>1.5413234019075928</v>
      </c>
      <c r="FK48">
        <f t="shared" si="678"/>
        <v>1.5413234019075928</v>
      </c>
      <c r="FL48">
        <f t="shared" si="679"/>
        <v>1.5413234019075928</v>
      </c>
      <c r="FM48">
        <f t="shared" si="680"/>
        <v>1.5413234019075928</v>
      </c>
      <c r="FN48">
        <f t="shared" si="681"/>
        <v>1.5413234019075928</v>
      </c>
      <c r="FO48">
        <f t="shared" si="682"/>
        <v>1.5413234019075928</v>
      </c>
      <c r="FP48">
        <f t="shared" si="683"/>
        <v>1.5413234019075928</v>
      </c>
      <c r="FQ48">
        <f t="shared" si="684"/>
        <v>1.5413234019075928</v>
      </c>
      <c r="FR48">
        <f t="shared" si="685"/>
        <v>1.5413234019075928</v>
      </c>
      <c r="FS48">
        <f t="shared" si="686"/>
        <v>1.5413234019075928</v>
      </c>
      <c r="FT48">
        <f t="shared" si="687"/>
        <v>1.5413234019075928</v>
      </c>
      <c r="FU48">
        <f t="shared" si="688"/>
        <v>1.5413234019075928</v>
      </c>
      <c r="FV48">
        <f t="shared" si="689"/>
        <v>1.5413234019075928</v>
      </c>
      <c r="FW48">
        <f t="shared" si="690"/>
        <v>1.5413234019075928</v>
      </c>
      <c r="FX48">
        <f t="shared" si="691"/>
        <v>1.5413234019075928</v>
      </c>
      <c r="FY48">
        <f t="shared" si="692"/>
        <v>1.5413234019075928</v>
      </c>
      <c r="FZ48">
        <f t="shared" si="693"/>
        <v>1.5413234019075928</v>
      </c>
      <c r="GA48">
        <f t="shared" si="694"/>
        <v>1.5413234019075928</v>
      </c>
      <c r="GB48">
        <f t="shared" si="695"/>
        <v>1.5413234019075928</v>
      </c>
      <c r="GC48">
        <f t="shared" si="696"/>
        <v>1.5413234019075928</v>
      </c>
      <c r="GD48">
        <f t="shared" si="697"/>
        <v>1.5413234019075928</v>
      </c>
      <c r="GE48">
        <f t="shared" si="698"/>
        <v>1.5413234019075928</v>
      </c>
      <c r="GF48">
        <f t="shared" si="699"/>
        <v>1.5413234019075928</v>
      </c>
      <c r="GG48">
        <f t="shared" si="700"/>
        <v>1.5413234019075928</v>
      </c>
      <c r="GH48">
        <f t="shared" si="701"/>
        <v>1.5413234019075928</v>
      </c>
      <c r="GI48">
        <f t="shared" si="702"/>
        <v>1.5413234019075928</v>
      </c>
      <c r="GJ48">
        <f t="shared" si="703"/>
        <v>1.5413234019075928</v>
      </c>
      <c r="GK48">
        <f t="shared" si="704"/>
        <v>1.5413234019075928</v>
      </c>
      <c r="GL48">
        <f t="shared" si="705"/>
        <v>1.5413234019075928</v>
      </c>
      <c r="GM48">
        <f t="shared" si="706"/>
        <v>1.5413234019075928</v>
      </c>
      <c r="GN48">
        <f t="shared" si="707"/>
        <v>1.5413234019075928</v>
      </c>
      <c r="GO48">
        <f t="shared" si="708"/>
        <v>1.5413234019075928</v>
      </c>
      <c r="GP48">
        <f t="shared" si="709"/>
        <v>1.5413234019075928</v>
      </c>
      <c r="GQ48">
        <f t="shared" si="710"/>
        <v>1.5413234019075928</v>
      </c>
      <c r="GR48">
        <f t="shared" si="711"/>
        <v>1.5413234019075928</v>
      </c>
      <c r="GS48">
        <f t="shared" si="712"/>
        <v>1.5413234019075928</v>
      </c>
      <c r="GT48">
        <f t="shared" si="713"/>
        <v>1.5413234019075928</v>
      </c>
      <c r="GU48">
        <f t="shared" si="714"/>
        <v>1.5413234019075928</v>
      </c>
      <c r="GV48">
        <f t="shared" si="715"/>
        <v>1.5413234019075928</v>
      </c>
      <c r="GW48">
        <f t="shared" si="716"/>
        <v>1.5413234019075928</v>
      </c>
      <c r="GX48">
        <f t="shared" si="717"/>
        <v>1.5413234019075928</v>
      </c>
      <c r="GY48">
        <f t="shared" si="718"/>
        <v>1.5413234019075928</v>
      </c>
      <c r="GZ48">
        <f t="shared" si="719"/>
        <v>1.5413234019075928</v>
      </c>
      <c r="HA48">
        <f t="shared" si="720"/>
        <v>1.5413234019075928</v>
      </c>
      <c r="HB48">
        <f t="shared" si="721"/>
        <v>1.5413234019075928</v>
      </c>
      <c r="HC48">
        <f t="shared" si="722"/>
        <v>1.5413234019075928</v>
      </c>
      <c r="HD48">
        <f t="shared" si="723"/>
        <v>1.5413234019075928</v>
      </c>
      <c r="HE48">
        <f t="shared" si="724"/>
        <v>1.5413234019075928</v>
      </c>
      <c r="HF48">
        <f t="shared" si="725"/>
        <v>1.5413234019075928</v>
      </c>
      <c r="HG48">
        <f t="shared" si="726"/>
        <v>1.5413234019075928</v>
      </c>
      <c r="HH48">
        <f t="shared" si="727"/>
        <v>1.5413234019075928</v>
      </c>
      <c r="HI48">
        <f t="shared" si="728"/>
        <v>1.5413234019075928</v>
      </c>
      <c r="HJ48">
        <f t="shared" si="729"/>
        <v>1.5413234019075928</v>
      </c>
      <c r="HK48">
        <f t="shared" si="730"/>
        <v>1.5413234019075928</v>
      </c>
      <c r="HL48">
        <f t="shared" si="731"/>
        <v>1.5413234019075928</v>
      </c>
      <c r="HM48">
        <f t="shared" si="732"/>
        <v>1.5413234019075928</v>
      </c>
      <c r="HN48">
        <f t="shared" si="733"/>
        <v>1.5413234019075928</v>
      </c>
      <c r="HO48">
        <f t="shared" si="734"/>
        <v>1.5413234019075928</v>
      </c>
      <c r="HP48">
        <f t="shared" si="735"/>
        <v>1.5413234019075928</v>
      </c>
      <c r="HQ48">
        <f t="shared" si="736"/>
        <v>1.5413234019075928</v>
      </c>
      <c r="HR48">
        <f t="shared" si="737"/>
        <v>1.5413234019075928</v>
      </c>
      <c r="HS48">
        <f t="shared" si="738"/>
        <v>1.5413234019075928</v>
      </c>
      <c r="HT48">
        <f t="shared" si="739"/>
        <v>1.5413234019075928</v>
      </c>
      <c r="HU48">
        <f t="shared" si="740"/>
        <v>1.5413234019075928</v>
      </c>
      <c r="HV48">
        <f t="shared" si="741"/>
        <v>1.5413234019075928</v>
      </c>
      <c r="HW48">
        <f t="shared" si="742"/>
        <v>1.5413234019075928</v>
      </c>
      <c r="HX48">
        <f t="shared" si="743"/>
        <v>1.5413234019075928</v>
      </c>
      <c r="HY48">
        <f t="shared" si="744"/>
        <v>1.5413234019075928</v>
      </c>
      <c r="HZ48">
        <f t="shared" si="745"/>
        <v>1.5413234019075928</v>
      </c>
      <c r="IA48">
        <f t="shared" si="746"/>
        <v>1.5413234019075928</v>
      </c>
      <c r="IB48">
        <f t="shared" si="747"/>
        <v>1.5413234019075928</v>
      </c>
      <c r="IC48">
        <f t="shared" si="748"/>
        <v>1.5413234019075928</v>
      </c>
      <c r="ID48">
        <f t="shared" si="749"/>
        <v>1.5413234019075928</v>
      </c>
      <c r="IE48">
        <f t="shared" si="750"/>
        <v>1.5413234019075928</v>
      </c>
      <c r="IF48">
        <f t="shared" si="751"/>
        <v>1.5413234019075928</v>
      </c>
      <c r="IG48">
        <f t="shared" si="752"/>
        <v>1.5413234019075928</v>
      </c>
      <c r="IH48">
        <f t="shared" si="753"/>
        <v>1.5413234019075928</v>
      </c>
      <c r="II48">
        <f t="shared" si="754"/>
        <v>1.5413234019075928</v>
      </c>
      <c r="IJ48">
        <f t="shared" si="755"/>
        <v>1.5413234019075928</v>
      </c>
      <c r="IK48">
        <f t="shared" si="756"/>
        <v>1.5413234019075928</v>
      </c>
      <c r="IL48">
        <f t="shared" si="757"/>
        <v>1.5413234019075928</v>
      </c>
      <c r="IM48">
        <f t="shared" si="758"/>
        <v>1.5413234019075928</v>
      </c>
      <c r="IN48">
        <f t="shared" si="759"/>
        <v>1.5413234019075928</v>
      </c>
      <c r="IO48">
        <f t="shared" si="760"/>
        <v>1.5413234019075928</v>
      </c>
      <c r="IP48">
        <f t="shared" si="761"/>
        <v>1.5413234019075928</v>
      </c>
      <c r="IQ48">
        <f t="shared" si="762"/>
        <v>1.5413234019075928</v>
      </c>
      <c r="IR48">
        <f t="shared" si="763"/>
        <v>1.5413234019075928</v>
      </c>
      <c r="IS48">
        <f t="shared" si="764"/>
        <v>1.5413234019075928</v>
      </c>
      <c r="IT48">
        <f t="shared" si="765"/>
        <v>1.5413234019075928</v>
      </c>
      <c r="IU48">
        <f t="shared" si="766"/>
        <v>1.5413234019075928</v>
      </c>
      <c r="IV48">
        <f t="shared" si="767"/>
        <v>1.5413234019075928</v>
      </c>
    </row>
    <row r="49" spans="1:256" x14ac:dyDescent="0.2">
      <c r="A49" t="s">
        <v>520</v>
      </c>
      <c r="B49">
        <f t="shared" si="513"/>
        <v>2</v>
      </c>
      <c r="C49">
        <f t="shared" si="514"/>
        <v>2</v>
      </c>
      <c r="D49">
        <f t="shared" si="515"/>
        <v>2</v>
      </c>
      <c r="E49">
        <f t="shared" si="516"/>
        <v>2</v>
      </c>
      <c r="F49">
        <f t="shared" si="517"/>
        <v>2</v>
      </c>
      <c r="G49">
        <f t="shared" si="518"/>
        <v>2</v>
      </c>
      <c r="H49">
        <f t="shared" si="519"/>
        <v>2</v>
      </c>
      <c r="I49">
        <f t="shared" si="520"/>
        <v>2</v>
      </c>
      <c r="J49">
        <f t="shared" si="521"/>
        <v>1.0243798239481752</v>
      </c>
      <c r="K49">
        <f t="shared" si="522"/>
        <v>1.0243798239481752</v>
      </c>
      <c r="L49">
        <f t="shared" si="523"/>
        <v>1.0243798239481752</v>
      </c>
      <c r="M49">
        <f t="shared" si="524"/>
        <v>1.0243798239481752</v>
      </c>
      <c r="N49">
        <f t="shared" si="525"/>
        <v>1.0243798239481752</v>
      </c>
      <c r="O49">
        <f t="shared" si="526"/>
        <v>1.0243798239481752</v>
      </c>
      <c r="P49">
        <f t="shared" si="527"/>
        <v>1.0243798239481752</v>
      </c>
      <c r="Q49">
        <f t="shared" si="528"/>
        <v>1.0243798239481752</v>
      </c>
      <c r="R49">
        <f t="shared" si="529"/>
        <v>1.3081275084429558</v>
      </c>
      <c r="S49">
        <f t="shared" si="530"/>
        <v>1.3081275084429558</v>
      </c>
      <c r="T49">
        <f t="shared" si="531"/>
        <v>1.3081275084429558</v>
      </c>
      <c r="U49">
        <f t="shared" si="532"/>
        <v>1.3081275084429558</v>
      </c>
      <c r="V49">
        <f t="shared" si="533"/>
        <v>1.3081275084429558</v>
      </c>
      <c r="W49">
        <f t="shared" si="534"/>
        <v>1.3081275084429558</v>
      </c>
      <c r="X49">
        <f t="shared" si="535"/>
        <v>1.3081275084429558</v>
      </c>
      <c r="Y49">
        <f t="shared" si="536"/>
        <v>1.3081275084429558</v>
      </c>
      <c r="Z49">
        <f t="shared" si="537"/>
        <v>1.0492826920523897</v>
      </c>
      <c r="AA49">
        <f t="shared" si="538"/>
        <v>1.0492826920523897</v>
      </c>
      <c r="AB49">
        <f t="shared" si="539"/>
        <v>1.0492826920523897</v>
      </c>
      <c r="AC49">
        <f t="shared" si="540"/>
        <v>1.0492826920523897</v>
      </c>
      <c r="AD49">
        <f t="shared" si="541"/>
        <v>1.0492826920523897</v>
      </c>
      <c r="AE49">
        <f t="shared" si="542"/>
        <v>1.0492826920523897</v>
      </c>
      <c r="AF49">
        <f t="shared" si="543"/>
        <v>1.0492826920523897</v>
      </c>
      <c r="AG49">
        <f t="shared" si="544"/>
        <v>1.0492826920523897</v>
      </c>
      <c r="AH49">
        <f t="shared" si="545"/>
        <v>0.74665122985839849</v>
      </c>
      <c r="AI49">
        <f t="shared" si="546"/>
        <v>0.74665122985839849</v>
      </c>
      <c r="AJ49">
        <f t="shared" si="547"/>
        <v>0.74665122985839849</v>
      </c>
      <c r="AK49">
        <f t="shared" si="548"/>
        <v>0.74665122985839849</v>
      </c>
      <c r="AL49">
        <f t="shared" si="549"/>
        <v>0.74665122985839849</v>
      </c>
      <c r="AM49">
        <f t="shared" si="550"/>
        <v>0.74665122985839849</v>
      </c>
      <c r="AN49">
        <f t="shared" si="551"/>
        <v>0.74665122985839849</v>
      </c>
      <c r="AO49">
        <f t="shared" si="552"/>
        <v>0.74665122985839849</v>
      </c>
      <c r="AP49">
        <f t="shared" si="553"/>
        <v>1.0540465856220385</v>
      </c>
      <c r="AQ49">
        <f t="shared" si="554"/>
        <v>1.0540465856220385</v>
      </c>
      <c r="AR49">
        <f t="shared" si="555"/>
        <v>1.0540465856220385</v>
      </c>
      <c r="AS49">
        <f t="shared" si="556"/>
        <v>1.0540465856220385</v>
      </c>
      <c r="AT49">
        <f t="shared" si="557"/>
        <v>1.0540465856220385</v>
      </c>
      <c r="AU49">
        <f t="shared" si="558"/>
        <v>1.0540465856220385</v>
      </c>
      <c r="AV49">
        <f t="shared" si="559"/>
        <v>1.0540465856220385</v>
      </c>
      <c r="AW49">
        <f t="shared" si="560"/>
        <v>1.0540465856220385</v>
      </c>
      <c r="AX49">
        <f t="shared" si="561"/>
        <v>0.92103961910708354</v>
      </c>
      <c r="AY49">
        <f t="shared" si="562"/>
        <v>0.92103961910708354</v>
      </c>
      <c r="AZ49">
        <f t="shared" si="563"/>
        <v>0.92103961910708354</v>
      </c>
      <c r="BA49">
        <f t="shared" si="564"/>
        <v>0.92103961910708354</v>
      </c>
      <c r="BB49">
        <f t="shared" si="565"/>
        <v>0.92103961910708354</v>
      </c>
      <c r="BC49">
        <f t="shared" si="566"/>
        <v>0.92103961910708354</v>
      </c>
      <c r="BD49">
        <f t="shared" si="567"/>
        <v>0.92103961910708354</v>
      </c>
      <c r="BE49">
        <f t="shared" si="568"/>
        <v>0.92103961910708354</v>
      </c>
      <c r="BF49">
        <f t="shared" si="569"/>
        <v>0.92103961910708354</v>
      </c>
      <c r="BG49">
        <f t="shared" si="570"/>
        <v>0.92103961910708354</v>
      </c>
      <c r="BH49">
        <f t="shared" si="571"/>
        <v>0.92103961910708354</v>
      </c>
      <c r="BI49">
        <f t="shared" si="572"/>
        <v>0.92103961910708354</v>
      </c>
      <c r="BJ49">
        <f t="shared" si="573"/>
        <v>0.92103961910708354</v>
      </c>
      <c r="BK49">
        <f t="shared" si="574"/>
        <v>0.92103961910708354</v>
      </c>
      <c r="BL49">
        <f t="shared" si="575"/>
        <v>0.92103961910708354</v>
      </c>
      <c r="BM49">
        <f t="shared" si="576"/>
        <v>0.92103961910708354</v>
      </c>
      <c r="BN49">
        <f t="shared" si="577"/>
        <v>0.92103961910708354</v>
      </c>
      <c r="BO49">
        <f t="shared" si="578"/>
        <v>0.92103961910708354</v>
      </c>
      <c r="BP49">
        <f t="shared" si="579"/>
        <v>0.92103961910708354</v>
      </c>
      <c r="BQ49">
        <f t="shared" si="580"/>
        <v>0.92103961910708354</v>
      </c>
      <c r="BR49">
        <f t="shared" si="581"/>
        <v>0.92103961910708354</v>
      </c>
      <c r="BS49">
        <f t="shared" si="582"/>
        <v>0.92103961910708354</v>
      </c>
      <c r="BT49">
        <f t="shared" si="583"/>
        <v>0.92103961910708354</v>
      </c>
      <c r="BU49">
        <f t="shared" si="584"/>
        <v>0.92103961910708354</v>
      </c>
      <c r="BV49">
        <f t="shared" si="585"/>
        <v>0.92103961910708354</v>
      </c>
      <c r="BW49">
        <f t="shared" si="586"/>
        <v>0.92103961910708354</v>
      </c>
      <c r="BX49">
        <f t="shared" si="587"/>
        <v>0.92103961910708354</v>
      </c>
      <c r="BY49">
        <f t="shared" si="588"/>
        <v>0.92103961910708354</v>
      </c>
      <c r="BZ49">
        <f t="shared" si="589"/>
        <v>0.92103961910708354</v>
      </c>
      <c r="CA49">
        <f t="shared" si="590"/>
        <v>0.92103961910708354</v>
      </c>
      <c r="CB49">
        <f t="shared" si="591"/>
        <v>0.92103961910708354</v>
      </c>
      <c r="CC49">
        <f t="shared" si="592"/>
        <v>0.92103961910708354</v>
      </c>
      <c r="CD49">
        <f t="shared" si="593"/>
        <v>0.92103961910708354</v>
      </c>
      <c r="CE49">
        <f t="shared" si="594"/>
        <v>0.92103961910708354</v>
      </c>
      <c r="CF49">
        <f t="shared" si="595"/>
        <v>0.92103961910708354</v>
      </c>
      <c r="CG49">
        <f t="shared" si="596"/>
        <v>0.92103961910708354</v>
      </c>
      <c r="CH49">
        <f t="shared" si="597"/>
        <v>0.92103961910708354</v>
      </c>
      <c r="CI49">
        <f t="shared" si="598"/>
        <v>0.92103961910708354</v>
      </c>
      <c r="CJ49">
        <f t="shared" si="599"/>
        <v>0.92103961910708354</v>
      </c>
      <c r="CK49">
        <f t="shared" si="600"/>
        <v>0.92103961910708354</v>
      </c>
      <c r="CL49">
        <f t="shared" si="601"/>
        <v>0.92103961910708354</v>
      </c>
      <c r="CM49">
        <f t="shared" si="602"/>
        <v>0.92103961910708354</v>
      </c>
      <c r="CN49">
        <f t="shared" si="603"/>
        <v>0.92103961910708354</v>
      </c>
      <c r="CO49">
        <f t="shared" si="604"/>
        <v>0.92103961910708354</v>
      </c>
      <c r="CP49">
        <f t="shared" si="605"/>
        <v>0.92103961910708354</v>
      </c>
      <c r="CQ49">
        <f t="shared" si="606"/>
        <v>0.92103961910708354</v>
      </c>
      <c r="CR49">
        <f t="shared" si="607"/>
        <v>0.92103961910708354</v>
      </c>
      <c r="CS49">
        <f t="shared" si="608"/>
        <v>0.92103961910708354</v>
      </c>
      <c r="CT49">
        <f t="shared" si="609"/>
        <v>0.92103961910708354</v>
      </c>
      <c r="CU49">
        <f t="shared" si="610"/>
        <v>0.92103961910708354</v>
      </c>
      <c r="CV49">
        <f t="shared" si="611"/>
        <v>0.92103961910708354</v>
      </c>
      <c r="CW49">
        <f t="shared" si="612"/>
        <v>0.92103961910708354</v>
      </c>
      <c r="CX49">
        <f t="shared" si="613"/>
        <v>0.92103961910708354</v>
      </c>
      <c r="CY49">
        <f t="shared" si="614"/>
        <v>0.92103961910708354</v>
      </c>
      <c r="CZ49">
        <f t="shared" si="615"/>
        <v>0.92103961910708354</v>
      </c>
      <c r="DA49">
        <f t="shared" si="616"/>
        <v>0.92103961910708354</v>
      </c>
      <c r="DB49">
        <f t="shared" si="617"/>
        <v>0.92103961910708354</v>
      </c>
      <c r="DC49">
        <f t="shared" si="618"/>
        <v>0.92103961910708354</v>
      </c>
      <c r="DD49">
        <f t="shared" si="619"/>
        <v>0.92103961910708354</v>
      </c>
      <c r="DE49">
        <f t="shared" si="620"/>
        <v>0.92103961910708354</v>
      </c>
      <c r="DF49">
        <f t="shared" si="621"/>
        <v>0.92103961910708354</v>
      </c>
      <c r="DG49">
        <f t="shared" si="622"/>
        <v>0.92103961910708354</v>
      </c>
      <c r="DH49">
        <f t="shared" si="623"/>
        <v>0.92103961910708354</v>
      </c>
      <c r="DI49">
        <f t="shared" si="624"/>
        <v>0.92103961910708354</v>
      </c>
      <c r="DJ49">
        <f t="shared" si="625"/>
        <v>0.92103961910708354</v>
      </c>
      <c r="DK49">
        <f t="shared" si="626"/>
        <v>0.92103961910708354</v>
      </c>
      <c r="DL49">
        <f t="shared" si="627"/>
        <v>0.92103961910708354</v>
      </c>
      <c r="DM49">
        <f t="shared" si="628"/>
        <v>0.92103961910708354</v>
      </c>
      <c r="DN49">
        <f t="shared" si="629"/>
        <v>0.92103961910708354</v>
      </c>
      <c r="DO49">
        <f t="shared" si="630"/>
        <v>0.92103961910708354</v>
      </c>
      <c r="DP49">
        <f t="shared" si="631"/>
        <v>0.92103961910708354</v>
      </c>
      <c r="DQ49">
        <f t="shared" si="632"/>
        <v>0.92103961910708354</v>
      </c>
      <c r="DR49">
        <f t="shared" si="633"/>
        <v>0.92103961910708354</v>
      </c>
      <c r="DS49">
        <f t="shared" si="634"/>
        <v>0.92103961910708354</v>
      </c>
      <c r="DT49">
        <f t="shared" si="635"/>
        <v>0.92103961910708354</v>
      </c>
      <c r="DU49">
        <f t="shared" si="636"/>
        <v>0.92103961910708354</v>
      </c>
      <c r="DV49">
        <f t="shared" si="637"/>
        <v>0.92103961910708354</v>
      </c>
      <c r="DW49">
        <f t="shared" si="638"/>
        <v>0.92103961910708354</v>
      </c>
      <c r="DX49">
        <f t="shared" si="639"/>
        <v>0.92103961910708354</v>
      </c>
      <c r="DY49">
        <f t="shared" si="640"/>
        <v>0.92103961910708354</v>
      </c>
      <c r="DZ49">
        <f t="shared" si="641"/>
        <v>0.92103961910708354</v>
      </c>
      <c r="EA49">
        <f t="shared" si="642"/>
        <v>0.92103961910708354</v>
      </c>
      <c r="EB49">
        <f t="shared" si="643"/>
        <v>0.92103961910708354</v>
      </c>
      <c r="EC49">
        <f t="shared" si="644"/>
        <v>0.92103961910708354</v>
      </c>
      <c r="ED49">
        <f t="shared" si="645"/>
        <v>0.92103961910708354</v>
      </c>
      <c r="EE49">
        <f t="shared" si="646"/>
        <v>0.92103961910708354</v>
      </c>
      <c r="EF49">
        <f t="shared" si="647"/>
        <v>0.92103961910708354</v>
      </c>
      <c r="EG49">
        <f t="shared" si="648"/>
        <v>0.92103961910708354</v>
      </c>
      <c r="EH49">
        <f t="shared" si="649"/>
        <v>0.92103961910708354</v>
      </c>
      <c r="EI49">
        <f t="shared" si="650"/>
        <v>0.92103961910708354</v>
      </c>
      <c r="EJ49">
        <f t="shared" si="651"/>
        <v>0.92103961910708354</v>
      </c>
      <c r="EK49">
        <f t="shared" si="652"/>
        <v>0.92103961910708354</v>
      </c>
      <c r="EL49">
        <f t="shared" si="653"/>
        <v>0.92103961910708354</v>
      </c>
      <c r="EM49">
        <f t="shared" si="654"/>
        <v>0.92103961910708354</v>
      </c>
      <c r="EN49">
        <f t="shared" si="655"/>
        <v>0.92103961910708354</v>
      </c>
      <c r="EO49">
        <f t="shared" si="656"/>
        <v>0.92103961910708354</v>
      </c>
      <c r="EP49">
        <f t="shared" si="657"/>
        <v>0.92103961910708354</v>
      </c>
      <c r="EQ49">
        <f t="shared" si="658"/>
        <v>0.92103961910708354</v>
      </c>
      <c r="ER49">
        <f t="shared" si="659"/>
        <v>0.92103961910708354</v>
      </c>
      <c r="ES49">
        <f t="shared" si="660"/>
        <v>0.92103961910708354</v>
      </c>
      <c r="ET49">
        <f t="shared" si="661"/>
        <v>0.92103961910708354</v>
      </c>
      <c r="EU49">
        <f t="shared" si="662"/>
        <v>0.92103961910708354</v>
      </c>
      <c r="EV49">
        <f t="shared" si="663"/>
        <v>0.92103961910708354</v>
      </c>
      <c r="EW49">
        <f t="shared" si="664"/>
        <v>0.92103961910708354</v>
      </c>
      <c r="EX49">
        <f t="shared" si="665"/>
        <v>0.92103961910708354</v>
      </c>
      <c r="EY49">
        <f t="shared" si="666"/>
        <v>0.92103961910708354</v>
      </c>
      <c r="EZ49">
        <f t="shared" si="667"/>
        <v>0.92103961910708354</v>
      </c>
      <c r="FA49">
        <f t="shared" si="668"/>
        <v>0.92103961910708354</v>
      </c>
      <c r="FB49">
        <f t="shared" si="669"/>
        <v>0.92103961910708354</v>
      </c>
      <c r="FC49">
        <f t="shared" si="670"/>
        <v>0.92103961910708354</v>
      </c>
      <c r="FD49">
        <f t="shared" si="671"/>
        <v>0.92103961910708354</v>
      </c>
      <c r="FE49">
        <f t="shared" si="672"/>
        <v>0.92103961910708354</v>
      </c>
      <c r="FF49">
        <f t="shared" si="673"/>
        <v>0.92103961910708354</v>
      </c>
      <c r="FG49">
        <f t="shared" si="674"/>
        <v>0.92103961910708354</v>
      </c>
      <c r="FH49">
        <f t="shared" si="675"/>
        <v>0.92103961910708354</v>
      </c>
      <c r="FI49">
        <f t="shared" si="676"/>
        <v>0.92103961910708354</v>
      </c>
      <c r="FJ49">
        <f t="shared" si="677"/>
        <v>0.92103961910708354</v>
      </c>
      <c r="FK49">
        <f t="shared" si="678"/>
        <v>0.92103961910708354</v>
      </c>
      <c r="FL49">
        <f t="shared" si="679"/>
        <v>0.92103961910708354</v>
      </c>
      <c r="FM49">
        <f t="shared" si="680"/>
        <v>0.92103961910708354</v>
      </c>
      <c r="FN49">
        <f t="shared" si="681"/>
        <v>0.92103961910708354</v>
      </c>
      <c r="FO49">
        <f t="shared" si="682"/>
        <v>0.92103961910708354</v>
      </c>
      <c r="FP49">
        <f t="shared" si="683"/>
        <v>0.92103961910708354</v>
      </c>
      <c r="FQ49">
        <f t="shared" si="684"/>
        <v>0.92103961910708354</v>
      </c>
      <c r="FR49">
        <f t="shared" si="685"/>
        <v>0.92103961910708354</v>
      </c>
      <c r="FS49">
        <f t="shared" si="686"/>
        <v>0.92103961910708354</v>
      </c>
      <c r="FT49">
        <f t="shared" si="687"/>
        <v>0.92103961910708354</v>
      </c>
      <c r="FU49">
        <f t="shared" si="688"/>
        <v>0.92103961910708354</v>
      </c>
      <c r="FV49">
        <f t="shared" si="689"/>
        <v>0.92103961910708354</v>
      </c>
      <c r="FW49">
        <f t="shared" si="690"/>
        <v>0.92103961910708354</v>
      </c>
      <c r="FX49">
        <f t="shared" si="691"/>
        <v>0.92103961910708354</v>
      </c>
      <c r="FY49">
        <f t="shared" si="692"/>
        <v>0.92103961910708354</v>
      </c>
      <c r="FZ49">
        <f t="shared" si="693"/>
        <v>0.92103961910708354</v>
      </c>
      <c r="GA49">
        <f t="shared" si="694"/>
        <v>0.92103961910708354</v>
      </c>
      <c r="GB49">
        <f t="shared" si="695"/>
        <v>0.92103961910708354</v>
      </c>
      <c r="GC49">
        <f t="shared" si="696"/>
        <v>0.92103961910708354</v>
      </c>
      <c r="GD49">
        <f t="shared" si="697"/>
        <v>0.92103961910708354</v>
      </c>
      <c r="GE49">
        <f t="shared" si="698"/>
        <v>0.92103961910708354</v>
      </c>
      <c r="GF49">
        <f t="shared" si="699"/>
        <v>0.92103961910708354</v>
      </c>
      <c r="GG49">
        <f t="shared" si="700"/>
        <v>0.92103961910708354</v>
      </c>
      <c r="GH49">
        <f t="shared" si="701"/>
        <v>0.92103961910708354</v>
      </c>
      <c r="GI49">
        <f t="shared" si="702"/>
        <v>0.92103961910708354</v>
      </c>
      <c r="GJ49">
        <f t="shared" si="703"/>
        <v>0.92103961910708354</v>
      </c>
      <c r="GK49">
        <f t="shared" si="704"/>
        <v>0.92103961910708354</v>
      </c>
      <c r="GL49">
        <f t="shared" si="705"/>
        <v>0.92103961910708354</v>
      </c>
      <c r="GM49">
        <f t="shared" si="706"/>
        <v>0.92103961910708354</v>
      </c>
      <c r="GN49">
        <f t="shared" si="707"/>
        <v>0.92103961910708354</v>
      </c>
      <c r="GO49">
        <f t="shared" si="708"/>
        <v>0.92103961910708354</v>
      </c>
      <c r="GP49">
        <f t="shared" si="709"/>
        <v>0.92103961910708354</v>
      </c>
      <c r="GQ49">
        <f t="shared" si="710"/>
        <v>0.92103961910708354</v>
      </c>
      <c r="GR49">
        <f t="shared" si="711"/>
        <v>0.92103961910708354</v>
      </c>
      <c r="GS49">
        <f t="shared" si="712"/>
        <v>0.92103961910708354</v>
      </c>
      <c r="GT49">
        <f t="shared" si="713"/>
        <v>0.92103961910708354</v>
      </c>
      <c r="GU49">
        <f t="shared" si="714"/>
        <v>0.92103961910708354</v>
      </c>
      <c r="GV49">
        <f t="shared" si="715"/>
        <v>0.92103961910708354</v>
      </c>
      <c r="GW49">
        <f t="shared" si="716"/>
        <v>0.92103961910708354</v>
      </c>
      <c r="GX49">
        <f t="shared" si="717"/>
        <v>0.92103961910708354</v>
      </c>
      <c r="GY49">
        <f t="shared" si="718"/>
        <v>0.92103961910708354</v>
      </c>
      <c r="GZ49">
        <f t="shared" si="719"/>
        <v>0.92103961910708354</v>
      </c>
      <c r="HA49">
        <f t="shared" si="720"/>
        <v>0.92103961910708354</v>
      </c>
      <c r="HB49">
        <f t="shared" si="721"/>
        <v>0.92103961910708354</v>
      </c>
      <c r="HC49">
        <f t="shared" si="722"/>
        <v>0.92103961910708354</v>
      </c>
      <c r="HD49">
        <f t="shared" si="723"/>
        <v>0.92103961910708354</v>
      </c>
      <c r="HE49">
        <f t="shared" si="724"/>
        <v>0.92103961910708354</v>
      </c>
      <c r="HF49">
        <f t="shared" si="725"/>
        <v>0.92103961910708354</v>
      </c>
      <c r="HG49">
        <f t="shared" si="726"/>
        <v>0.92103961910708354</v>
      </c>
      <c r="HH49">
        <f t="shared" si="727"/>
        <v>0.92103961910708354</v>
      </c>
      <c r="HI49">
        <f t="shared" si="728"/>
        <v>0.92103961910708354</v>
      </c>
      <c r="HJ49">
        <f t="shared" si="729"/>
        <v>0.92103961910708354</v>
      </c>
      <c r="HK49">
        <f t="shared" si="730"/>
        <v>0.92103961910708354</v>
      </c>
      <c r="HL49">
        <f t="shared" si="731"/>
        <v>0.92103961910708354</v>
      </c>
      <c r="HM49">
        <f t="shared" si="732"/>
        <v>0.92103961910708354</v>
      </c>
      <c r="HN49">
        <f t="shared" si="733"/>
        <v>0.92103961910708354</v>
      </c>
      <c r="HO49">
        <f t="shared" si="734"/>
        <v>0.92103961910708354</v>
      </c>
      <c r="HP49">
        <f t="shared" si="735"/>
        <v>0.92103961910708354</v>
      </c>
      <c r="HQ49">
        <f t="shared" si="736"/>
        <v>0.92103961910708354</v>
      </c>
      <c r="HR49">
        <f t="shared" si="737"/>
        <v>0.92103961910708354</v>
      </c>
      <c r="HS49">
        <f t="shared" si="738"/>
        <v>0.92103961910708354</v>
      </c>
      <c r="HT49">
        <f t="shared" si="739"/>
        <v>0.92103961910708354</v>
      </c>
      <c r="HU49">
        <f t="shared" si="740"/>
        <v>0.92103961910708354</v>
      </c>
      <c r="HV49">
        <f t="shared" si="741"/>
        <v>0.92103961910708354</v>
      </c>
      <c r="HW49">
        <f t="shared" si="742"/>
        <v>0.92103961910708354</v>
      </c>
      <c r="HX49">
        <f t="shared" si="743"/>
        <v>0.92103961910708354</v>
      </c>
      <c r="HY49">
        <f t="shared" si="744"/>
        <v>0.92103961910708354</v>
      </c>
      <c r="HZ49">
        <f t="shared" si="745"/>
        <v>0.92103961910708354</v>
      </c>
      <c r="IA49">
        <f t="shared" si="746"/>
        <v>0.92103961910708354</v>
      </c>
      <c r="IB49">
        <f t="shared" si="747"/>
        <v>0.92103961910708354</v>
      </c>
      <c r="IC49">
        <f t="shared" si="748"/>
        <v>0.92103961910708354</v>
      </c>
      <c r="ID49">
        <f t="shared" si="749"/>
        <v>0.92103961910708354</v>
      </c>
      <c r="IE49">
        <f t="shared" si="750"/>
        <v>0.92103961910708354</v>
      </c>
      <c r="IF49">
        <f t="shared" si="751"/>
        <v>0.92103961910708354</v>
      </c>
      <c r="IG49">
        <f t="shared" si="752"/>
        <v>0.92103961910708354</v>
      </c>
      <c r="IH49">
        <f t="shared" si="753"/>
        <v>0.92103961910708354</v>
      </c>
      <c r="II49">
        <f t="shared" si="754"/>
        <v>0.92103961910708354</v>
      </c>
      <c r="IJ49">
        <f t="shared" si="755"/>
        <v>0.92103961910708354</v>
      </c>
      <c r="IK49">
        <f t="shared" si="756"/>
        <v>0.92103961910708354</v>
      </c>
      <c r="IL49">
        <f t="shared" si="757"/>
        <v>0.92103961910708354</v>
      </c>
      <c r="IM49">
        <f t="shared" si="758"/>
        <v>0.92103961910708354</v>
      </c>
      <c r="IN49">
        <f t="shared" si="759"/>
        <v>0.92103961910708354</v>
      </c>
      <c r="IO49">
        <f t="shared" si="760"/>
        <v>0.92103961910708354</v>
      </c>
      <c r="IP49">
        <f t="shared" si="761"/>
        <v>0.92103961910708354</v>
      </c>
      <c r="IQ49">
        <f t="shared" si="762"/>
        <v>0.92103961910708354</v>
      </c>
      <c r="IR49">
        <f t="shared" si="763"/>
        <v>0.92103961910708354</v>
      </c>
      <c r="IS49">
        <f t="shared" si="764"/>
        <v>0.92103961910708354</v>
      </c>
      <c r="IT49">
        <f t="shared" si="765"/>
        <v>0.92103961910708354</v>
      </c>
      <c r="IU49">
        <f t="shared" si="766"/>
        <v>0.92103961910708354</v>
      </c>
      <c r="IV49">
        <f t="shared" si="767"/>
        <v>0.92103961910708354</v>
      </c>
    </row>
    <row r="50" spans="1:256" x14ac:dyDescent="0.2">
      <c r="A50" t="s">
        <v>521</v>
      </c>
      <c r="B50">
        <f t="shared" si="513"/>
        <v>0.66393496229260485</v>
      </c>
      <c r="C50">
        <f t="shared" si="514"/>
        <v>0.66393496229260485</v>
      </c>
      <c r="D50">
        <f t="shared" si="515"/>
        <v>0.66393496229260485</v>
      </c>
      <c r="E50">
        <f t="shared" si="516"/>
        <v>0.66393496229260485</v>
      </c>
      <c r="F50">
        <f t="shared" si="517"/>
        <v>0.66393496229260485</v>
      </c>
      <c r="G50">
        <f t="shared" si="518"/>
        <v>0.66393496229260485</v>
      </c>
      <c r="H50">
        <f t="shared" si="519"/>
        <v>0.66393496229260485</v>
      </c>
      <c r="I50">
        <f t="shared" si="520"/>
        <v>0.66393496229260485</v>
      </c>
      <c r="J50">
        <f t="shared" si="521"/>
        <v>1.3278699245852099</v>
      </c>
      <c r="K50">
        <f t="shared" si="522"/>
        <v>1.3278699245852099</v>
      </c>
      <c r="L50">
        <f t="shared" si="523"/>
        <v>1.3278699245852099</v>
      </c>
      <c r="M50">
        <f t="shared" si="524"/>
        <v>1.3278699245852099</v>
      </c>
      <c r="N50">
        <f t="shared" si="525"/>
        <v>1.3278699245852099</v>
      </c>
      <c r="O50">
        <f t="shared" si="526"/>
        <v>1.3278699245852099</v>
      </c>
      <c r="P50">
        <f t="shared" si="527"/>
        <v>1.3278699245852099</v>
      </c>
      <c r="Q50">
        <f t="shared" si="528"/>
        <v>1.3278699245852099</v>
      </c>
      <c r="R50">
        <f t="shared" si="529"/>
        <v>1.9038912082248172</v>
      </c>
      <c r="S50">
        <f t="shared" si="530"/>
        <v>1.9038912082248172</v>
      </c>
      <c r="T50">
        <f t="shared" si="531"/>
        <v>1.9038912082248172</v>
      </c>
      <c r="U50">
        <f t="shared" si="532"/>
        <v>1.9038912082248172</v>
      </c>
      <c r="V50">
        <f t="shared" si="533"/>
        <v>1.9038912082248172</v>
      </c>
      <c r="W50">
        <f t="shared" si="534"/>
        <v>1.9038912082248172</v>
      </c>
      <c r="X50">
        <f t="shared" si="535"/>
        <v>1.9038912082248172</v>
      </c>
      <c r="Y50">
        <f t="shared" si="536"/>
        <v>1.9038912082248172</v>
      </c>
      <c r="Z50">
        <f t="shared" si="537"/>
        <v>1.2741822414902944</v>
      </c>
      <c r="AA50">
        <f t="shared" si="538"/>
        <v>1.2741822414902944</v>
      </c>
      <c r="AB50">
        <f t="shared" si="539"/>
        <v>1.2741822414902944</v>
      </c>
      <c r="AC50">
        <f t="shared" si="540"/>
        <v>1.2741822414902944</v>
      </c>
      <c r="AD50">
        <f t="shared" si="541"/>
        <v>1.2741822414902944</v>
      </c>
      <c r="AE50">
        <f t="shared" si="542"/>
        <v>1.2741822414902944</v>
      </c>
      <c r="AF50">
        <f t="shared" si="543"/>
        <v>1.2741822414902944</v>
      </c>
      <c r="AG50">
        <f t="shared" si="544"/>
        <v>1.2741822414902944</v>
      </c>
      <c r="AH50">
        <f t="shared" si="545"/>
        <v>0.42901557922363281</v>
      </c>
      <c r="AI50">
        <f t="shared" si="546"/>
        <v>0.42901557922363281</v>
      </c>
      <c r="AJ50">
        <f t="shared" si="547"/>
        <v>0.42901557922363281</v>
      </c>
      <c r="AK50">
        <f t="shared" si="548"/>
        <v>0.42901557922363281</v>
      </c>
      <c r="AL50">
        <f t="shared" si="549"/>
        <v>0.42901557922363281</v>
      </c>
      <c r="AM50">
        <f t="shared" si="550"/>
        <v>0.42901557922363281</v>
      </c>
      <c r="AN50">
        <f t="shared" si="551"/>
        <v>0.42901557922363281</v>
      </c>
      <c r="AO50">
        <f t="shared" si="552"/>
        <v>0.42901557922363281</v>
      </c>
      <c r="AP50">
        <f t="shared" si="553"/>
        <v>0.85803115844726563</v>
      </c>
      <c r="AQ50">
        <f t="shared" si="554"/>
        <v>0.85803115844726563</v>
      </c>
      <c r="AR50">
        <f t="shared" si="555"/>
        <v>0.85803115844726563</v>
      </c>
      <c r="AS50">
        <f t="shared" si="556"/>
        <v>0.85803115844726563</v>
      </c>
      <c r="AT50">
        <f t="shared" si="557"/>
        <v>0.85803115844726563</v>
      </c>
      <c r="AU50">
        <f t="shared" si="558"/>
        <v>0.85803115844726563</v>
      </c>
      <c r="AV50">
        <f t="shared" si="559"/>
        <v>0.85803115844726563</v>
      </c>
      <c r="AW50">
        <f t="shared" si="560"/>
        <v>0.85803115844726563</v>
      </c>
      <c r="AX50">
        <f t="shared" si="561"/>
        <v>1.0000133214829601</v>
      </c>
      <c r="AY50">
        <f t="shared" si="562"/>
        <v>1.0000133214829601</v>
      </c>
      <c r="AZ50">
        <f t="shared" si="563"/>
        <v>1.0000133214829601</v>
      </c>
      <c r="BA50">
        <f t="shared" si="564"/>
        <v>1.0000133214829601</v>
      </c>
      <c r="BB50">
        <f t="shared" si="565"/>
        <v>1.0000133214829601</v>
      </c>
      <c r="BC50">
        <f t="shared" si="566"/>
        <v>1.0000133214829601</v>
      </c>
      <c r="BD50">
        <f t="shared" si="567"/>
        <v>1.0000133214829601</v>
      </c>
      <c r="BE50">
        <f t="shared" si="568"/>
        <v>1.0000133214829601</v>
      </c>
      <c r="BF50">
        <f t="shared" si="569"/>
        <v>1.0000133214829601</v>
      </c>
      <c r="BG50">
        <f t="shared" si="570"/>
        <v>1.0000133214829601</v>
      </c>
      <c r="BH50">
        <f t="shared" si="571"/>
        <v>1.0000133214829601</v>
      </c>
      <c r="BI50">
        <f t="shared" si="572"/>
        <v>1.0000133214829601</v>
      </c>
      <c r="BJ50">
        <f t="shared" si="573"/>
        <v>1.0000133214829601</v>
      </c>
      <c r="BK50">
        <f t="shared" si="574"/>
        <v>1.0000133214829601</v>
      </c>
      <c r="BL50">
        <f t="shared" si="575"/>
        <v>1.0000133214829601</v>
      </c>
      <c r="BM50">
        <f t="shared" si="576"/>
        <v>1.0000133214829601</v>
      </c>
      <c r="BN50">
        <f t="shared" si="577"/>
        <v>1.0000133214829601</v>
      </c>
      <c r="BO50">
        <f t="shared" si="578"/>
        <v>1.0000133214829601</v>
      </c>
      <c r="BP50">
        <f t="shared" si="579"/>
        <v>1.0000133214829601</v>
      </c>
      <c r="BQ50">
        <f t="shared" si="580"/>
        <v>1.0000133214829601</v>
      </c>
      <c r="BR50">
        <f t="shared" si="581"/>
        <v>1.0000133214829601</v>
      </c>
      <c r="BS50">
        <f t="shared" si="582"/>
        <v>1.0000133214829601</v>
      </c>
      <c r="BT50">
        <f t="shared" si="583"/>
        <v>1.0000133214829601</v>
      </c>
      <c r="BU50">
        <f t="shared" si="584"/>
        <v>1.0000133214829601</v>
      </c>
      <c r="BV50">
        <f t="shared" si="585"/>
        <v>1.0000133214829601</v>
      </c>
      <c r="BW50">
        <f t="shared" si="586"/>
        <v>1.0000133214829601</v>
      </c>
      <c r="BX50">
        <f t="shared" si="587"/>
        <v>1.0000133214829601</v>
      </c>
      <c r="BY50">
        <f t="shared" si="588"/>
        <v>1.0000133214829601</v>
      </c>
      <c r="BZ50">
        <f t="shared" si="589"/>
        <v>1.0000133214829601</v>
      </c>
      <c r="CA50">
        <f t="shared" si="590"/>
        <v>1.0000133214829601</v>
      </c>
      <c r="CB50">
        <f t="shared" si="591"/>
        <v>1.0000133214829601</v>
      </c>
      <c r="CC50">
        <f t="shared" si="592"/>
        <v>1.0000133214829601</v>
      </c>
      <c r="CD50">
        <f t="shared" si="593"/>
        <v>1.0000133214829601</v>
      </c>
      <c r="CE50">
        <f t="shared" si="594"/>
        <v>1.0000133214829601</v>
      </c>
      <c r="CF50">
        <f t="shared" si="595"/>
        <v>1.0000133214829601</v>
      </c>
      <c r="CG50">
        <f t="shared" si="596"/>
        <v>1.0000133214829601</v>
      </c>
      <c r="CH50">
        <f t="shared" si="597"/>
        <v>1.0000133214829601</v>
      </c>
      <c r="CI50">
        <f t="shared" si="598"/>
        <v>1.0000133214829601</v>
      </c>
      <c r="CJ50">
        <f t="shared" si="599"/>
        <v>1.0000133214829601</v>
      </c>
      <c r="CK50">
        <f t="shared" si="600"/>
        <v>1.0000133214829601</v>
      </c>
      <c r="CL50">
        <f t="shared" si="601"/>
        <v>1.0000133214829601</v>
      </c>
      <c r="CM50">
        <f t="shared" si="602"/>
        <v>1.0000133214829601</v>
      </c>
      <c r="CN50">
        <f t="shared" si="603"/>
        <v>1.0000133214829601</v>
      </c>
      <c r="CO50">
        <f t="shared" si="604"/>
        <v>1.0000133214829601</v>
      </c>
      <c r="CP50">
        <f t="shared" si="605"/>
        <v>1.0000133214829601</v>
      </c>
      <c r="CQ50">
        <f t="shared" si="606"/>
        <v>1.0000133214829601</v>
      </c>
      <c r="CR50">
        <f t="shared" si="607"/>
        <v>1.0000133214829601</v>
      </c>
      <c r="CS50">
        <f t="shared" si="608"/>
        <v>1.0000133214829601</v>
      </c>
      <c r="CT50">
        <f t="shared" si="609"/>
        <v>1.0000133214829601</v>
      </c>
      <c r="CU50">
        <f t="shared" si="610"/>
        <v>1.0000133214829601</v>
      </c>
      <c r="CV50">
        <f t="shared" si="611"/>
        <v>1.0000133214829601</v>
      </c>
      <c r="CW50">
        <f t="shared" si="612"/>
        <v>1.0000133214829601</v>
      </c>
      <c r="CX50">
        <f t="shared" si="613"/>
        <v>1.0000133214829601</v>
      </c>
      <c r="CY50">
        <f t="shared" si="614"/>
        <v>1.0000133214829601</v>
      </c>
      <c r="CZ50">
        <f t="shared" si="615"/>
        <v>1.0000133214829601</v>
      </c>
      <c r="DA50">
        <f t="shared" si="616"/>
        <v>1.0000133214829601</v>
      </c>
      <c r="DB50">
        <f t="shared" si="617"/>
        <v>1.0000133214829601</v>
      </c>
      <c r="DC50">
        <f t="shared" si="618"/>
        <v>1.0000133214829601</v>
      </c>
      <c r="DD50">
        <f t="shared" si="619"/>
        <v>1.0000133214829601</v>
      </c>
      <c r="DE50">
        <f t="shared" si="620"/>
        <v>1.0000133214829601</v>
      </c>
      <c r="DF50">
        <f t="shared" si="621"/>
        <v>1.0000133214829601</v>
      </c>
      <c r="DG50">
        <f t="shared" si="622"/>
        <v>1.0000133214829601</v>
      </c>
      <c r="DH50">
        <f t="shared" si="623"/>
        <v>1.0000133214829601</v>
      </c>
      <c r="DI50">
        <f t="shared" si="624"/>
        <v>1.0000133214829601</v>
      </c>
      <c r="DJ50">
        <f t="shared" si="625"/>
        <v>1.0000133214829601</v>
      </c>
      <c r="DK50">
        <f t="shared" si="626"/>
        <v>1.0000133214829601</v>
      </c>
      <c r="DL50">
        <f t="shared" si="627"/>
        <v>1.0000133214829601</v>
      </c>
      <c r="DM50">
        <f t="shared" si="628"/>
        <v>1.0000133214829601</v>
      </c>
      <c r="DN50">
        <f t="shared" si="629"/>
        <v>1.0000133214829601</v>
      </c>
      <c r="DO50">
        <f t="shared" si="630"/>
        <v>1.0000133214829601</v>
      </c>
      <c r="DP50">
        <f t="shared" si="631"/>
        <v>1.0000133214829601</v>
      </c>
      <c r="DQ50">
        <f t="shared" si="632"/>
        <v>1.0000133214829601</v>
      </c>
      <c r="DR50">
        <f t="shared" si="633"/>
        <v>1.0000133214829601</v>
      </c>
      <c r="DS50">
        <f t="shared" si="634"/>
        <v>1.0000133214829601</v>
      </c>
      <c r="DT50">
        <f t="shared" si="635"/>
        <v>1.0000133214829601</v>
      </c>
      <c r="DU50">
        <f t="shared" si="636"/>
        <v>1.0000133214829601</v>
      </c>
      <c r="DV50">
        <f t="shared" si="637"/>
        <v>1.0000133214829601</v>
      </c>
      <c r="DW50">
        <f t="shared" si="638"/>
        <v>1.0000133214829601</v>
      </c>
      <c r="DX50">
        <f t="shared" si="639"/>
        <v>1.0000133214829601</v>
      </c>
      <c r="DY50">
        <f t="shared" si="640"/>
        <v>1.0000133214829601</v>
      </c>
      <c r="DZ50">
        <f t="shared" si="641"/>
        <v>1.0000133214829601</v>
      </c>
      <c r="EA50">
        <f t="shared" si="642"/>
        <v>1.0000133214829601</v>
      </c>
      <c r="EB50">
        <f t="shared" si="643"/>
        <v>1.0000133214829601</v>
      </c>
      <c r="EC50">
        <f t="shared" si="644"/>
        <v>1.0000133214829601</v>
      </c>
      <c r="ED50">
        <f t="shared" si="645"/>
        <v>1.0000133214829601</v>
      </c>
      <c r="EE50">
        <f t="shared" si="646"/>
        <v>1.0000133214829601</v>
      </c>
      <c r="EF50">
        <f t="shared" si="647"/>
        <v>1.0000133214829601</v>
      </c>
      <c r="EG50">
        <f t="shared" si="648"/>
        <v>1.0000133214829601</v>
      </c>
      <c r="EH50">
        <f t="shared" si="649"/>
        <v>1.0000133214829601</v>
      </c>
      <c r="EI50">
        <f t="shared" si="650"/>
        <v>1.0000133214829601</v>
      </c>
      <c r="EJ50">
        <f t="shared" si="651"/>
        <v>1.0000133214829601</v>
      </c>
      <c r="EK50">
        <f t="shared" si="652"/>
        <v>1.0000133214829601</v>
      </c>
      <c r="EL50">
        <f t="shared" si="653"/>
        <v>1.0000133214829601</v>
      </c>
      <c r="EM50">
        <f t="shared" si="654"/>
        <v>1.0000133214829601</v>
      </c>
      <c r="EN50">
        <f t="shared" si="655"/>
        <v>1.0000133214829601</v>
      </c>
      <c r="EO50">
        <f t="shared" si="656"/>
        <v>1.0000133214829601</v>
      </c>
      <c r="EP50">
        <f t="shared" si="657"/>
        <v>1.0000133214829601</v>
      </c>
      <c r="EQ50">
        <f t="shared" si="658"/>
        <v>1.0000133214829601</v>
      </c>
      <c r="ER50">
        <f t="shared" si="659"/>
        <v>1.0000133214829601</v>
      </c>
      <c r="ES50">
        <f t="shared" si="660"/>
        <v>1.0000133214829601</v>
      </c>
      <c r="ET50">
        <f t="shared" si="661"/>
        <v>1.0000133214829601</v>
      </c>
      <c r="EU50">
        <f t="shared" si="662"/>
        <v>1.0000133214829601</v>
      </c>
      <c r="EV50">
        <f t="shared" si="663"/>
        <v>1.0000133214829601</v>
      </c>
      <c r="EW50">
        <f t="shared" si="664"/>
        <v>1.0000133214829601</v>
      </c>
      <c r="EX50">
        <f t="shared" si="665"/>
        <v>1.0000133214829601</v>
      </c>
      <c r="EY50">
        <f t="shared" si="666"/>
        <v>1.0000133214829601</v>
      </c>
      <c r="EZ50">
        <f t="shared" si="667"/>
        <v>1.0000133214829601</v>
      </c>
      <c r="FA50">
        <f t="shared" si="668"/>
        <v>1.0000133214829601</v>
      </c>
      <c r="FB50">
        <f t="shared" si="669"/>
        <v>1.0000133214829601</v>
      </c>
      <c r="FC50">
        <f t="shared" si="670"/>
        <v>1.0000133214829601</v>
      </c>
      <c r="FD50">
        <f t="shared" si="671"/>
        <v>1.0000133214829601</v>
      </c>
      <c r="FE50">
        <f t="shared" si="672"/>
        <v>1.0000133214829601</v>
      </c>
      <c r="FF50">
        <f t="shared" si="673"/>
        <v>1.0000133214829601</v>
      </c>
      <c r="FG50">
        <f t="shared" si="674"/>
        <v>1.0000133214829601</v>
      </c>
      <c r="FH50">
        <f t="shared" si="675"/>
        <v>1.0000133214829601</v>
      </c>
      <c r="FI50">
        <f t="shared" si="676"/>
        <v>1.0000133214829601</v>
      </c>
      <c r="FJ50">
        <f t="shared" si="677"/>
        <v>1.0000133214829601</v>
      </c>
      <c r="FK50">
        <f t="shared" si="678"/>
        <v>1.0000133214829601</v>
      </c>
      <c r="FL50">
        <f t="shared" si="679"/>
        <v>1.0000133214829601</v>
      </c>
      <c r="FM50">
        <f t="shared" si="680"/>
        <v>1.0000133214829601</v>
      </c>
      <c r="FN50">
        <f t="shared" si="681"/>
        <v>1.0000133214829601</v>
      </c>
      <c r="FO50">
        <f t="shared" si="682"/>
        <v>1.0000133214829601</v>
      </c>
      <c r="FP50">
        <f t="shared" si="683"/>
        <v>1.0000133214829601</v>
      </c>
      <c r="FQ50">
        <f t="shared" si="684"/>
        <v>1.0000133214829601</v>
      </c>
      <c r="FR50">
        <f t="shared" si="685"/>
        <v>1.0000133214829601</v>
      </c>
      <c r="FS50">
        <f t="shared" si="686"/>
        <v>1.0000133214829601</v>
      </c>
      <c r="FT50">
        <f t="shared" si="687"/>
        <v>1.0000133214829601</v>
      </c>
      <c r="FU50">
        <f t="shared" si="688"/>
        <v>1.0000133214829601</v>
      </c>
      <c r="FV50">
        <f t="shared" si="689"/>
        <v>1.0000133214829601</v>
      </c>
      <c r="FW50">
        <f t="shared" si="690"/>
        <v>1.0000133214829601</v>
      </c>
      <c r="FX50">
        <f t="shared" si="691"/>
        <v>1.0000133214829601</v>
      </c>
      <c r="FY50">
        <f t="shared" si="692"/>
        <v>1.0000133214829601</v>
      </c>
      <c r="FZ50">
        <f t="shared" si="693"/>
        <v>1.0000133214829601</v>
      </c>
      <c r="GA50">
        <f t="shared" si="694"/>
        <v>1.0000133214829601</v>
      </c>
      <c r="GB50">
        <f t="shared" si="695"/>
        <v>1.0000133214829601</v>
      </c>
      <c r="GC50">
        <f t="shared" si="696"/>
        <v>1.0000133214829601</v>
      </c>
      <c r="GD50">
        <f t="shared" si="697"/>
        <v>1.0000133214829601</v>
      </c>
      <c r="GE50">
        <f t="shared" si="698"/>
        <v>1.0000133214829601</v>
      </c>
      <c r="GF50">
        <f t="shared" si="699"/>
        <v>1.0000133214829601</v>
      </c>
      <c r="GG50">
        <f t="shared" si="700"/>
        <v>1.0000133214829601</v>
      </c>
      <c r="GH50">
        <f t="shared" si="701"/>
        <v>1.0000133214829601</v>
      </c>
      <c r="GI50">
        <f t="shared" si="702"/>
        <v>1.0000133214829601</v>
      </c>
      <c r="GJ50">
        <f t="shared" si="703"/>
        <v>1.0000133214829601</v>
      </c>
      <c r="GK50">
        <f t="shared" si="704"/>
        <v>1.0000133214829601</v>
      </c>
      <c r="GL50">
        <f t="shared" si="705"/>
        <v>1.0000133214829601</v>
      </c>
      <c r="GM50">
        <f t="shared" si="706"/>
        <v>1.0000133214829601</v>
      </c>
      <c r="GN50">
        <f t="shared" si="707"/>
        <v>1.0000133214829601</v>
      </c>
      <c r="GO50">
        <f t="shared" si="708"/>
        <v>1.0000133214829601</v>
      </c>
      <c r="GP50">
        <f t="shared" si="709"/>
        <v>1.0000133214829601</v>
      </c>
      <c r="GQ50">
        <f t="shared" si="710"/>
        <v>1.0000133214829601</v>
      </c>
      <c r="GR50">
        <f t="shared" si="711"/>
        <v>1.0000133214829601</v>
      </c>
      <c r="GS50">
        <f t="shared" si="712"/>
        <v>1.0000133214829601</v>
      </c>
      <c r="GT50">
        <f t="shared" si="713"/>
        <v>1.0000133214829601</v>
      </c>
      <c r="GU50">
        <f t="shared" si="714"/>
        <v>1.0000133214829601</v>
      </c>
      <c r="GV50">
        <f t="shared" si="715"/>
        <v>1.0000133214829601</v>
      </c>
      <c r="GW50">
        <f t="shared" si="716"/>
        <v>1.0000133214829601</v>
      </c>
      <c r="GX50">
        <f t="shared" si="717"/>
        <v>1.0000133214829601</v>
      </c>
      <c r="GY50">
        <f t="shared" si="718"/>
        <v>1.0000133214829601</v>
      </c>
      <c r="GZ50">
        <f t="shared" si="719"/>
        <v>1.0000133214829601</v>
      </c>
      <c r="HA50">
        <f t="shared" si="720"/>
        <v>1.0000133214829601</v>
      </c>
      <c r="HB50">
        <f t="shared" si="721"/>
        <v>1.0000133214829601</v>
      </c>
      <c r="HC50">
        <f t="shared" si="722"/>
        <v>1.0000133214829601</v>
      </c>
      <c r="HD50">
        <f t="shared" si="723"/>
        <v>1.0000133214829601</v>
      </c>
      <c r="HE50">
        <f t="shared" si="724"/>
        <v>1.0000133214829601</v>
      </c>
      <c r="HF50">
        <f t="shared" si="725"/>
        <v>1.0000133214829601</v>
      </c>
      <c r="HG50">
        <f t="shared" si="726"/>
        <v>1.0000133214829601</v>
      </c>
      <c r="HH50">
        <f t="shared" si="727"/>
        <v>1.0000133214829601</v>
      </c>
      <c r="HI50">
        <f t="shared" si="728"/>
        <v>1.0000133214829601</v>
      </c>
      <c r="HJ50">
        <f t="shared" si="729"/>
        <v>1.0000133214829601</v>
      </c>
      <c r="HK50">
        <f t="shared" si="730"/>
        <v>1.0000133214829601</v>
      </c>
      <c r="HL50">
        <f t="shared" si="731"/>
        <v>1.0000133214829601</v>
      </c>
      <c r="HM50">
        <f t="shared" si="732"/>
        <v>1.0000133214829601</v>
      </c>
      <c r="HN50">
        <f t="shared" si="733"/>
        <v>1.0000133214829601</v>
      </c>
      <c r="HO50">
        <f t="shared" si="734"/>
        <v>1.0000133214829601</v>
      </c>
      <c r="HP50">
        <f t="shared" si="735"/>
        <v>1.0000133214829601</v>
      </c>
      <c r="HQ50">
        <f t="shared" si="736"/>
        <v>1.0000133214829601</v>
      </c>
      <c r="HR50">
        <f t="shared" si="737"/>
        <v>1.0000133214829601</v>
      </c>
      <c r="HS50">
        <f t="shared" si="738"/>
        <v>1.0000133214829601</v>
      </c>
      <c r="HT50">
        <f t="shared" si="739"/>
        <v>1.0000133214829601</v>
      </c>
      <c r="HU50">
        <f t="shared" si="740"/>
        <v>1.0000133214829601</v>
      </c>
      <c r="HV50">
        <f t="shared" si="741"/>
        <v>1.0000133214829601</v>
      </c>
      <c r="HW50">
        <f t="shared" si="742"/>
        <v>1.0000133214829601</v>
      </c>
      <c r="HX50">
        <f t="shared" si="743"/>
        <v>1.0000133214829601</v>
      </c>
      <c r="HY50">
        <f t="shared" si="744"/>
        <v>1.0000133214829601</v>
      </c>
      <c r="HZ50">
        <f t="shared" si="745"/>
        <v>1.0000133214829601</v>
      </c>
      <c r="IA50">
        <f t="shared" si="746"/>
        <v>1.0000133214829601</v>
      </c>
      <c r="IB50">
        <f t="shared" si="747"/>
        <v>1.0000133214829601</v>
      </c>
      <c r="IC50">
        <f t="shared" si="748"/>
        <v>1.0000133214829601</v>
      </c>
      <c r="ID50">
        <f t="shared" si="749"/>
        <v>1.0000133214829601</v>
      </c>
      <c r="IE50">
        <f t="shared" si="750"/>
        <v>1.0000133214829601</v>
      </c>
      <c r="IF50">
        <f t="shared" si="751"/>
        <v>1.0000133214829601</v>
      </c>
      <c r="IG50">
        <f t="shared" si="752"/>
        <v>1.0000133214829601</v>
      </c>
      <c r="IH50">
        <f t="shared" si="753"/>
        <v>1.0000133214829601</v>
      </c>
      <c r="II50">
        <f t="shared" si="754"/>
        <v>1.0000133214829601</v>
      </c>
      <c r="IJ50">
        <f t="shared" si="755"/>
        <v>1.0000133214829601</v>
      </c>
      <c r="IK50">
        <f t="shared" si="756"/>
        <v>1.0000133214829601</v>
      </c>
      <c r="IL50">
        <f t="shared" si="757"/>
        <v>1.0000133214829601</v>
      </c>
      <c r="IM50">
        <f t="shared" si="758"/>
        <v>1.0000133214829601</v>
      </c>
      <c r="IN50">
        <f t="shared" si="759"/>
        <v>1.0000133214829601</v>
      </c>
      <c r="IO50">
        <f t="shared" si="760"/>
        <v>1.0000133214829601</v>
      </c>
      <c r="IP50">
        <f t="shared" si="761"/>
        <v>1.0000133214829601</v>
      </c>
      <c r="IQ50">
        <f t="shared" si="762"/>
        <v>1.0000133214829601</v>
      </c>
      <c r="IR50">
        <f t="shared" si="763"/>
        <v>1.0000133214829601</v>
      </c>
      <c r="IS50">
        <f t="shared" si="764"/>
        <v>1.0000133214829601</v>
      </c>
      <c r="IT50">
        <f t="shared" si="765"/>
        <v>1.0000133214829601</v>
      </c>
      <c r="IU50">
        <f t="shared" si="766"/>
        <v>1.0000133214829601</v>
      </c>
      <c r="IV50">
        <f t="shared" si="767"/>
        <v>1.0000133214829601</v>
      </c>
    </row>
    <row r="51" spans="1:256" x14ac:dyDescent="0.2">
      <c r="A51" t="s">
        <v>522</v>
      </c>
      <c r="B51">
        <f t="shared" si="513"/>
        <v>0.64608152932591834</v>
      </c>
      <c r="C51">
        <f t="shared" si="514"/>
        <v>0.64608152932591834</v>
      </c>
      <c r="D51">
        <f t="shared" si="515"/>
        <v>0.64608152932591834</v>
      </c>
      <c r="E51">
        <f t="shared" si="516"/>
        <v>0.64608152932591834</v>
      </c>
      <c r="F51">
        <f t="shared" si="517"/>
        <v>0.64608152932591834</v>
      </c>
      <c r="G51">
        <f t="shared" si="518"/>
        <v>0.64608152932591834</v>
      </c>
      <c r="H51">
        <f t="shared" si="519"/>
        <v>0.64608152932591834</v>
      </c>
      <c r="I51">
        <f t="shared" si="520"/>
        <v>0.64608152932591834</v>
      </c>
      <c r="J51">
        <f t="shared" si="521"/>
        <v>0.95631431676488821</v>
      </c>
      <c r="K51">
        <f t="shared" si="522"/>
        <v>0.95631431676488821</v>
      </c>
      <c r="L51">
        <f t="shared" si="523"/>
        <v>0.95631431676488821</v>
      </c>
      <c r="M51">
        <f t="shared" si="524"/>
        <v>0.95631431676488821</v>
      </c>
      <c r="N51">
        <f t="shared" si="525"/>
        <v>0.95631431676488821</v>
      </c>
      <c r="O51">
        <f t="shared" si="526"/>
        <v>0.95631431676488821</v>
      </c>
      <c r="P51">
        <f t="shared" si="527"/>
        <v>0.95631431676488821</v>
      </c>
      <c r="Q51">
        <f t="shared" si="528"/>
        <v>0.95631431676488821</v>
      </c>
      <c r="R51">
        <f t="shared" si="529"/>
        <v>0.61490054520136983</v>
      </c>
      <c r="S51">
        <f t="shared" si="530"/>
        <v>0.61490054520136983</v>
      </c>
      <c r="T51">
        <f t="shared" si="531"/>
        <v>0.61490054520136983</v>
      </c>
      <c r="U51">
        <f t="shared" si="532"/>
        <v>0.61490054520136983</v>
      </c>
      <c r="V51">
        <f t="shared" si="533"/>
        <v>0.61490054520136983</v>
      </c>
      <c r="W51">
        <f t="shared" si="534"/>
        <v>0.61490054520136983</v>
      </c>
      <c r="X51">
        <f t="shared" si="535"/>
        <v>0.61490054520136983</v>
      </c>
      <c r="Y51">
        <f t="shared" si="536"/>
        <v>0.61490054520136983</v>
      </c>
      <c r="Z51">
        <f t="shared" si="537"/>
        <v>1.0207935955788219</v>
      </c>
      <c r="AA51">
        <f t="shared" si="538"/>
        <v>1.0207935955788219</v>
      </c>
      <c r="AB51">
        <f t="shared" si="539"/>
        <v>1.0207935955788219</v>
      </c>
      <c r="AC51">
        <f t="shared" si="540"/>
        <v>1.0207935955788219</v>
      </c>
      <c r="AD51">
        <f t="shared" si="541"/>
        <v>1.0207935955788219</v>
      </c>
      <c r="AE51">
        <f t="shared" si="542"/>
        <v>1.0207935955788219</v>
      </c>
      <c r="AF51">
        <f t="shared" si="543"/>
        <v>1.0207935955788219</v>
      </c>
      <c r="AG51">
        <f t="shared" si="544"/>
        <v>1.0207935955788219</v>
      </c>
      <c r="AH51">
        <f t="shared" si="545"/>
        <v>0.46971038818359373</v>
      </c>
      <c r="AI51">
        <f t="shared" si="546"/>
        <v>0.46971038818359373</v>
      </c>
      <c r="AJ51">
        <f t="shared" si="547"/>
        <v>0.46971038818359373</v>
      </c>
      <c r="AK51">
        <f t="shared" si="548"/>
        <v>0.46971038818359373</v>
      </c>
      <c r="AL51">
        <f t="shared" si="549"/>
        <v>0.46971038818359373</v>
      </c>
      <c r="AM51">
        <f t="shared" si="550"/>
        <v>0.46971038818359373</v>
      </c>
      <c r="AN51">
        <f t="shared" si="551"/>
        <v>0.46971038818359373</v>
      </c>
      <c r="AO51">
        <f t="shared" si="552"/>
        <v>0.46971038818359373</v>
      </c>
      <c r="AP51">
        <f t="shared" si="553"/>
        <v>0.93942077636718757</v>
      </c>
      <c r="AQ51">
        <f t="shared" si="554"/>
        <v>0.93942077636718757</v>
      </c>
      <c r="AR51">
        <f t="shared" si="555"/>
        <v>0.93942077636718757</v>
      </c>
      <c r="AS51">
        <f t="shared" si="556"/>
        <v>0.93942077636718757</v>
      </c>
      <c r="AT51">
        <f t="shared" si="557"/>
        <v>0.93942077636718757</v>
      </c>
      <c r="AU51">
        <f t="shared" si="558"/>
        <v>0.93942077636718757</v>
      </c>
      <c r="AV51">
        <f t="shared" si="559"/>
        <v>0.93942077636718757</v>
      </c>
      <c r="AW51">
        <f t="shared" si="560"/>
        <v>0.93942077636718757</v>
      </c>
      <c r="AX51">
        <f t="shared" si="561"/>
        <v>0.99999999856059063</v>
      </c>
      <c r="AY51">
        <f t="shared" si="562"/>
        <v>0.99999999856059063</v>
      </c>
      <c r="AZ51">
        <f t="shared" si="563"/>
        <v>0.99999999856059063</v>
      </c>
      <c r="BA51">
        <f t="shared" si="564"/>
        <v>0.99999999856059063</v>
      </c>
      <c r="BB51">
        <f t="shared" si="565"/>
        <v>0.99999999856059063</v>
      </c>
      <c r="BC51">
        <f t="shared" si="566"/>
        <v>0.99999999856059063</v>
      </c>
      <c r="BD51">
        <f t="shared" si="567"/>
        <v>0.99999999856059063</v>
      </c>
      <c r="BE51">
        <f t="shared" si="568"/>
        <v>0.99999999856059063</v>
      </c>
      <c r="BF51">
        <f t="shared" si="569"/>
        <v>0.99999999856059063</v>
      </c>
      <c r="BG51">
        <f t="shared" si="570"/>
        <v>0.99999999856059063</v>
      </c>
      <c r="BH51">
        <f t="shared" si="571"/>
        <v>0.99999999856059063</v>
      </c>
      <c r="BI51">
        <f t="shared" si="572"/>
        <v>0.99999999856059063</v>
      </c>
      <c r="BJ51">
        <f t="shared" si="573"/>
        <v>0.99999999856059063</v>
      </c>
      <c r="BK51">
        <f t="shared" si="574"/>
        <v>0.99999999856059063</v>
      </c>
      <c r="BL51">
        <f t="shared" si="575"/>
        <v>0.99999999856059063</v>
      </c>
      <c r="BM51">
        <f t="shared" si="576"/>
        <v>0.99999999856059063</v>
      </c>
      <c r="BN51">
        <f t="shared" si="577"/>
        <v>0.99999999856059063</v>
      </c>
      <c r="BO51">
        <f t="shared" si="578"/>
        <v>0.99999999856059063</v>
      </c>
      <c r="BP51">
        <f t="shared" si="579"/>
        <v>0.99999999856059063</v>
      </c>
      <c r="BQ51">
        <f t="shared" si="580"/>
        <v>0.99999999856059063</v>
      </c>
      <c r="BR51">
        <f t="shared" si="581"/>
        <v>0.99999999856059063</v>
      </c>
      <c r="BS51">
        <f t="shared" si="582"/>
        <v>0.99999999856059063</v>
      </c>
      <c r="BT51">
        <f t="shared" si="583"/>
        <v>0.99999999856059063</v>
      </c>
      <c r="BU51">
        <f t="shared" si="584"/>
        <v>0.99999999856059063</v>
      </c>
      <c r="BV51">
        <f t="shared" si="585"/>
        <v>0.99999999856059063</v>
      </c>
      <c r="BW51">
        <f t="shared" si="586"/>
        <v>0.99999999856059063</v>
      </c>
      <c r="BX51">
        <f t="shared" si="587"/>
        <v>0.99999999856059063</v>
      </c>
      <c r="BY51">
        <f t="shared" si="588"/>
        <v>0.99999999856059063</v>
      </c>
      <c r="BZ51">
        <f t="shared" si="589"/>
        <v>0.99999999856059063</v>
      </c>
      <c r="CA51">
        <f t="shared" si="590"/>
        <v>0.99999999856059063</v>
      </c>
      <c r="CB51">
        <f t="shared" si="591"/>
        <v>0.99999999856059063</v>
      </c>
      <c r="CC51">
        <f t="shared" si="592"/>
        <v>0.99999999856059063</v>
      </c>
      <c r="CD51">
        <f t="shared" si="593"/>
        <v>0.99999999856059063</v>
      </c>
      <c r="CE51">
        <f t="shared" si="594"/>
        <v>0.99999999856059063</v>
      </c>
      <c r="CF51">
        <f t="shared" si="595"/>
        <v>0.99999999856059063</v>
      </c>
      <c r="CG51">
        <f t="shared" si="596"/>
        <v>0.99999999856059063</v>
      </c>
      <c r="CH51">
        <f t="shared" si="597"/>
        <v>0.99999999856059063</v>
      </c>
      <c r="CI51">
        <f t="shared" si="598"/>
        <v>0.99999999856059063</v>
      </c>
      <c r="CJ51">
        <f t="shared" si="599"/>
        <v>0.99999999856059063</v>
      </c>
      <c r="CK51">
        <f t="shared" si="600"/>
        <v>0.99999999856059063</v>
      </c>
      <c r="CL51">
        <f t="shared" si="601"/>
        <v>0.99999999856059063</v>
      </c>
      <c r="CM51">
        <f t="shared" si="602"/>
        <v>0.99999999856059063</v>
      </c>
      <c r="CN51">
        <f t="shared" si="603"/>
        <v>0.99999999856059063</v>
      </c>
      <c r="CO51">
        <f t="shared" si="604"/>
        <v>0.99999999856059063</v>
      </c>
      <c r="CP51">
        <f t="shared" si="605"/>
        <v>0.99999999856059063</v>
      </c>
      <c r="CQ51">
        <f t="shared" si="606"/>
        <v>0.99999999856059063</v>
      </c>
      <c r="CR51">
        <f t="shared" si="607"/>
        <v>0.99999999856059063</v>
      </c>
      <c r="CS51">
        <f t="shared" si="608"/>
        <v>0.99999999856059063</v>
      </c>
      <c r="CT51">
        <f t="shared" si="609"/>
        <v>0.99999999856059063</v>
      </c>
      <c r="CU51">
        <f t="shared" si="610"/>
        <v>0.99999999856059063</v>
      </c>
      <c r="CV51">
        <f t="shared" si="611"/>
        <v>0.99999999856059063</v>
      </c>
      <c r="CW51">
        <f t="shared" si="612"/>
        <v>0.99999999856059063</v>
      </c>
      <c r="CX51">
        <f t="shared" si="613"/>
        <v>0.99999999856059063</v>
      </c>
      <c r="CY51">
        <f t="shared" si="614"/>
        <v>0.99999999856059063</v>
      </c>
      <c r="CZ51">
        <f t="shared" si="615"/>
        <v>0.99999999856059063</v>
      </c>
      <c r="DA51">
        <f t="shared" si="616"/>
        <v>0.99999999856059063</v>
      </c>
      <c r="DB51">
        <f t="shared" si="617"/>
        <v>0.99999999856059063</v>
      </c>
      <c r="DC51">
        <f t="shared" si="618"/>
        <v>0.99999999856059063</v>
      </c>
      <c r="DD51">
        <f t="shared" si="619"/>
        <v>0.99999999856059063</v>
      </c>
      <c r="DE51">
        <f t="shared" si="620"/>
        <v>0.99999999856059063</v>
      </c>
      <c r="DF51">
        <f t="shared" si="621"/>
        <v>0.99999999856059063</v>
      </c>
      <c r="DG51">
        <f t="shared" si="622"/>
        <v>0.99999999856059063</v>
      </c>
      <c r="DH51">
        <f t="shared" si="623"/>
        <v>0.99999999856059063</v>
      </c>
      <c r="DI51">
        <f t="shared" si="624"/>
        <v>0.99999999856059063</v>
      </c>
      <c r="DJ51">
        <f t="shared" si="625"/>
        <v>0.99999999856059063</v>
      </c>
      <c r="DK51">
        <f t="shared" si="626"/>
        <v>0.99999999856059063</v>
      </c>
      <c r="DL51">
        <f t="shared" si="627"/>
        <v>0.99999999856059063</v>
      </c>
      <c r="DM51">
        <f t="shared" si="628"/>
        <v>0.99999999856059063</v>
      </c>
      <c r="DN51">
        <f t="shared" si="629"/>
        <v>0.99999999856059063</v>
      </c>
      <c r="DO51">
        <f t="shared" si="630"/>
        <v>0.99999999856059063</v>
      </c>
      <c r="DP51">
        <f t="shared" si="631"/>
        <v>0.99999999856059063</v>
      </c>
      <c r="DQ51">
        <f t="shared" si="632"/>
        <v>0.99999999856059063</v>
      </c>
      <c r="DR51">
        <f t="shared" si="633"/>
        <v>0.99999999856059063</v>
      </c>
      <c r="DS51">
        <f t="shared" si="634"/>
        <v>0.99999999856059063</v>
      </c>
      <c r="DT51">
        <f t="shared" si="635"/>
        <v>0.99999999856059063</v>
      </c>
      <c r="DU51">
        <f t="shared" si="636"/>
        <v>0.99999999856059063</v>
      </c>
      <c r="DV51">
        <f t="shared" si="637"/>
        <v>0.99999999856059063</v>
      </c>
      <c r="DW51">
        <f t="shared" si="638"/>
        <v>0.99999999856059063</v>
      </c>
      <c r="DX51">
        <f t="shared" si="639"/>
        <v>0.99999999856059063</v>
      </c>
      <c r="DY51">
        <f t="shared" si="640"/>
        <v>0.99999999856059063</v>
      </c>
      <c r="DZ51">
        <f t="shared" si="641"/>
        <v>0.99999999856059063</v>
      </c>
      <c r="EA51">
        <f t="shared" si="642"/>
        <v>0.99999999856059063</v>
      </c>
      <c r="EB51">
        <f t="shared" si="643"/>
        <v>0.99999999856059063</v>
      </c>
      <c r="EC51">
        <f t="shared" si="644"/>
        <v>0.99999999856059063</v>
      </c>
      <c r="ED51">
        <f t="shared" si="645"/>
        <v>0.99999999856059063</v>
      </c>
      <c r="EE51">
        <f t="shared" si="646"/>
        <v>0.99999999856059063</v>
      </c>
      <c r="EF51">
        <f t="shared" si="647"/>
        <v>0.99999999856059063</v>
      </c>
      <c r="EG51">
        <f t="shared" si="648"/>
        <v>0.99999999856059063</v>
      </c>
      <c r="EH51">
        <f t="shared" si="649"/>
        <v>0.99999999856059063</v>
      </c>
      <c r="EI51">
        <f t="shared" si="650"/>
        <v>0.99999999856059063</v>
      </c>
      <c r="EJ51">
        <f t="shared" si="651"/>
        <v>0.99999999856059063</v>
      </c>
      <c r="EK51">
        <f t="shared" si="652"/>
        <v>0.99999999856059063</v>
      </c>
      <c r="EL51">
        <f t="shared" si="653"/>
        <v>0.99999999856059063</v>
      </c>
      <c r="EM51">
        <f t="shared" si="654"/>
        <v>0.99999999856059063</v>
      </c>
      <c r="EN51">
        <f t="shared" si="655"/>
        <v>0.99999999856059063</v>
      </c>
      <c r="EO51">
        <f t="shared" si="656"/>
        <v>0.99999999856059063</v>
      </c>
      <c r="EP51">
        <f t="shared" si="657"/>
        <v>0.99999999856059063</v>
      </c>
      <c r="EQ51">
        <f t="shared" si="658"/>
        <v>0.99999999856059063</v>
      </c>
      <c r="ER51">
        <f t="shared" si="659"/>
        <v>0.99999999856059063</v>
      </c>
      <c r="ES51">
        <f t="shared" si="660"/>
        <v>0.99999999856059063</v>
      </c>
      <c r="ET51">
        <f t="shared" si="661"/>
        <v>0.99999999856059063</v>
      </c>
      <c r="EU51">
        <f t="shared" si="662"/>
        <v>0.99999999856059063</v>
      </c>
      <c r="EV51">
        <f t="shared" si="663"/>
        <v>0.99999999856059063</v>
      </c>
      <c r="EW51">
        <f t="shared" si="664"/>
        <v>0.99999999856059063</v>
      </c>
      <c r="EX51">
        <f t="shared" si="665"/>
        <v>0.99999999856059063</v>
      </c>
      <c r="EY51">
        <f t="shared" si="666"/>
        <v>0.99999999856059063</v>
      </c>
      <c r="EZ51">
        <f t="shared" si="667"/>
        <v>0.99999999856059063</v>
      </c>
      <c r="FA51">
        <f t="shared" si="668"/>
        <v>0.99999999856059063</v>
      </c>
      <c r="FB51">
        <f t="shared" si="669"/>
        <v>0.99999999856059063</v>
      </c>
      <c r="FC51">
        <f t="shared" si="670"/>
        <v>0.99999999856059063</v>
      </c>
      <c r="FD51">
        <f t="shared" si="671"/>
        <v>0.99999999856059063</v>
      </c>
      <c r="FE51">
        <f t="shared" si="672"/>
        <v>0.99999999856059063</v>
      </c>
      <c r="FF51">
        <f t="shared" si="673"/>
        <v>0.99999999856059063</v>
      </c>
      <c r="FG51">
        <f t="shared" si="674"/>
        <v>0.99999999856059063</v>
      </c>
      <c r="FH51">
        <f t="shared" si="675"/>
        <v>0.99999999856059063</v>
      </c>
      <c r="FI51">
        <f t="shared" si="676"/>
        <v>0.99999999856059063</v>
      </c>
      <c r="FJ51">
        <f t="shared" si="677"/>
        <v>0.99999999856059063</v>
      </c>
      <c r="FK51">
        <f t="shared" si="678"/>
        <v>0.99999999856059063</v>
      </c>
      <c r="FL51">
        <f t="shared" si="679"/>
        <v>0.99999999856059063</v>
      </c>
      <c r="FM51">
        <f t="shared" si="680"/>
        <v>0.99999999856059063</v>
      </c>
      <c r="FN51">
        <f t="shared" si="681"/>
        <v>0.99999999856059063</v>
      </c>
      <c r="FO51">
        <f t="shared" si="682"/>
        <v>0.99999999856059063</v>
      </c>
      <c r="FP51">
        <f t="shared" si="683"/>
        <v>0.99999999856059063</v>
      </c>
      <c r="FQ51">
        <f t="shared" si="684"/>
        <v>0.99999999856059063</v>
      </c>
      <c r="FR51">
        <f t="shared" si="685"/>
        <v>0.99999999856059063</v>
      </c>
      <c r="FS51">
        <f t="shared" si="686"/>
        <v>0.99999999856059063</v>
      </c>
      <c r="FT51">
        <f t="shared" si="687"/>
        <v>0.99999999856059063</v>
      </c>
      <c r="FU51">
        <f t="shared" si="688"/>
        <v>0.99999999856059063</v>
      </c>
      <c r="FV51">
        <f t="shared" si="689"/>
        <v>0.99999999856059063</v>
      </c>
      <c r="FW51">
        <f t="shared" si="690"/>
        <v>0.99999999856059063</v>
      </c>
      <c r="FX51">
        <f t="shared" si="691"/>
        <v>0.99999999856059063</v>
      </c>
      <c r="FY51">
        <f t="shared" si="692"/>
        <v>0.99999999856059063</v>
      </c>
      <c r="FZ51">
        <f t="shared" si="693"/>
        <v>0.99999999856059063</v>
      </c>
      <c r="GA51">
        <f t="shared" si="694"/>
        <v>0.99999999856059063</v>
      </c>
      <c r="GB51">
        <f t="shared" si="695"/>
        <v>0.99999999856059063</v>
      </c>
      <c r="GC51">
        <f t="shared" si="696"/>
        <v>0.99999999856059063</v>
      </c>
      <c r="GD51">
        <f t="shared" si="697"/>
        <v>0.99999999856059063</v>
      </c>
      <c r="GE51">
        <f t="shared" si="698"/>
        <v>0.99999999856059063</v>
      </c>
      <c r="GF51">
        <f t="shared" si="699"/>
        <v>0.99999999856059063</v>
      </c>
      <c r="GG51">
        <f t="shared" si="700"/>
        <v>0.99999999856059063</v>
      </c>
      <c r="GH51">
        <f t="shared" si="701"/>
        <v>0.99999999856059063</v>
      </c>
      <c r="GI51">
        <f t="shared" si="702"/>
        <v>0.99999999856059063</v>
      </c>
      <c r="GJ51">
        <f t="shared" si="703"/>
        <v>0.99999999856059063</v>
      </c>
      <c r="GK51">
        <f t="shared" si="704"/>
        <v>0.99999999856059063</v>
      </c>
      <c r="GL51">
        <f t="shared" si="705"/>
        <v>0.99999999856059063</v>
      </c>
      <c r="GM51">
        <f t="shared" si="706"/>
        <v>0.99999999856059063</v>
      </c>
      <c r="GN51">
        <f t="shared" si="707"/>
        <v>0.99999999856059063</v>
      </c>
      <c r="GO51">
        <f t="shared" si="708"/>
        <v>0.99999999856059063</v>
      </c>
      <c r="GP51">
        <f t="shared" si="709"/>
        <v>0.99999999856059063</v>
      </c>
      <c r="GQ51">
        <f t="shared" si="710"/>
        <v>0.99999999856059063</v>
      </c>
      <c r="GR51">
        <f t="shared" si="711"/>
        <v>0.99999999856059063</v>
      </c>
      <c r="GS51">
        <f t="shared" si="712"/>
        <v>0.99999999856059063</v>
      </c>
      <c r="GT51">
        <f t="shared" si="713"/>
        <v>0.99999999856059063</v>
      </c>
      <c r="GU51">
        <f t="shared" si="714"/>
        <v>0.99999999856059063</v>
      </c>
      <c r="GV51">
        <f t="shared" si="715"/>
        <v>0.99999999856059063</v>
      </c>
      <c r="GW51">
        <f t="shared" si="716"/>
        <v>0.99999999856059063</v>
      </c>
      <c r="GX51">
        <f t="shared" si="717"/>
        <v>0.99999999856059063</v>
      </c>
      <c r="GY51">
        <f t="shared" si="718"/>
        <v>0.99999999856059063</v>
      </c>
      <c r="GZ51">
        <f t="shared" si="719"/>
        <v>0.99999999856059063</v>
      </c>
      <c r="HA51">
        <f t="shared" si="720"/>
        <v>0.99999999856059063</v>
      </c>
      <c r="HB51">
        <f t="shared" si="721"/>
        <v>0.99999999856059063</v>
      </c>
      <c r="HC51">
        <f t="shared" si="722"/>
        <v>0.99999999856059063</v>
      </c>
      <c r="HD51">
        <f t="shared" si="723"/>
        <v>0.99999999856059063</v>
      </c>
      <c r="HE51">
        <f t="shared" si="724"/>
        <v>0.99999999856059063</v>
      </c>
      <c r="HF51">
        <f t="shared" si="725"/>
        <v>0.99999999856059063</v>
      </c>
      <c r="HG51">
        <f t="shared" si="726"/>
        <v>0.99999999856059063</v>
      </c>
      <c r="HH51">
        <f t="shared" si="727"/>
        <v>0.99999999856059063</v>
      </c>
      <c r="HI51">
        <f t="shared" si="728"/>
        <v>0.99999999856059063</v>
      </c>
      <c r="HJ51">
        <f t="shared" si="729"/>
        <v>0.99999999856059063</v>
      </c>
      <c r="HK51">
        <f t="shared" si="730"/>
        <v>0.99999999856059063</v>
      </c>
      <c r="HL51">
        <f t="shared" si="731"/>
        <v>0.99999999856059063</v>
      </c>
      <c r="HM51">
        <f t="shared" si="732"/>
        <v>0.99999999856059063</v>
      </c>
      <c r="HN51">
        <f t="shared" si="733"/>
        <v>0.99999999856059063</v>
      </c>
      <c r="HO51">
        <f t="shared" si="734"/>
        <v>0.99999999856059063</v>
      </c>
      <c r="HP51">
        <f t="shared" si="735"/>
        <v>0.99999999856059063</v>
      </c>
      <c r="HQ51">
        <f t="shared" si="736"/>
        <v>0.99999999856059063</v>
      </c>
      <c r="HR51">
        <f t="shared" si="737"/>
        <v>0.99999999856059063</v>
      </c>
      <c r="HS51">
        <f t="shared" si="738"/>
        <v>0.99999999856059063</v>
      </c>
      <c r="HT51">
        <f t="shared" si="739"/>
        <v>0.99999999856059063</v>
      </c>
      <c r="HU51">
        <f t="shared" si="740"/>
        <v>0.99999999856059063</v>
      </c>
      <c r="HV51">
        <f t="shared" si="741"/>
        <v>0.99999999856059063</v>
      </c>
      <c r="HW51">
        <f t="shared" si="742"/>
        <v>0.99999999856059063</v>
      </c>
      <c r="HX51">
        <f t="shared" si="743"/>
        <v>0.99999999856059063</v>
      </c>
      <c r="HY51">
        <f t="shared" si="744"/>
        <v>0.99999999856059063</v>
      </c>
      <c r="HZ51">
        <f t="shared" si="745"/>
        <v>0.99999999856059063</v>
      </c>
      <c r="IA51">
        <f t="shared" si="746"/>
        <v>0.99999999856059063</v>
      </c>
      <c r="IB51">
        <f t="shared" si="747"/>
        <v>0.99999999856059063</v>
      </c>
      <c r="IC51">
        <f t="shared" si="748"/>
        <v>0.99999999856059063</v>
      </c>
      <c r="ID51">
        <f t="shared" si="749"/>
        <v>0.99999999856059063</v>
      </c>
      <c r="IE51">
        <f t="shared" si="750"/>
        <v>0.99999999856059063</v>
      </c>
      <c r="IF51">
        <f t="shared" si="751"/>
        <v>0.99999999856059063</v>
      </c>
      <c r="IG51">
        <f t="shared" si="752"/>
        <v>0.99999999856059063</v>
      </c>
      <c r="IH51">
        <f t="shared" si="753"/>
        <v>0.99999999856059063</v>
      </c>
      <c r="II51">
        <f t="shared" si="754"/>
        <v>0.99999999856059063</v>
      </c>
      <c r="IJ51">
        <f t="shared" si="755"/>
        <v>0.99999999856059063</v>
      </c>
      <c r="IK51">
        <f t="shared" si="756"/>
        <v>0.99999999856059063</v>
      </c>
      <c r="IL51">
        <f t="shared" si="757"/>
        <v>0.99999999856059063</v>
      </c>
      <c r="IM51">
        <f t="shared" si="758"/>
        <v>0.99999999856059063</v>
      </c>
      <c r="IN51">
        <f t="shared" si="759"/>
        <v>0.99999999856059063</v>
      </c>
      <c r="IO51">
        <f t="shared" si="760"/>
        <v>0.99999999856059063</v>
      </c>
      <c r="IP51">
        <f t="shared" si="761"/>
        <v>0.99999999856059063</v>
      </c>
      <c r="IQ51">
        <f t="shared" si="762"/>
        <v>0.99999999856059063</v>
      </c>
      <c r="IR51">
        <f t="shared" si="763"/>
        <v>0.99999999856059063</v>
      </c>
      <c r="IS51">
        <f t="shared" si="764"/>
        <v>0.99999999856059063</v>
      </c>
      <c r="IT51">
        <f t="shared" si="765"/>
        <v>0.99999999856059063</v>
      </c>
      <c r="IU51">
        <f t="shared" si="766"/>
        <v>0.99999999856059063</v>
      </c>
      <c r="IV51">
        <f t="shared" si="767"/>
        <v>0.99999999856059063</v>
      </c>
    </row>
    <row r="52" spans="1:256" x14ac:dyDescent="0.2">
      <c r="A52" t="s">
        <v>523</v>
      </c>
      <c r="B52">
        <f t="shared" si="513"/>
        <v>0.17589141685066245</v>
      </c>
      <c r="C52">
        <f t="shared" si="514"/>
        <v>0.17589141685066245</v>
      </c>
      <c r="D52">
        <f t="shared" si="515"/>
        <v>0.17589141685066245</v>
      </c>
      <c r="E52">
        <f t="shared" si="516"/>
        <v>0.17589141685066245</v>
      </c>
      <c r="F52">
        <f t="shared" si="517"/>
        <v>0.17589141685066245</v>
      </c>
      <c r="G52">
        <f t="shared" si="518"/>
        <v>0.17589141685066245</v>
      </c>
      <c r="H52">
        <f t="shared" si="519"/>
        <v>0.17589141685066245</v>
      </c>
      <c r="I52">
        <f t="shared" si="520"/>
        <v>0.17589141685066245</v>
      </c>
      <c r="J52">
        <f t="shared" si="521"/>
        <v>0.1</v>
      </c>
      <c r="K52">
        <f t="shared" si="522"/>
        <v>0.1</v>
      </c>
      <c r="L52">
        <f t="shared" si="523"/>
        <v>0.1</v>
      </c>
      <c r="M52">
        <f t="shared" si="524"/>
        <v>0.1</v>
      </c>
      <c r="N52">
        <f t="shared" si="525"/>
        <v>0.1</v>
      </c>
      <c r="O52">
        <f t="shared" si="526"/>
        <v>0.1</v>
      </c>
      <c r="P52">
        <f t="shared" si="527"/>
        <v>0.1</v>
      </c>
      <c r="Q52">
        <f t="shared" si="528"/>
        <v>0.1</v>
      </c>
      <c r="R52">
        <f t="shared" si="529"/>
        <v>0.2</v>
      </c>
      <c r="S52">
        <f t="shared" si="530"/>
        <v>0.2</v>
      </c>
      <c r="T52">
        <f t="shared" si="531"/>
        <v>0.2</v>
      </c>
      <c r="U52">
        <f t="shared" si="532"/>
        <v>0.2</v>
      </c>
      <c r="V52">
        <f t="shared" si="533"/>
        <v>0.2</v>
      </c>
      <c r="W52">
        <f t="shared" si="534"/>
        <v>0.2</v>
      </c>
      <c r="X52">
        <f t="shared" si="535"/>
        <v>0.2</v>
      </c>
      <c r="Y52">
        <f t="shared" si="536"/>
        <v>0.2</v>
      </c>
      <c r="Z52">
        <f t="shared" si="537"/>
        <v>0.27631075415502315</v>
      </c>
      <c r="AA52">
        <f t="shared" si="538"/>
        <v>0.27631075415502315</v>
      </c>
      <c r="AB52">
        <f t="shared" si="539"/>
        <v>0.27631075415502315</v>
      </c>
      <c r="AC52">
        <f t="shared" si="540"/>
        <v>0.27631075415502315</v>
      </c>
      <c r="AD52">
        <f t="shared" si="541"/>
        <v>0.27631075415502315</v>
      </c>
      <c r="AE52">
        <f t="shared" si="542"/>
        <v>0.27631075415502315</v>
      </c>
      <c r="AF52">
        <f t="shared" si="543"/>
        <v>0.27631075415502315</v>
      </c>
      <c r="AG52">
        <f t="shared" si="544"/>
        <v>0.27631075415502315</v>
      </c>
      <c r="AH52">
        <f t="shared" si="545"/>
        <v>0.69426445007324222</v>
      </c>
      <c r="AI52">
        <f t="shared" si="546"/>
        <v>0.69426445007324222</v>
      </c>
      <c r="AJ52">
        <f t="shared" si="547"/>
        <v>0.69426445007324222</v>
      </c>
      <c r="AK52">
        <f t="shared" si="548"/>
        <v>0.69426445007324222</v>
      </c>
      <c r="AL52">
        <f t="shared" si="549"/>
        <v>0.69426445007324222</v>
      </c>
      <c r="AM52">
        <f t="shared" si="550"/>
        <v>0.69426445007324222</v>
      </c>
      <c r="AN52">
        <f t="shared" si="551"/>
        <v>0.69426445007324222</v>
      </c>
      <c r="AO52">
        <f t="shared" si="552"/>
        <v>0.69426445007324222</v>
      </c>
      <c r="AP52">
        <f t="shared" si="553"/>
        <v>0.1</v>
      </c>
      <c r="AQ52">
        <f t="shared" si="554"/>
        <v>0.1</v>
      </c>
      <c r="AR52">
        <f t="shared" si="555"/>
        <v>0.1</v>
      </c>
      <c r="AS52">
        <f t="shared" si="556"/>
        <v>0.1</v>
      </c>
      <c r="AT52">
        <f t="shared" si="557"/>
        <v>0.1</v>
      </c>
      <c r="AU52">
        <f t="shared" si="558"/>
        <v>0.1</v>
      </c>
      <c r="AV52">
        <f t="shared" si="559"/>
        <v>0.1</v>
      </c>
      <c r="AW52">
        <f t="shared" si="560"/>
        <v>0.1</v>
      </c>
      <c r="AX52">
        <f t="shared" si="561"/>
        <v>0.1</v>
      </c>
      <c r="AY52">
        <f t="shared" si="562"/>
        <v>0.1</v>
      </c>
      <c r="AZ52">
        <f t="shared" si="563"/>
        <v>0.1</v>
      </c>
      <c r="BA52">
        <f t="shared" si="564"/>
        <v>0.1</v>
      </c>
      <c r="BB52">
        <f t="shared" si="565"/>
        <v>0.1</v>
      </c>
      <c r="BC52">
        <f t="shared" si="566"/>
        <v>0.1</v>
      </c>
      <c r="BD52">
        <f t="shared" si="567"/>
        <v>0.1</v>
      </c>
      <c r="BE52">
        <f t="shared" si="568"/>
        <v>0.1</v>
      </c>
      <c r="BF52">
        <f t="shared" si="569"/>
        <v>0.1</v>
      </c>
      <c r="BG52">
        <f t="shared" si="570"/>
        <v>0.1</v>
      </c>
      <c r="BH52">
        <f t="shared" si="571"/>
        <v>0.1</v>
      </c>
      <c r="BI52">
        <f t="shared" si="572"/>
        <v>0.1</v>
      </c>
      <c r="BJ52">
        <f t="shared" si="573"/>
        <v>0.1</v>
      </c>
      <c r="BK52">
        <f t="shared" si="574"/>
        <v>0.1</v>
      </c>
      <c r="BL52">
        <f t="shared" si="575"/>
        <v>0.1</v>
      </c>
      <c r="BM52">
        <f t="shared" si="576"/>
        <v>0.1</v>
      </c>
      <c r="BN52">
        <f t="shared" si="577"/>
        <v>0.1</v>
      </c>
      <c r="BO52">
        <f t="shared" si="578"/>
        <v>0.1</v>
      </c>
      <c r="BP52">
        <f t="shared" si="579"/>
        <v>0.1</v>
      </c>
      <c r="BQ52">
        <f t="shared" si="580"/>
        <v>0.1</v>
      </c>
      <c r="BR52">
        <f t="shared" si="581"/>
        <v>0.1</v>
      </c>
      <c r="BS52">
        <f t="shared" si="582"/>
        <v>0.1</v>
      </c>
      <c r="BT52">
        <f t="shared" si="583"/>
        <v>0.1</v>
      </c>
      <c r="BU52">
        <f t="shared" si="584"/>
        <v>0.1</v>
      </c>
      <c r="BV52">
        <f t="shared" si="585"/>
        <v>0.1</v>
      </c>
      <c r="BW52">
        <f t="shared" si="586"/>
        <v>0.1</v>
      </c>
      <c r="BX52">
        <f t="shared" si="587"/>
        <v>0.1</v>
      </c>
      <c r="BY52">
        <f t="shared" si="588"/>
        <v>0.1</v>
      </c>
      <c r="BZ52">
        <f t="shared" si="589"/>
        <v>0.1</v>
      </c>
      <c r="CA52">
        <f t="shared" si="590"/>
        <v>0.1</v>
      </c>
      <c r="CB52">
        <f t="shared" si="591"/>
        <v>0.1</v>
      </c>
      <c r="CC52">
        <f t="shared" si="592"/>
        <v>0.1</v>
      </c>
      <c r="CD52">
        <f t="shared" si="593"/>
        <v>0.1</v>
      </c>
      <c r="CE52">
        <f t="shared" si="594"/>
        <v>0.1</v>
      </c>
      <c r="CF52">
        <f t="shared" si="595"/>
        <v>0.1</v>
      </c>
      <c r="CG52">
        <f t="shared" si="596"/>
        <v>0.1</v>
      </c>
      <c r="CH52">
        <f t="shared" si="597"/>
        <v>0.1</v>
      </c>
      <c r="CI52">
        <f t="shared" si="598"/>
        <v>0.1</v>
      </c>
      <c r="CJ52">
        <f t="shared" si="599"/>
        <v>0.1</v>
      </c>
      <c r="CK52">
        <f t="shared" si="600"/>
        <v>0.1</v>
      </c>
      <c r="CL52">
        <f t="shared" si="601"/>
        <v>0.1</v>
      </c>
      <c r="CM52">
        <f t="shared" si="602"/>
        <v>0.1</v>
      </c>
      <c r="CN52">
        <f t="shared" si="603"/>
        <v>0.1</v>
      </c>
      <c r="CO52">
        <f t="shared" si="604"/>
        <v>0.1</v>
      </c>
      <c r="CP52">
        <f t="shared" si="605"/>
        <v>0.1</v>
      </c>
      <c r="CQ52">
        <f t="shared" si="606"/>
        <v>0.1</v>
      </c>
      <c r="CR52">
        <f t="shared" si="607"/>
        <v>0.1</v>
      </c>
      <c r="CS52">
        <f t="shared" si="608"/>
        <v>0.1</v>
      </c>
      <c r="CT52">
        <f t="shared" si="609"/>
        <v>0.1</v>
      </c>
      <c r="CU52">
        <f t="shared" si="610"/>
        <v>0.1</v>
      </c>
      <c r="CV52">
        <f t="shared" si="611"/>
        <v>0.1</v>
      </c>
      <c r="CW52">
        <f t="shared" si="612"/>
        <v>0.1</v>
      </c>
      <c r="CX52">
        <f t="shared" si="613"/>
        <v>0.1</v>
      </c>
      <c r="CY52">
        <f t="shared" si="614"/>
        <v>0.1</v>
      </c>
      <c r="CZ52">
        <f t="shared" si="615"/>
        <v>0.1</v>
      </c>
      <c r="DA52">
        <f t="shared" si="616"/>
        <v>0.1</v>
      </c>
      <c r="DB52">
        <f t="shared" si="617"/>
        <v>0.1</v>
      </c>
      <c r="DC52">
        <f t="shared" si="618"/>
        <v>0.1</v>
      </c>
      <c r="DD52">
        <f t="shared" si="619"/>
        <v>0.1</v>
      </c>
      <c r="DE52">
        <f t="shared" si="620"/>
        <v>0.1</v>
      </c>
      <c r="DF52">
        <f t="shared" si="621"/>
        <v>0.1</v>
      </c>
      <c r="DG52">
        <f t="shared" si="622"/>
        <v>0.1</v>
      </c>
      <c r="DH52">
        <f t="shared" si="623"/>
        <v>0.1</v>
      </c>
      <c r="DI52">
        <f t="shared" si="624"/>
        <v>0.1</v>
      </c>
      <c r="DJ52">
        <f t="shared" si="625"/>
        <v>0.1</v>
      </c>
      <c r="DK52">
        <f t="shared" si="626"/>
        <v>0.1</v>
      </c>
      <c r="DL52">
        <f t="shared" si="627"/>
        <v>0.1</v>
      </c>
      <c r="DM52">
        <f t="shared" si="628"/>
        <v>0.1</v>
      </c>
      <c r="DN52">
        <f t="shared" si="629"/>
        <v>0.1</v>
      </c>
      <c r="DO52">
        <f t="shared" si="630"/>
        <v>0.1</v>
      </c>
      <c r="DP52">
        <f t="shared" si="631"/>
        <v>0.1</v>
      </c>
      <c r="DQ52">
        <f t="shared" si="632"/>
        <v>0.1</v>
      </c>
      <c r="DR52">
        <f t="shared" si="633"/>
        <v>0.1</v>
      </c>
      <c r="DS52">
        <f t="shared" si="634"/>
        <v>0.1</v>
      </c>
      <c r="DT52">
        <f t="shared" si="635"/>
        <v>0.1</v>
      </c>
      <c r="DU52">
        <f t="shared" si="636"/>
        <v>0.1</v>
      </c>
      <c r="DV52">
        <f t="shared" si="637"/>
        <v>0.1</v>
      </c>
      <c r="DW52">
        <f t="shared" si="638"/>
        <v>0.1</v>
      </c>
      <c r="DX52">
        <f t="shared" si="639"/>
        <v>0.1</v>
      </c>
      <c r="DY52">
        <f t="shared" si="640"/>
        <v>0.1</v>
      </c>
      <c r="DZ52">
        <f t="shared" si="641"/>
        <v>0.1</v>
      </c>
      <c r="EA52">
        <f t="shared" si="642"/>
        <v>0.1</v>
      </c>
      <c r="EB52">
        <f t="shared" si="643"/>
        <v>0.1</v>
      </c>
      <c r="EC52">
        <f t="shared" si="644"/>
        <v>0.1</v>
      </c>
      <c r="ED52">
        <f t="shared" si="645"/>
        <v>0.1</v>
      </c>
      <c r="EE52">
        <f t="shared" si="646"/>
        <v>0.1</v>
      </c>
      <c r="EF52">
        <f t="shared" si="647"/>
        <v>0.1</v>
      </c>
      <c r="EG52">
        <f t="shared" si="648"/>
        <v>0.1</v>
      </c>
      <c r="EH52">
        <f t="shared" si="649"/>
        <v>0.1</v>
      </c>
      <c r="EI52">
        <f t="shared" si="650"/>
        <v>0.1</v>
      </c>
      <c r="EJ52">
        <f t="shared" si="651"/>
        <v>0.1</v>
      </c>
      <c r="EK52">
        <f t="shared" si="652"/>
        <v>0.1</v>
      </c>
      <c r="EL52">
        <f t="shared" si="653"/>
        <v>0.1</v>
      </c>
      <c r="EM52">
        <f t="shared" si="654"/>
        <v>0.1</v>
      </c>
      <c r="EN52">
        <f t="shared" si="655"/>
        <v>0.1</v>
      </c>
      <c r="EO52">
        <f t="shared" si="656"/>
        <v>0.1</v>
      </c>
      <c r="EP52">
        <f t="shared" si="657"/>
        <v>0.1</v>
      </c>
      <c r="EQ52">
        <f t="shared" si="658"/>
        <v>0.1</v>
      </c>
      <c r="ER52">
        <f t="shared" si="659"/>
        <v>0.1</v>
      </c>
      <c r="ES52">
        <f t="shared" si="660"/>
        <v>0.1</v>
      </c>
      <c r="ET52">
        <f t="shared" si="661"/>
        <v>0.1</v>
      </c>
      <c r="EU52">
        <f t="shared" si="662"/>
        <v>0.1</v>
      </c>
      <c r="EV52">
        <f t="shared" si="663"/>
        <v>0.1</v>
      </c>
      <c r="EW52">
        <f t="shared" si="664"/>
        <v>0.1</v>
      </c>
      <c r="EX52">
        <f t="shared" si="665"/>
        <v>0.1</v>
      </c>
      <c r="EY52">
        <f t="shared" si="666"/>
        <v>0.1</v>
      </c>
      <c r="EZ52">
        <f t="shared" si="667"/>
        <v>0.1</v>
      </c>
      <c r="FA52">
        <f t="shared" si="668"/>
        <v>0.1</v>
      </c>
      <c r="FB52">
        <f t="shared" si="669"/>
        <v>0.1</v>
      </c>
      <c r="FC52">
        <f t="shared" si="670"/>
        <v>0.1</v>
      </c>
      <c r="FD52">
        <f t="shared" si="671"/>
        <v>0.1</v>
      </c>
      <c r="FE52">
        <f t="shared" si="672"/>
        <v>0.1</v>
      </c>
      <c r="FF52">
        <f t="shared" si="673"/>
        <v>0.1</v>
      </c>
      <c r="FG52">
        <f t="shared" si="674"/>
        <v>0.1</v>
      </c>
      <c r="FH52">
        <f t="shared" si="675"/>
        <v>0.1</v>
      </c>
      <c r="FI52">
        <f t="shared" si="676"/>
        <v>0.1</v>
      </c>
      <c r="FJ52">
        <f t="shared" si="677"/>
        <v>0.1</v>
      </c>
      <c r="FK52">
        <f t="shared" si="678"/>
        <v>0.1</v>
      </c>
      <c r="FL52">
        <f t="shared" si="679"/>
        <v>0.1</v>
      </c>
      <c r="FM52">
        <f t="shared" si="680"/>
        <v>0.1</v>
      </c>
      <c r="FN52">
        <f t="shared" si="681"/>
        <v>0.1</v>
      </c>
      <c r="FO52">
        <f t="shared" si="682"/>
        <v>0.1</v>
      </c>
      <c r="FP52">
        <f t="shared" si="683"/>
        <v>0.1</v>
      </c>
      <c r="FQ52">
        <f t="shared" si="684"/>
        <v>0.1</v>
      </c>
      <c r="FR52">
        <f t="shared" si="685"/>
        <v>0.1</v>
      </c>
      <c r="FS52">
        <f t="shared" si="686"/>
        <v>0.1</v>
      </c>
      <c r="FT52">
        <f t="shared" si="687"/>
        <v>0.1</v>
      </c>
      <c r="FU52">
        <f t="shared" si="688"/>
        <v>0.1</v>
      </c>
      <c r="FV52">
        <f t="shared" si="689"/>
        <v>0.1</v>
      </c>
      <c r="FW52">
        <f t="shared" si="690"/>
        <v>0.1</v>
      </c>
      <c r="FX52">
        <f t="shared" si="691"/>
        <v>0.1</v>
      </c>
      <c r="FY52">
        <f t="shared" si="692"/>
        <v>0.1</v>
      </c>
      <c r="FZ52">
        <f t="shared" si="693"/>
        <v>0.1</v>
      </c>
      <c r="GA52">
        <f t="shared" si="694"/>
        <v>0.1</v>
      </c>
      <c r="GB52">
        <f t="shared" si="695"/>
        <v>0.1</v>
      </c>
      <c r="GC52">
        <f t="shared" si="696"/>
        <v>0.1</v>
      </c>
      <c r="GD52">
        <f t="shared" si="697"/>
        <v>0.1</v>
      </c>
      <c r="GE52">
        <f t="shared" si="698"/>
        <v>0.1</v>
      </c>
      <c r="GF52">
        <f t="shared" si="699"/>
        <v>0.1</v>
      </c>
      <c r="GG52">
        <f t="shared" si="700"/>
        <v>0.1</v>
      </c>
      <c r="GH52">
        <f t="shared" si="701"/>
        <v>0.1</v>
      </c>
      <c r="GI52">
        <f t="shared" si="702"/>
        <v>0.1</v>
      </c>
      <c r="GJ52">
        <f t="shared" si="703"/>
        <v>0.1</v>
      </c>
      <c r="GK52">
        <f t="shared" si="704"/>
        <v>0.1</v>
      </c>
      <c r="GL52">
        <f t="shared" si="705"/>
        <v>0.1</v>
      </c>
      <c r="GM52">
        <f t="shared" si="706"/>
        <v>0.1</v>
      </c>
      <c r="GN52">
        <f t="shared" si="707"/>
        <v>0.1</v>
      </c>
      <c r="GO52">
        <f t="shared" si="708"/>
        <v>0.1</v>
      </c>
      <c r="GP52">
        <f t="shared" si="709"/>
        <v>0.1</v>
      </c>
      <c r="GQ52">
        <f t="shared" si="710"/>
        <v>0.1</v>
      </c>
      <c r="GR52">
        <f t="shared" si="711"/>
        <v>0.1</v>
      </c>
      <c r="GS52">
        <f t="shared" si="712"/>
        <v>0.1</v>
      </c>
      <c r="GT52">
        <f t="shared" si="713"/>
        <v>0.1</v>
      </c>
      <c r="GU52">
        <f t="shared" si="714"/>
        <v>0.1</v>
      </c>
      <c r="GV52">
        <f t="shared" si="715"/>
        <v>0.1</v>
      </c>
      <c r="GW52">
        <f t="shared" si="716"/>
        <v>0.1</v>
      </c>
      <c r="GX52">
        <f t="shared" si="717"/>
        <v>0.1</v>
      </c>
      <c r="GY52">
        <f t="shared" si="718"/>
        <v>0.1</v>
      </c>
      <c r="GZ52">
        <f t="shared" si="719"/>
        <v>0.1</v>
      </c>
      <c r="HA52">
        <f t="shared" si="720"/>
        <v>0.1</v>
      </c>
      <c r="HB52">
        <f t="shared" si="721"/>
        <v>0.1</v>
      </c>
      <c r="HC52">
        <f t="shared" si="722"/>
        <v>0.1</v>
      </c>
      <c r="HD52">
        <f t="shared" si="723"/>
        <v>0.1</v>
      </c>
      <c r="HE52">
        <f t="shared" si="724"/>
        <v>0.1</v>
      </c>
      <c r="HF52">
        <f t="shared" si="725"/>
        <v>0.1</v>
      </c>
      <c r="HG52">
        <f t="shared" si="726"/>
        <v>0.1</v>
      </c>
      <c r="HH52">
        <f t="shared" si="727"/>
        <v>0.1</v>
      </c>
      <c r="HI52">
        <f t="shared" si="728"/>
        <v>0.1</v>
      </c>
      <c r="HJ52">
        <f t="shared" si="729"/>
        <v>0.1</v>
      </c>
      <c r="HK52">
        <f t="shared" si="730"/>
        <v>0.1</v>
      </c>
      <c r="HL52">
        <f t="shared" si="731"/>
        <v>0.1</v>
      </c>
      <c r="HM52">
        <f t="shared" si="732"/>
        <v>0.1</v>
      </c>
      <c r="HN52">
        <f t="shared" si="733"/>
        <v>0.1</v>
      </c>
      <c r="HO52">
        <f t="shared" si="734"/>
        <v>0.1</v>
      </c>
      <c r="HP52">
        <f t="shared" si="735"/>
        <v>0.1</v>
      </c>
      <c r="HQ52">
        <f t="shared" si="736"/>
        <v>0.1</v>
      </c>
      <c r="HR52">
        <f t="shared" si="737"/>
        <v>0.1</v>
      </c>
      <c r="HS52">
        <f t="shared" si="738"/>
        <v>0.1</v>
      </c>
      <c r="HT52">
        <f t="shared" si="739"/>
        <v>0.1</v>
      </c>
      <c r="HU52">
        <f t="shared" si="740"/>
        <v>0.1</v>
      </c>
      <c r="HV52">
        <f t="shared" si="741"/>
        <v>0.1</v>
      </c>
      <c r="HW52">
        <f t="shared" si="742"/>
        <v>0.1</v>
      </c>
      <c r="HX52">
        <f t="shared" si="743"/>
        <v>0.1</v>
      </c>
      <c r="HY52">
        <f t="shared" si="744"/>
        <v>0.1</v>
      </c>
      <c r="HZ52">
        <f t="shared" si="745"/>
        <v>0.1</v>
      </c>
      <c r="IA52">
        <f t="shared" si="746"/>
        <v>0.1</v>
      </c>
      <c r="IB52">
        <f t="shared" si="747"/>
        <v>0.1</v>
      </c>
      <c r="IC52">
        <f t="shared" si="748"/>
        <v>0.1</v>
      </c>
      <c r="ID52">
        <f t="shared" si="749"/>
        <v>0.1</v>
      </c>
      <c r="IE52">
        <f t="shared" si="750"/>
        <v>0.1</v>
      </c>
      <c r="IF52">
        <f t="shared" si="751"/>
        <v>0.1</v>
      </c>
      <c r="IG52">
        <f t="shared" si="752"/>
        <v>0.1</v>
      </c>
      <c r="IH52">
        <f t="shared" si="753"/>
        <v>0.1</v>
      </c>
      <c r="II52">
        <f t="shared" si="754"/>
        <v>0.1</v>
      </c>
      <c r="IJ52">
        <f t="shared" si="755"/>
        <v>0.1</v>
      </c>
      <c r="IK52">
        <f t="shared" si="756"/>
        <v>0.1</v>
      </c>
      <c r="IL52">
        <f t="shared" si="757"/>
        <v>0.1</v>
      </c>
      <c r="IM52">
        <f t="shared" si="758"/>
        <v>0.1</v>
      </c>
      <c r="IN52">
        <f t="shared" si="759"/>
        <v>0.1</v>
      </c>
      <c r="IO52">
        <f t="shared" si="760"/>
        <v>0.1</v>
      </c>
      <c r="IP52">
        <f t="shared" si="761"/>
        <v>0.1</v>
      </c>
      <c r="IQ52">
        <f t="shared" si="762"/>
        <v>0.1</v>
      </c>
      <c r="IR52">
        <f t="shared" si="763"/>
        <v>0.1</v>
      </c>
      <c r="IS52">
        <f t="shared" si="764"/>
        <v>0.1</v>
      </c>
      <c r="IT52">
        <f t="shared" si="765"/>
        <v>0.1</v>
      </c>
      <c r="IU52">
        <f t="shared" si="766"/>
        <v>0.1</v>
      </c>
      <c r="IV52">
        <f t="shared" si="767"/>
        <v>0.1</v>
      </c>
    </row>
    <row r="53" spans="1:256" x14ac:dyDescent="0.2">
      <c r="A53" t="s">
        <v>524</v>
      </c>
      <c r="B53">
        <f t="shared" si="513"/>
        <v>0.45398547433774844</v>
      </c>
      <c r="C53">
        <f t="shared" si="514"/>
        <v>0.45398547433774844</v>
      </c>
      <c r="D53">
        <f t="shared" si="515"/>
        <v>0.45398547433774844</v>
      </c>
      <c r="E53">
        <f t="shared" si="516"/>
        <v>0.45398547433774844</v>
      </c>
      <c r="F53">
        <f t="shared" si="517"/>
        <v>0.45398547433774844</v>
      </c>
      <c r="G53">
        <f t="shared" si="518"/>
        <v>0.45398547433774844</v>
      </c>
      <c r="H53">
        <f t="shared" si="519"/>
        <v>0.45398547433774844</v>
      </c>
      <c r="I53">
        <f t="shared" si="520"/>
        <v>0.45398547433774844</v>
      </c>
      <c r="J53">
        <f t="shared" si="521"/>
        <v>0.49999962957523858</v>
      </c>
      <c r="K53">
        <f t="shared" si="522"/>
        <v>0.49999962957523858</v>
      </c>
      <c r="L53">
        <f t="shared" si="523"/>
        <v>0.49999962957523858</v>
      </c>
      <c r="M53">
        <f t="shared" si="524"/>
        <v>0.49999962957523858</v>
      </c>
      <c r="N53">
        <f t="shared" si="525"/>
        <v>0.49999962957523858</v>
      </c>
      <c r="O53">
        <f t="shared" si="526"/>
        <v>0.49999962957523858</v>
      </c>
      <c r="P53">
        <f t="shared" si="527"/>
        <v>0.49999962957523858</v>
      </c>
      <c r="Q53">
        <f t="shared" si="528"/>
        <v>0.49999962957523858</v>
      </c>
      <c r="R53">
        <f t="shared" si="529"/>
        <v>0.49999978976020731</v>
      </c>
      <c r="S53">
        <f t="shared" si="530"/>
        <v>0.49999978976020731</v>
      </c>
      <c r="T53">
        <f t="shared" si="531"/>
        <v>0.49999978976020731</v>
      </c>
      <c r="U53">
        <f t="shared" si="532"/>
        <v>0.49999978976020731</v>
      </c>
      <c r="V53">
        <f t="shared" si="533"/>
        <v>0.49999978976020731</v>
      </c>
      <c r="W53">
        <f t="shared" si="534"/>
        <v>0.49999978976020731</v>
      </c>
      <c r="X53">
        <f t="shared" si="535"/>
        <v>0.49999978976020731</v>
      </c>
      <c r="Y53">
        <f t="shared" si="536"/>
        <v>0.49999978976020731</v>
      </c>
      <c r="Z53">
        <f t="shared" si="537"/>
        <v>0.1</v>
      </c>
      <c r="AA53">
        <f t="shared" si="538"/>
        <v>0.1</v>
      </c>
      <c r="AB53">
        <f t="shared" si="539"/>
        <v>0.1</v>
      </c>
      <c r="AC53">
        <f t="shared" si="540"/>
        <v>0.1</v>
      </c>
      <c r="AD53">
        <f t="shared" si="541"/>
        <v>0.1</v>
      </c>
      <c r="AE53">
        <f t="shared" si="542"/>
        <v>0.1</v>
      </c>
      <c r="AF53">
        <f t="shared" si="543"/>
        <v>0.1</v>
      </c>
      <c r="AG53">
        <f t="shared" si="544"/>
        <v>0.1</v>
      </c>
      <c r="AH53">
        <f t="shared" si="545"/>
        <v>0.51738662719726558</v>
      </c>
      <c r="AI53">
        <f t="shared" si="546"/>
        <v>0.51738662719726558</v>
      </c>
      <c r="AJ53">
        <f t="shared" si="547"/>
        <v>0.51738662719726558</v>
      </c>
      <c r="AK53">
        <f t="shared" si="548"/>
        <v>0.51738662719726558</v>
      </c>
      <c r="AL53">
        <f t="shared" si="549"/>
        <v>0.51738662719726558</v>
      </c>
      <c r="AM53">
        <f t="shared" si="550"/>
        <v>0.51738662719726558</v>
      </c>
      <c r="AN53">
        <f t="shared" si="551"/>
        <v>0.51738662719726558</v>
      </c>
      <c r="AO53">
        <f t="shared" si="552"/>
        <v>0.51738662719726558</v>
      </c>
      <c r="AP53">
        <f t="shared" si="553"/>
        <v>0.10000000000000002</v>
      </c>
      <c r="AQ53">
        <f t="shared" si="554"/>
        <v>0.10000000000000002</v>
      </c>
      <c r="AR53">
        <f t="shared" si="555"/>
        <v>0.10000000000000002</v>
      </c>
      <c r="AS53">
        <f t="shared" si="556"/>
        <v>0.10000000000000002</v>
      </c>
      <c r="AT53">
        <f t="shared" si="557"/>
        <v>0.10000000000000002</v>
      </c>
      <c r="AU53">
        <f t="shared" si="558"/>
        <v>0.10000000000000002</v>
      </c>
      <c r="AV53">
        <f t="shared" si="559"/>
        <v>0.10000000000000002</v>
      </c>
      <c r="AW53">
        <f t="shared" si="560"/>
        <v>0.10000000000000002</v>
      </c>
      <c r="AX53">
        <f t="shared" si="561"/>
        <v>0.10000000000000002</v>
      </c>
      <c r="AY53">
        <f t="shared" si="562"/>
        <v>0.10000000000000002</v>
      </c>
      <c r="AZ53">
        <f t="shared" si="563"/>
        <v>0.10000000000000002</v>
      </c>
      <c r="BA53">
        <f t="shared" si="564"/>
        <v>0.10000000000000002</v>
      </c>
      <c r="BB53">
        <f t="shared" si="565"/>
        <v>0.10000000000000002</v>
      </c>
      <c r="BC53">
        <f t="shared" si="566"/>
        <v>0.10000000000000002</v>
      </c>
      <c r="BD53">
        <f t="shared" si="567"/>
        <v>0.10000000000000002</v>
      </c>
      <c r="BE53">
        <f t="shared" si="568"/>
        <v>0.10000000000000002</v>
      </c>
      <c r="BF53">
        <f t="shared" si="569"/>
        <v>0.10000000000000002</v>
      </c>
      <c r="BG53">
        <f t="shared" si="570"/>
        <v>0.10000000000000002</v>
      </c>
      <c r="BH53">
        <f t="shared" si="571"/>
        <v>0.10000000000000002</v>
      </c>
      <c r="BI53">
        <f t="shared" si="572"/>
        <v>0.10000000000000002</v>
      </c>
      <c r="BJ53">
        <f t="shared" si="573"/>
        <v>0.10000000000000002</v>
      </c>
      <c r="BK53">
        <f t="shared" si="574"/>
        <v>0.10000000000000002</v>
      </c>
      <c r="BL53">
        <f t="shared" si="575"/>
        <v>0.10000000000000002</v>
      </c>
      <c r="BM53">
        <f t="shared" si="576"/>
        <v>0.10000000000000002</v>
      </c>
      <c r="BN53">
        <f t="shared" si="577"/>
        <v>0.10000000000000002</v>
      </c>
      <c r="BO53">
        <f t="shared" si="578"/>
        <v>0.10000000000000002</v>
      </c>
      <c r="BP53">
        <f t="shared" si="579"/>
        <v>0.10000000000000002</v>
      </c>
      <c r="BQ53">
        <f t="shared" si="580"/>
        <v>0.10000000000000002</v>
      </c>
      <c r="BR53">
        <f t="shared" si="581"/>
        <v>0.10000000000000002</v>
      </c>
      <c r="BS53">
        <f t="shared" si="582"/>
        <v>0.10000000000000002</v>
      </c>
      <c r="BT53">
        <f t="shared" si="583"/>
        <v>0.10000000000000002</v>
      </c>
      <c r="BU53">
        <f t="shared" si="584"/>
        <v>0.10000000000000002</v>
      </c>
      <c r="BV53">
        <f t="shared" si="585"/>
        <v>0.10000000000000002</v>
      </c>
      <c r="BW53">
        <f t="shared" si="586"/>
        <v>0.10000000000000002</v>
      </c>
      <c r="BX53">
        <f t="shared" si="587"/>
        <v>0.10000000000000002</v>
      </c>
      <c r="BY53">
        <f t="shared" si="588"/>
        <v>0.10000000000000002</v>
      </c>
      <c r="BZ53">
        <f t="shared" si="589"/>
        <v>0.10000000000000002</v>
      </c>
      <c r="CA53">
        <f t="shared" si="590"/>
        <v>0.10000000000000002</v>
      </c>
      <c r="CB53">
        <f t="shared" si="591"/>
        <v>0.10000000000000002</v>
      </c>
      <c r="CC53">
        <f t="shared" si="592"/>
        <v>0.10000000000000002</v>
      </c>
      <c r="CD53">
        <f t="shared" si="593"/>
        <v>0.10000000000000002</v>
      </c>
      <c r="CE53">
        <f t="shared" si="594"/>
        <v>0.10000000000000002</v>
      </c>
      <c r="CF53">
        <f t="shared" si="595"/>
        <v>0.10000000000000002</v>
      </c>
      <c r="CG53">
        <f t="shared" si="596"/>
        <v>0.10000000000000002</v>
      </c>
      <c r="CH53">
        <f t="shared" si="597"/>
        <v>0.10000000000000002</v>
      </c>
      <c r="CI53">
        <f t="shared" si="598"/>
        <v>0.10000000000000002</v>
      </c>
      <c r="CJ53">
        <f t="shared" si="599"/>
        <v>0.10000000000000002</v>
      </c>
      <c r="CK53">
        <f t="shared" si="600"/>
        <v>0.10000000000000002</v>
      </c>
      <c r="CL53">
        <f t="shared" si="601"/>
        <v>0.10000000000000002</v>
      </c>
      <c r="CM53">
        <f t="shared" si="602"/>
        <v>0.10000000000000002</v>
      </c>
      <c r="CN53">
        <f t="shared" si="603"/>
        <v>0.10000000000000002</v>
      </c>
      <c r="CO53">
        <f t="shared" si="604"/>
        <v>0.10000000000000002</v>
      </c>
      <c r="CP53">
        <f t="shared" si="605"/>
        <v>0.10000000000000002</v>
      </c>
      <c r="CQ53">
        <f t="shared" si="606"/>
        <v>0.10000000000000002</v>
      </c>
      <c r="CR53">
        <f t="shared" si="607"/>
        <v>0.10000000000000002</v>
      </c>
      <c r="CS53">
        <f t="shared" si="608"/>
        <v>0.10000000000000002</v>
      </c>
      <c r="CT53">
        <f t="shared" si="609"/>
        <v>0.10000000000000002</v>
      </c>
      <c r="CU53">
        <f t="shared" si="610"/>
        <v>0.10000000000000002</v>
      </c>
      <c r="CV53">
        <f t="shared" si="611"/>
        <v>0.10000000000000002</v>
      </c>
      <c r="CW53">
        <f t="shared" si="612"/>
        <v>0.10000000000000002</v>
      </c>
      <c r="CX53">
        <f t="shared" si="613"/>
        <v>0.10000000000000002</v>
      </c>
      <c r="CY53">
        <f t="shared" si="614"/>
        <v>0.10000000000000002</v>
      </c>
      <c r="CZ53">
        <f t="shared" si="615"/>
        <v>0.10000000000000002</v>
      </c>
      <c r="DA53">
        <f t="shared" si="616"/>
        <v>0.10000000000000002</v>
      </c>
      <c r="DB53">
        <f t="shared" si="617"/>
        <v>0.10000000000000002</v>
      </c>
      <c r="DC53">
        <f t="shared" si="618"/>
        <v>0.10000000000000002</v>
      </c>
      <c r="DD53">
        <f t="shared" si="619"/>
        <v>0.10000000000000002</v>
      </c>
      <c r="DE53">
        <f t="shared" si="620"/>
        <v>0.10000000000000002</v>
      </c>
      <c r="DF53">
        <f t="shared" si="621"/>
        <v>0.10000000000000002</v>
      </c>
      <c r="DG53">
        <f t="shared" si="622"/>
        <v>0.10000000000000002</v>
      </c>
      <c r="DH53">
        <f t="shared" si="623"/>
        <v>0.10000000000000002</v>
      </c>
      <c r="DI53">
        <f t="shared" si="624"/>
        <v>0.10000000000000002</v>
      </c>
      <c r="DJ53">
        <f t="shared" si="625"/>
        <v>0.10000000000000002</v>
      </c>
      <c r="DK53">
        <f t="shared" si="626"/>
        <v>0.10000000000000002</v>
      </c>
      <c r="DL53">
        <f t="shared" si="627"/>
        <v>0.10000000000000002</v>
      </c>
      <c r="DM53">
        <f t="shared" si="628"/>
        <v>0.10000000000000002</v>
      </c>
      <c r="DN53">
        <f t="shared" si="629"/>
        <v>0.10000000000000002</v>
      </c>
      <c r="DO53">
        <f t="shared" si="630"/>
        <v>0.10000000000000002</v>
      </c>
      <c r="DP53">
        <f t="shared" si="631"/>
        <v>0.10000000000000002</v>
      </c>
      <c r="DQ53">
        <f t="shared" si="632"/>
        <v>0.10000000000000002</v>
      </c>
      <c r="DR53">
        <f t="shared" si="633"/>
        <v>0.10000000000000002</v>
      </c>
      <c r="DS53">
        <f t="shared" si="634"/>
        <v>0.10000000000000002</v>
      </c>
      <c r="DT53">
        <f t="shared" si="635"/>
        <v>0.10000000000000002</v>
      </c>
      <c r="DU53">
        <f t="shared" si="636"/>
        <v>0.10000000000000002</v>
      </c>
      <c r="DV53">
        <f t="shared" si="637"/>
        <v>0.10000000000000002</v>
      </c>
      <c r="DW53">
        <f t="shared" si="638"/>
        <v>0.10000000000000002</v>
      </c>
      <c r="DX53">
        <f t="shared" si="639"/>
        <v>0.10000000000000002</v>
      </c>
      <c r="DY53">
        <f t="shared" si="640"/>
        <v>0.10000000000000002</v>
      </c>
      <c r="DZ53">
        <f t="shared" si="641"/>
        <v>0.10000000000000002</v>
      </c>
      <c r="EA53">
        <f t="shared" si="642"/>
        <v>0.10000000000000002</v>
      </c>
      <c r="EB53">
        <f t="shared" si="643"/>
        <v>0.10000000000000002</v>
      </c>
      <c r="EC53">
        <f t="shared" si="644"/>
        <v>0.10000000000000002</v>
      </c>
      <c r="ED53">
        <f t="shared" si="645"/>
        <v>0.10000000000000002</v>
      </c>
      <c r="EE53">
        <f t="shared" si="646"/>
        <v>0.10000000000000002</v>
      </c>
      <c r="EF53">
        <f t="shared" si="647"/>
        <v>0.10000000000000002</v>
      </c>
      <c r="EG53">
        <f t="shared" si="648"/>
        <v>0.10000000000000002</v>
      </c>
      <c r="EH53">
        <f t="shared" si="649"/>
        <v>0.10000000000000002</v>
      </c>
      <c r="EI53">
        <f t="shared" si="650"/>
        <v>0.10000000000000002</v>
      </c>
      <c r="EJ53">
        <f t="shared" si="651"/>
        <v>0.10000000000000002</v>
      </c>
      <c r="EK53">
        <f t="shared" si="652"/>
        <v>0.10000000000000002</v>
      </c>
      <c r="EL53">
        <f t="shared" si="653"/>
        <v>0.10000000000000002</v>
      </c>
      <c r="EM53">
        <f t="shared" si="654"/>
        <v>0.10000000000000002</v>
      </c>
      <c r="EN53">
        <f t="shared" si="655"/>
        <v>0.10000000000000002</v>
      </c>
      <c r="EO53">
        <f t="shared" si="656"/>
        <v>0.10000000000000002</v>
      </c>
      <c r="EP53">
        <f t="shared" si="657"/>
        <v>0.10000000000000002</v>
      </c>
      <c r="EQ53">
        <f t="shared" si="658"/>
        <v>0.10000000000000002</v>
      </c>
      <c r="ER53">
        <f t="shared" si="659"/>
        <v>0.10000000000000002</v>
      </c>
      <c r="ES53">
        <f t="shared" si="660"/>
        <v>0.10000000000000002</v>
      </c>
      <c r="ET53">
        <f t="shared" si="661"/>
        <v>0.10000000000000002</v>
      </c>
      <c r="EU53">
        <f t="shared" si="662"/>
        <v>0.10000000000000002</v>
      </c>
      <c r="EV53">
        <f t="shared" si="663"/>
        <v>0.10000000000000002</v>
      </c>
      <c r="EW53">
        <f t="shared" si="664"/>
        <v>0.10000000000000002</v>
      </c>
      <c r="EX53">
        <f t="shared" si="665"/>
        <v>0.10000000000000002</v>
      </c>
      <c r="EY53">
        <f t="shared" si="666"/>
        <v>0.10000000000000002</v>
      </c>
      <c r="EZ53">
        <f t="shared" si="667"/>
        <v>0.10000000000000002</v>
      </c>
      <c r="FA53">
        <f t="shared" si="668"/>
        <v>0.10000000000000002</v>
      </c>
      <c r="FB53">
        <f t="shared" si="669"/>
        <v>0.10000000000000002</v>
      </c>
      <c r="FC53">
        <f t="shared" si="670"/>
        <v>0.10000000000000002</v>
      </c>
      <c r="FD53">
        <f t="shared" si="671"/>
        <v>0.10000000000000002</v>
      </c>
      <c r="FE53">
        <f t="shared" si="672"/>
        <v>0.10000000000000002</v>
      </c>
      <c r="FF53">
        <f t="shared" si="673"/>
        <v>0.10000000000000002</v>
      </c>
      <c r="FG53">
        <f t="shared" si="674"/>
        <v>0.10000000000000002</v>
      </c>
      <c r="FH53">
        <f t="shared" si="675"/>
        <v>0.10000000000000002</v>
      </c>
      <c r="FI53">
        <f t="shared" si="676"/>
        <v>0.10000000000000002</v>
      </c>
      <c r="FJ53">
        <f t="shared" si="677"/>
        <v>0.10000000000000002</v>
      </c>
      <c r="FK53">
        <f t="shared" si="678"/>
        <v>0.10000000000000002</v>
      </c>
      <c r="FL53">
        <f t="shared" si="679"/>
        <v>0.10000000000000002</v>
      </c>
      <c r="FM53">
        <f t="shared" si="680"/>
        <v>0.10000000000000002</v>
      </c>
      <c r="FN53">
        <f t="shared" si="681"/>
        <v>0.10000000000000002</v>
      </c>
      <c r="FO53">
        <f t="shared" si="682"/>
        <v>0.10000000000000002</v>
      </c>
      <c r="FP53">
        <f t="shared" si="683"/>
        <v>0.10000000000000002</v>
      </c>
      <c r="FQ53">
        <f t="shared" si="684"/>
        <v>0.10000000000000002</v>
      </c>
      <c r="FR53">
        <f t="shared" si="685"/>
        <v>0.10000000000000002</v>
      </c>
      <c r="FS53">
        <f t="shared" si="686"/>
        <v>0.10000000000000002</v>
      </c>
      <c r="FT53">
        <f t="shared" si="687"/>
        <v>0.10000000000000002</v>
      </c>
      <c r="FU53">
        <f t="shared" si="688"/>
        <v>0.10000000000000002</v>
      </c>
      <c r="FV53">
        <f t="shared" si="689"/>
        <v>0.10000000000000002</v>
      </c>
      <c r="FW53">
        <f t="shared" si="690"/>
        <v>0.10000000000000002</v>
      </c>
      <c r="FX53">
        <f t="shared" si="691"/>
        <v>0.10000000000000002</v>
      </c>
      <c r="FY53">
        <f t="shared" si="692"/>
        <v>0.10000000000000002</v>
      </c>
      <c r="FZ53">
        <f t="shared" si="693"/>
        <v>0.10000000000000002</v>
      </c>
      <c r="GA53">
        <f t="shared" si="694"/>
        <v>0.10000000000000002</v>
      </c>
      <c r="GB53">
        <f t="shared" si="695"/>
        <v>0.10000000000000002</v>
      </c>
      <c r="GC53">
        <f t="shared" si="696"/>
        <v>0.10000000000000002</v>
      </c>
      <c r="GD53">
        <f t="shared" si="697"/>
        <v>0.10000000000000002</v>
      </c>
      <c r="GE53">
        <f t="shared" si="698"/>
        <v>0.10000000000000002</v>
      </c>
      <c r="GF53">
        <f t="shared" si="699"/>
        <v>0.10000000000000002</v>
      </c>
      <c r="GG53">
        <f t="shared" si="700"/>
        <v>0.10000000000000002</v>
      </c>
      <c r="GH53">
        <f t="shared" si="701"/>
        <v>0.10000000000000002</v>
      </c>
      <c r="GI53">
        <f t="shared" si="702"/>
        <v>0.10000000000000002</v>
      </c>
      <c r="GJ53">
        <f t="shared" si="703"/>
        <v>0.10000000000000002</v>
      </c>
      <c r="GK53">
        <f t="shared" si="704"/>
        <v>0.10000000000000002</v>
      </c>
      <c r="GL53">
        <f t="shared" si="705"/>
        <v>0.10000000000000002</v>
      </c>
      <c r="GM53">
        <f t="shared" si="706"/>
        <v>0.10000000000000002</v>
      </c>
      <c r="GN53">
        <f t="shared" si="707"/>
        <v>0.10000000000000002</v>
      </c>
      <c r="GO53">
        <f t="shared" si="708"/>
        <v>0.10000000000000002</v>
      </c>
      <c r="GP53">
        <f t="shared" si="709"/>
        <v>0.10000000000000002</v>
      </c>
      <c r="GQ53">
        <f t="shared" si="710"/>
        <v>0.10000000000000002</v>
      </c>
      <c r="GR53">
        <f t="shared" si="711"/>
        <v>0.10000000000000002</v>
      </c>
      <c r="GS53">
        <f t="shared" si="712"/>
        <v>0.10000000000000002</v>
      </c>
      <c r="GT53">
        <f t="shared" si="713"/>
        <v>0.10000000000000002</v>
      </c>
      <c r="GU53">
        <f t="shared" si="714"/>
        <v>0.10000000000000002</v>
      </c>
      <c r="GV53">
        <f t="shared" si="715"/>
        <v>0.10000000000000002</v>
      </c>
      <c r="GW53">
        <f t="shared" si="716"/>
        <v>0.10000000000000002</v>
      </c>
      <c r="GX53">
        <f t="shared" si="717"/>
        <v>0.10000000000000002</v>
      </c>
      <c r="GY53">
        <f t="shared" si="718"/>
        <v>0.10000000000000002</v>
      </c>
      <c r="GZ53">
        <f t="shared" si="719"/>
        <v>0.10000000000000002</v>
      </c>
      <c r="HA53">
        <f t="shared" si="720"/>
        <v>0.10000000000000002</v>
      </c>
      <c r="HB53">
        <f t="shared" si="721"/>
        <v>0.10000000000000002</v>
      </c>
      <c r="HC53">
        <f t="shared" si="722"/>
        <v>0.10000000000000002</v>
      </c>
      <c r="HD53">
        <f t="shared" si="723"/>
        <v>0.10000000000000002</v>
      </c>
      <c r="HE53">
        <f t="shared" si="724"/>
        <v>0.10000000000000002</v>
      </c>
      <c r="HF53">
        <f t="shared" si="725"/>
        <v>0.10000000000000002</v>
      </c>
      <c r="HG53">
        <f t="shared" si="726"/>
        <v>0.10000000000000002</v>
      </c>
      <c r="HH53">
        <f t="shared" si="727"/>
        <v>0.10000000000000002</v>
      </c>
      <c r="HI53">
        <f t="shared" si="728"/>
        <v>0.10000000000000002</v>
      </c>
      <c r="HJ53">
        <f t="shared" si="729"/>
        <v>0.10000000000000002</v>
      </c>
      <c r="HK53">
        <f t="shared" si="730"/>
        <v>0.10000000000000002</v>
      </c>
      <c r="HL53">
        <f t="shared" si="731"/>
        <v>0.10000000000000002</v>
      </c>
      <c r="HM53">
        <f t="shared" si="732"/>
        <v>0.10000000000000002</v>
      </c>
      <c r="HN53">
        <f t="shared" si="733"/>
        <v>0.10000000000000002</v>
      </c>
      <c r="HO53">
        <f t="shared" si="734"/>
        <v>0.10000000000000002</v>
      </c>
      <c r="HP53">
        <f t="shared" si="735"/>
        <v>0.10000000000000002</v>
      </c>
      <c r="HQ53">
        <f t="shared" si="736"/>
        <v>0.10000000000000002</v>
      </c>
      <c r="HR53">
        <f t="shared" si="737"/>
        <v>0.10000000000000002</v>
      </c>
      <c r="HS53">
        <f t="shared" si="738"/>
        <v>0.10000000000000002</v>
      </c>
      <c r="HT53">
        <f t="shared" si="739"/>
        <v>0.10000000000000002</v>
      </c>
      <c r="HU53">
        <f t="shared" si="740"/>
        <v>0.10000000000000002</v>
      </c>
      <c r="HV53">
        <f t="shared" si="741"/>
        <v>0.10000000000000002</v>
      </c>
      <c r="HW53">
        <f t="shared" si="742"/>
        <v>0.10000000000000002</v>
      </c>
      <c r="HX53">
        <f t="shared" si="743"/>
        <v>0.10000000000000002</v>
      </c>
      <c r="HY53">
        <f t="shared" si="744"/>
        <v>0.10000000000000002</v>
      </c>
      <c r="HZ53">
        <f t="shared" si="745"/>
        <v>0.10000000000000002</v>
      </c>
      <c r="IA53">
        <f t="shared" si="746"/>
        <v>0.10000000000000002</v>
      </c>
      <c r="IB53">
        <f t="shared" si="747"/>
        <v>0.10000000000000002</v>
      </c>
      <c r="IC53">
        <f t="shared" si="748"/>
        <v>0.10000000000000002</v>
      </c>
      <c r="ID53">
        <f t="shared" si="749"/>
        <v>0.10000000000000002</v>
      </c>
      <c r="IE53">
        <f t="shared" si="750"/>
        <v>0.10000000000000002</v>
      </c>
      <c r="IF53">
        <f t="shared" si="751"/>
        <v>0.10000000000000002</v>
      </c>
      <c r="IG53">
        <f t="shared" si="752"/>
        <v>0.10000000000000002</v>
      </c>
      <c r="IH53">
        <f t="shared" si="753"/>
        <v>0.10000000000000002</v>
      </c>
      <c r="II53">
        <f t="shared" si="754"/>
        <v>0.10000000000000002</v>
      </c>
      <c r="IJ53">
        <f t="shared" si="755"/>
        <v>0.10000000000000002</v>
      </c>
      <c r="IK53">
        <f t="shared" si="756"/>
        <v>0.10000000000000002</v>
      </c>
      <c r="IL53">
        <f t="shared" si="757"/>
        <v>0.10000000000000002</v>
      </c>
      <c r="IM53">
        <f t="shared" si="758"/>
        <v>0.10000000000000002</v>
      </c>
      <c r="IN53">
        <f t="shared" si="759"/>
        <v>0.10000000000000002</v>
      </c>
      <c r="IO53">
        <f t="shared" si="760"/>
        <v>0.10000000000000002</v>
      </c>
      <c r="IP53">
        <f t="shared" si="761"/>
        <v>0.10000000000000002</v>
      </c>
      <c r="IQ53">
        <f t="shared" si="762"/>
        <v>0.10000000000000002</v>
      </c>
      <c r="IR53">
        <f t="shared" si="763"/>
        <v>0.10000000000000002</v>
      </c>
      <c r="IS53">
        <f t="shared" si="764"/>
        <v>0.10000000000000002</v>
      </c>
      <c r="IT53">
        <f t="shared" si="765"/>
        <v>0.10000000000000002</v>
      </c>
      <c r="IU53">
        <f t="shared" si="766"/>
        <v>0.10000000000000002</v>
      </c>
      <c r="IV53">
        <f t="shared" si="767"/>
        <v>0.10000000000000002</v>
      </c>
    </row>
    <row r="54" spans="1:256" x14ac:dyDescent="0.2">
      <c r="A54" t="s">
        <v>525</v>
      </c>
      <c r="B54">
        <f t="shared" ref="B54:B70" si="768">$B122</f>
        <v>10</v>
      </c>
      <c r="C54">
        <f t="shared" ref="C54:C70" si="769">$B122</f>
        <v>10</v>
      </c>
      <c r="D54">
        <f t="shared" ref="D54:D70" si="770">$B122</f>
        <v>10</v>
      </c>
      <c r="E54">
        <f t="shared" ref="E54:E70" si="771">$B122</f>
        <v>10</v>
      </c>
      <c r="F54">
        <f t="shared" ref="F54:F70" si="772">$B122</f>
        <v>10</v>
      </c>
      <c r="G54">
        <f t="shared" ref="G54:G70" si="773">$B122</f>
        <v>10</v>
      </c>
      <c r="H54">
        <f t="shared" ref="H54:H70" si="774">$B122</f>
        <v>10</v>
      </c>
      <c r="I54">
        <f t="shared" ref="I54:I70" si="775">$B122</f>
        <v>10</v>
      </c>
      <c r="J54">
        <f t="shared" ref="J54:J70" si="776">$C122</f>
        <v>10</v>
      </c>
      <c r="K54">
        <f t="shared" ref="K54:K70" si="777">$C122</f>
        <v>10</v>
      </c>
      <c r="L54">
        <f t="shared" ref="L54:L70" si="778">$C122</f>
        <v>10</v>
      </c>
      <c r="M54">
        <f t="shared" ref="M54:M70" si="779">$C122</f>
        <v>10</v>
      </c>
      <c r="N54">
        <f t="shared" ref="N54:N70" si="780">$C122</f>
        <v>10</v>
      </c>
      <c r="O54">
        <f t="shared" ref="O54:O70" si="781">$C122</f>
        <v>10</v>
      </c>
      <c r="P54">
        <f t="shared" ref="P54:P70" si="782">$C122</f>
        <v>10</v>
      </c>
      <c r="Q54">
        <f t="shared" ref="Q54:Q70" si="783">$C122</f>
        <v>10</v>
      </c>
      <c r="R54">
        <f t="shared" ref="R54:R70" si="784">$D122</f>
        <v>10</v>
      </c>
      <c r="S54">
        <f t="shared" ref="S54:S70" si="785">$D122</f>
        <v>10</v>
      </c>
      <c r="T54">
        <f t="shared" ref="T54:T70" si="786">$D122</f>
        <v>10</v>
      </c>
      <c r="U54">
        <f t="shared" ref="U54:U70" si="787">$D122</f>
        <v>10</v>
      </c>
      <c r="V54">
        <f t="shared" ref="V54:V70" si="788">$D122</f>
        <v>10</v>
      </c>
      <c r="W54">
        <f t="shared" ref="W54:W70" si="789">$D122</f>
        <v>10</v>
      </c>
      <c r="X54">
        <f t="shared" ref="X54:X70" si="790">$D122</f>
        <v>10</v>
      </c>
      <c r="Y54">
        <f t="shared" ref="Y54:Y70" si="791">$D122</f>
        <v>10</v>
      </c>
      <c r="Z54">
        <f t="shared" ref="Z54:Z70" si="792">$E122</f>
        <v>10</v>
      </c>
      <c r="AA54">
        <f t="shared" ref="AA54:AA70" si="793">$E122</f>
        <v>10</v>
      </c>
      <c r="AB54">
        <f t="shared" ref="AB54:AB70" si="794">$E122</f>
        <v>10</v>
      </c>
      <c r="AC54">
        <f t="shared" ref="AC54:AC70" si="795">$E122</f>
        <v>10</v>
      </c>
      <c r="AD54">
        <f t="shared" ref="AD54:AD70" si="796">$E122</f>
        <v>10</v>
      </c>
      <c r="AE54">
        <f t="shared" ref="AE54:AE70" si="797">$E122</f>
        <v>10</v>
      </c>
      <c r="AF54">
        <f t="shared" ref="AF54:AF70" si="798">$E122</f>
        <v>10</v>
      </c>
      <c r="AG54">
        <f t="shared" ref="AG54:AG70" si="799">$E122</f>
        <v>10</v>
      </c>
      <c r="AH54">
        <f t="shared" ref="AH54:AH70" si="800">$F122</f>
        <v>10</v>
      </c>
      <c r="AI54">
        <f t="shared" ref="AI54:AI70" si="801">$F122</f>
        <v>10</v>
      </c>
      <c r="AJ54">
        <f t="shared" ref="AJ54:AJ70" si="802">$F122</f>
        <v>10</v>
      </c>
      <c r="AK54">
        <f t="shared" ref="AK54:AK70" si="803">$F122</f>
        <v>10</v>
      </c>
      <c r="AL54">
        <f t="shared" ref="AL54:AL70" si="804">$F122</f>
        <v>10</v>
      </c>
      <c r="AM54">
        <f t="shared" ref="AM54:AM70" si="805">$F122</f>
        <v>10</v>
      </c>
      <c r="AN54">
        <f t="shared" ref="AN54:AN70" si="806">$F122</f>
        <v>10</v>
      </c>
      <c r="AO54">
        <f t="shared" ref="AO54:AO70" si="807">$F122</f>
        <v>10</v>
      </c>
      <c r="AP54">
        <f t="shared" ref="AP54:AP70" si="808">$G122</f>
        <v>10</v>
      </c>
      <c r="AQ54">
        <f t="shared" ref="AQ54:AQ70" si="809">$G122</f>
        <v>10</v>
      </c>
      <c r="AR54">
        <f t="shared" ref="AR54:AR70" si="810">$G122</f>
        <v>10</v>
      </c>
      <c r="AS54">
        <f t="shared" ref="AS54:AS70" si="811">$G122</f>
        <v>10</v>
      </c>
      <c r="AT54">
        <f t="shared" ref="AT54:AT70" si="812">$G122</f>
        <v>10</v>
      </c>
      <c r="AU54">
        <f t="shared" ref="AU54:AU70" si="813">$G122</f>
        <v>10</v>
      </c>
      <c r="AV54">
        <f t="shared" ref="AV54:AV70" si="814">$G122</f>
        <v>10</v>
      </c>
      <c r="AW54">
        <f t="shared" ref="AW54:AW70" si="815">$G122</f>
        <v>10</v>
      </c>
      <c r="AX54">
        <f t="shared" ref="AX54:AX70" si="816">$G122</f>
        <v>10</v>
      </c>
      <c r="AY54">
        <f t="shared" ref="AY54:AY70" si="817">$G122</f>
        <v>10</v>
      </c>
      <c r="AZ54">
        <f t="shared" ref="AZ54:AZ70" si="818">$G122</f>
        <v>10</v>
      </c>
      <c r="BA54">
        <f t="shared" ref="BA54:BA70" si="819">$G122</f>
        <v>10</v>
      </c>
      <c r="BB54">
        <f t="shared" ref="BB54:BB70" si="820">$G122</f>
        <v>10</v>
      </c>
      <c r="BC54">
        <f t="shared" ref="BC54:BC70" si="821">$G122</f>
        <v>10</v>
      </c>
      <c r="BD54">
        <f t="shared" ref="BD54:BD70" si="822">$G122</f>
        <v>10</v>
      </c>
      <c r="BE54">
        <f t="shared" ref="BE54:BE70" si="823">$G122</f>
        <v>10</v>
      </c>
      <c r="BF54">
        <f t="shared" ref="BF54:BF70" si="824">$G122</f>
        <v>10</v>
      </c>
      <c r="BG54">
        <f t="shared" ref="BG54:BG70" si="825">$G122</f>
        <v>10</v>
      </c>
      <c r="BH54">
        <f t="shared" ref="BH54:BH70" si="826">$G122</f>
        <v>10</v>
      </c>
      <c r="BI54">
        <f t="shared" ref="BI54:BI70" si="827">$G122</f>
        <v>10</v>
      </c>
      <c r="BJ54">
        <f t="shared" ref="BJ54:BJ70" si="828">$G122</f>
        <v>10</v>
      </c>
      <c r="BK54">
        <f t="shared" ref="BK54:BK70" si="829">$G122</f>
        <v>10</v>
      </c>
      <c r="BL54">
        <f t="shared" ref="BL54:BL70" si="830">$G122</f>
        <v>10</v>
      </c>
      <c r="BM54">
        <f t="shared" ref="BM54:BM70" si="831">$G122</f>
        <v>10</v>
      </c>
      <c r="BN54">
        <f t="shared" ref="BN54:BN70" si="832">$G122</f>
        <v>10</v>
      </c>
      <c r="BO54">
        <f t="shared" ref="BO54:BO70" si="833">$G122</f>
        <v>10</v>
      </c>
      <c r="BP54">
        <f t="shared" ref="BP54:BP70" si="834">$G122</f>
        <v>10</v>
      </c>
      <c r="BQ54">
        <f t="shared" ref="BQ54:BQ70" si="835">$G122</f>
        <v>10</v>
      </c>
      <c r="BR54">
        <f t="shared" ref="BR54:BR70" si="836">$G122</f>
        <v>10</v>
      </c>
      <c r="BS54">
        <f t="shared" ref="BS54:BS70" si="837">$G122</f>
        <v>10</v>
      </c>
      <c r="BT54">
        <f t="shared" ref="BT54:BT70" si="838">$G122</f>
        <v>10</v>
      </c>
      <c r="BU54">
        <f t="shared" ref="BU54:BU70" si="839">$G122</f>
        <v>10</v>
      </c>
      <c r="BV54">
        <f t="shared" ref="BV54:BV70" si="840">$G122</f>
        <v>10</v>
      </c>
      <c r="BW54">
        <f t="shared" ref="BW54:BW70" si="841">$G122</f>
        <v>10</v>
      </c>
      <c r="BX54">
        <f t="shared" ref="BX54:BX70" si="842">$G122</f>
        <v>10</v>
      </c>
      <c r="BY54">
        <f t="shared" ref="BY54:BY70" si="843">$G122</f>
        <v>10</v>
      </c>
      <c r="BZ54">
        <f t="shared" ref="BZ54:BZ70" si="844">$G122</f>
        <v>10</v>
      </c>
      <c r="CA54">
        <f t="shared" ref="CA54:CA70" si="845">$G122</f>
        <v>10</v>
      </c>
      <c r="CB54">
        <f t="shared" ref="CB54:CB70" si="846">$G122</f>
        <v>10</v>
      </c>
      <c r="CC54">
        <f t="shared" ref="CC54:CC70" si="847">$G122</f>
        <v>10</v>
      </c>
      <c r="CD54">
        <f t="shared" ref="CD54:CD70" si="848">$G122</f>
        <v>10</v>
      </c>
      <c r="CE54">
        <f t="shared" ref="CE54:CE70" si="849">$G122</f>
        <v>10</v>
      </c>
      <c r="CF54">
        <f t="shared" ref="CF54:CF70" si="850">$G122</f>
        <v>10</v>
      </c>
      <c r="CG54">
        <f t="shared" ref="CG54:CG70" si="851">$G122</f>
        <v>10</v>
      </c>
      <c r="CH54">
        <f t="shared" ref="CH54:CH70" si="852">$G122</f>
        <v>10</v>
      </c>
      <c r="CI54">
        <f t="shared" ref="CI54:CI70" si="853">$G122</f>
        <v>10</v>
      </c>
      <c r="CJ54">
        <f t="shared" ref="CJ54:CJ70" si="854">$G122</f>
        <v>10</v>
      </c>
      <c r="CK54">
        <f t="shared" ref="CK54:CK70" si="855">$G122</f>
        <v>10</v>
      </c>
      <c r="CL54">
        <f t="shared" ref="CL54:CL70" si="856">$G122</f>
        <v>10</v>
      </c>
      <c r="CM54">
        <f t="shared" ref="CM54:CM70" si="857">$G122</f>
        <v>10</v>
      </c>
      <c r="CN54">
        <f t="shared" ref="CN54:CN70" si="858">$G122</f>
        <v>10</v>
      </c>
      <c r="CO54">
        <f t="shared" ref="CO54:CO70" si="859">$G122</f>
        <v>10</v>
      </c>
      <c r="CP54">
        <f t="shared" ref="CP54:CP70" si="860">$G122</f>
        <v>10</v>
      </c>
      <c r="CQ54">
        <f t="shared" ref="CQ54:CQ70" si="861">$G122</f>
        <v>10</v>
      </c>
      <c r="CR54">
        <f t="shared" ref="CR54:CR70" si="862">$G122</f>
        <v>10</v>
      </c>
      <c r="CS54">
        <f t="shared" ref="CS54:CS70" si="863">$G122</f>
        <v>10</v>
      </c>
      <c r="CT54">
        <f t="shared" ref="CT54:CT70" si="864">$G122</f>
        <v>10</v>
      </c>
      <c r="CU54">
        <f t="shared" ref="CU54:CU70" si="865">$G122</f>
        <v>10</v>
      </c>
      <c r="CV54">
        <f t="shared" ref="CV54:CV70" si="866">$G122</f>
        <v>10</v>
      </c>
      <c r="CW54">
        <f t="shared" ref="CW54:CW70" si="867">$G122</f>
        <v>10</v>
      </c>
      <c r="CX54">
        <f t="shared" ref="CX54:CX70" si="868">$G122</f>
        <v>10</v>
      </c>
      <c r="CY54">
        <f t="shared" ref="CY54:CY70" si="869">$G122</f>
        <v>10</v>
      </c>
      <c r="CZ54">
        <f t="shared" ref="CZ54:CZ70" si="870">$G122</f>
        <v>10</v>
      </c>
      <c r="DA54">
        <f t="shared" ref="DA54:DA70" si="871">$G122</f>
        <v>10</v>
      </c>
      <c r="DB54">
        <f t="shared" ref="DB54:DB70" si="872">$G122</f>
        <v>10</v>
      </c>
      <c r="DC54">
        <f t="shared" ref="DC54:DC70" si="873">$G122</f>
        <v>10</v>
      </c>
      <c r="DD54">
        <f t="shared" ref="DD54:DD70" si="874">$G122</f>
        <v>10</v>
      </c>
      <c r="DE54">
        <f t="shared" ref="DE54:DE70" si="875">$G122</f>
        <v>10</v>
      </c>
      <c r="DF54">
        <f t="shared" ref="DF54:DF70" si="876">$G122</f>
        <v>10</v>
      </c>
      <c r="DG54">
        <f t="shared" ref="DG54:DG70" si="877">$G122</f>
        <v>10</v>
      </c>
      <c r="DH54">
        <f t="shared" ref="DH54:DH70" si="878">$G122</f>
        <v>10</v>
      </c>
      <c r="DI54">
        <f t="shared" ref="DI54:DI70" si="879">$G122</f>
        <v>10</v>
      </c>
      <c r="DJ54">
        <f t="shared" ref="DJ54:DJ70" si="880">$G122</f>
        <v>10</v>
      </c>
      <c r="DK54">
        <f t="shared" ref="DK54:DK70" si="881">$G122</f>
        <v>10</v>
      </c>
      <c r="DL54">
        <f t="shared" ref="DL54:DL70" si="882">$G122</f>
        <v>10</v>
      </c>
      <c r="DM54">
        <f t="shared" ref="DM54:DM70" si="883">$G122</f>
        <v>10</v>
      </c>
      <c r="DN54">
        <f t="shared" ref="DN54:DN70" si="884">$G122</f>
        <v>10</v>
      </c>
      <c r="DO54">
        <f t="shared" ref="DO54:DO70" si="885">$G122</f>
        <v>10</v>
      </c>
      <c r="DP54">
        <f t="shared" ref="DP54:DP70" si="886">$G122</f>
        <v>10</v>
      </c>
      <c r="DQ54">
        <f t="shared" ref="DQ54:DQ70" si="887">$G122</f>
        <v>10</v>
      </c>
      <c r="DR54">
        <f t="shared" ref="DR54:DR70" si="888">$G122</f>
        <v>10</v>
      </c>
      <c r="DS54">
        <f t="shared" ref="DS54:DS70" si="889">$G122</f>
        <v>10</v>
      </c>
      <c r="DT54">
        <f t="shared" ref="DT54:DT70" si="890">$G122</f>
        <v>10</v>
      </c>
      <c r="DU54">
        <f t="shared" ref="DU54:DU70" si="891">$G122</f>
        <v>10</v>
      </c>
      <c r="DV54">
        <f t="shared" ref="DV54:DV70" si="892">$G122</f>
        <v>10</v>
      </c>
      <c r="DW54">
        <f t="shared" ref="DW54:DW70" si="893">$G122</f>
        <v>10</v>
      </c>
      <c r="DX54">
        <f t="shared" ref="DX54:DX70" si="894">$G122</f>
        <v>10</v>
      </c>
      <c r="DY54">
        <f t="shared" ref="DY54:DY70" si="895">$G122</f>
        <v>10</v>
      </c>
      <c r="DZ54">
        <f t="shared" ref="DZ54:DZ70" si="896">$G122</f>
        <v>10</v>
      </c>
      <c r="EA54">
        <f t="shared" ref="EA54:EA70" si="897">$G122</f>
        <v>10</v>
      </c>
      <c r="EB54">
        <f t="shared" ref="EB54:EB70" si="898">$G122</f>
        <v>10</v>
      </c>
      <c r="EC54">
        <f t="shared" ref="EC54:EC70" si="899">$G122</f>
        <v>10</v>
      </c>
      <c r="ED54">
        <f t="shared" ref="ED54:ED70" si="900">$G122</f>
        <v>10</v>
      </c>
      <c r="EE54">
        <f t="shared" ref="EE54:EE70" si="901">$G122</f>
        <v>10</v>
      </c>
      <c r="EF54">
        <f t="shared" ref="EF54:EF70" si="902">$G122</f>
        <v>10</v>
      </c>
      <c r="EG54">
        <f t="shared" ref="EG54:EG70" si="903">$G122</f>
        <v>10</v>
      </c>
      <c r="EH54">
        <f t="shared" ref="EH54:EH70" si="904">$G122</f>
        <v>10</v>
      </c>
      <c r="EI54">
        <f t="shared" ref="EI54:EI70" si="905">$G122</f>
        <v>10</v>
      </c>
      <c r="EJ54">
        <f t="shared" ref="EJ54:EJ70" si="906">$G122</f>
        <v>10</v>
      </c>
      <c r="EK54">
        <f t="shared" ref="EK54:EK70" si="907">$G122</f>
        <v>10</v>
      </c>
      <c r="EL54">
        <f t="shared" ref="EL54:EL70" si="908">$G122</f>
        <v>10</v>
      </c>
      <c r="EM54">
        <f t="shared" ref="EM54:EM70" si="909">$G122</f>
        <v>10</v>
      </c>
      <c r="EN54">
        <f t="shared" ref="EN54:EN70" si="910">$G122</f>
        <v>10</v>
      </c>
      <c r="EO54">
        <f t="shared" ref="EO54:EO70" si="911">$G122</f>
        <v>10</v>
      </c>
      <c r="EP54">
        <f t="shared" ref="EP54:EP70" si="912">$G122</f>
        <v>10</v>
      </c>
      <c r="EQ54">
        <f t="shared" ref="EQ54:EQ70" si="913">$G122</f>
        <v>10</v>
      </c>
      <c r="ER54">
        <f t="shared" ref="ER54:ER70" si="914">$G122</f>
        <v>10</v>
      </c>
      <c r="ES54">
        <f t="shared" ref="ES54:ES70" si="915">$G122</f>
        <v>10</v>
      </c>
      <c r="ET54">
        <f t="shared" ref="ET54:ET70" si="916">$G122</f>
        <v>10</v>
      </c>
      <c r="EU54">
        <f t="shared" ref="EU54:EU70" si="917">$G122</f>
        <v>10</v>
      </c>
      <c r="EV54">
        <f t="shared" ref="EV54:EV70" si="918">$G122</f>
        <v>10</v>
      </c>
      <c r="EW54">
        <f t="shared" ref="EW54:EW70" si="919">$G122</f>
        <v>10</v>
      </c>
      <c r="EX54">
        <f t="shared" ref="EX54:EX70" si="920">$G122</f>
        <v>10</v>
      </c>
      <c r="EY54">
        <f t="shared" ref="EY54:EY70" si="921">$G122</f>
        <v>10</v>
      </c>
      <c r="EZ54">
        <f t="shared" ref="EZ54:EZ70" si="922">$G122</f>
        <v>10</v>
      </c>
      <c r="FA54">
        <f t="shared" ref="FA54:FA70" si="923">$G122</f>
        <v>10</v>
      </c>
      <c r="FB54">
        <f t="shared" ref="FB54:FB70" si="924">$G122</f>
        <v>10</v>
      </c>
      <c r="FC54">
        <f t="shared" ref="FC54:FC70" si="925">$G122</f>
        <v>10</v>
      </c>
      <c r="FD54">
        <f t="shared" ref="FD54:FD70" si="926">$G122</f>
        <v>10</v>
      </c>
      <c r="FE54">
        <f t="shared" ref="FE54:FE70" si="927">$G122</f>
        <v>10</v>
      </c>
      <c r="FF54">
        <f t="shared" ref="FF54:FF70" si="928">$G122</f>
        <v>10</v>
      </c>
      <c r="FG54">
        <f t="shared" ref="FG54:FG70" si="929">$G122</f>
        <v>10</v>
      </c>
      <c r="FH54">
        <f t="shared" ref="FH54:FH70" si="930">$G122</f>
        <v>10</v>
      </c>
      <c r="FI54">
        <f t="shared" ref="FI54:FI70" si="931">$G122</f>
        <v>10</v>
      </c>
      <c r="FJ54">
        <f t="shared" ref="FJ54:FJ70" si="932">$G122</f>
        <v>10</v>
      </c>
      <c r="FK54">
        <f t="shared" ref="FK54:FK70" si="933">$G122</f>
        <v>10</v>
      </c>
      <c r="FL54">
        <f t="shared" ref="FL54:FL70" si="934">$G122</f>
        <v>10</v>
      </c>
      <c r="FM54">
        <f t="shared" ref="FM54:FM70" si="935">$G122</f>
        <v>10</v>
      </c>
      <c r="FN54">
        <f t="shared" ref="FN54:FN70" si="936">$G122</f>
        <v>10</v>
      </c>
      <c r="FO54">
        <f t="shared" ref="FO54:FO70" si="937">$G122</f>
        <v>10</v>
      </c>
      <c r="FP54">
        <f t="shared" ref="FP54:FP70" si="938">$G122</f>
        <v>10</v>
      </c>
      <c r="FQ54">
        <f t="shared" ref="FQ54:FQ70" si="939">$G122</f>
        <v>10</v>
      </c>
      <c r="FR54">
        <f t="shared" ref="FR54:FR70" si="940">$G122</f>
        <v>10</v>
      </c>
      <c r="FS54">
        <f t="shared" ref="FS54:FS70" si="941">$G122</f>
        <v>10</v>
      </c>
      <c r="FT54">
        <f t="shared" ref="FT54:FT70" si="942">$G122</f>
        <v>10</v>
      </c>
      <c r="FU54">
        <f t="shared" ref="FU54:FU70" si="943">$G122</f>
        <v>10</v>
      </c>
      <c r="FV54">
        <f t="shared" ref="FV54:FV70" si="944">$G122</f>
        <v>10</v>
      </c>
      <c r="FW54">
        <f t="shared" ref="FW54:FW70" si="945">$G122</f>
        <v>10</v>
      </c>
      <c r="FX54">
        <f t="shared" ref="FX54:FX70" si="946">$G122</f>
        <v>10</v>
      </c>
      <c r="FY54">
        <f t="shared" ref="FY54:FY70" si="947">$G122</f>
        <v>10</v>
      </c>
      <c r="FZ54">
        <f t="shared" ref="FZ54:FZ70" si="948">$G122</f>
        <v>10</v>
      </c>
      <c r="GA54">
        <f t="shared" ref="GA54:GA70" si="949">$G122</f>
        <v>10</v>
      </c>
      <c r="GB54">
        <f t="shared" ref="GB54:GB70" si="950">$G122</f>
        <v>10</v>
      </c>
      <c r="GC54">
        <f t="shared" ref="GC54:GC70" si="951">$G122</f>
        <v>10</v>
      </c>
      <c r="GD54">
        <f t="shared" ref="GD54:GD70" si="952">$G122</f>
        <v>10</v>
      </c>
      <c r="GE54">
        <f t="shared" ref="GE54:GE70" si="953">$G122</f>
        <v>10</v>
      </c>
      <c r="GF54">
        <f t="shared" ref="GF54:GF70" si="954">$G122</f>
        <v>10</v>
      </c>
      <c r="GG54">
        <f t="shared" ref="GG54:GG70" si="955">$G122</f>
        <v>10</v>
      </c>
      <c r="GH54">
        <f t="shared" ref="GH54:GH70" si="956">$G122</f>
        <v>10</v>
      </c>
      <c r="GI54">
        <f t="shared" ref="GI54:GI70" si="957">$G122</f>
        <v>10</v>
      </c>
      <c r="GJ54">
        <f t="shared" ref="GJ54:GJ70" si="958">$G122</f>
        <v>10</v>
      </c>
      <c r="GK54">
        <f t="shared" ref="GK54:GK70" si="959">$G122</f>
        <v>10</v>
      </c>
      <c r="GL54">
        <f t="shared" ref="GL54:GL70" si="960">$G122</f>
        <v>10</v>
      </c>
      <c r="GM54">
        <f t="shared" ref="GM54:GM70" si="961">$G122</f>
        <v>10</v>
      </c>
      <c r="GN54">
        <f t="shared" ref="GN54:GN70" si="962">$G122</f>
        <v>10</v>
      </c>
      <c r="GO54">
        <f t="shared" ref="GO54:GO70" si="963">$G122</f>
        <v>10</v>
      </c>
      <c r="GP54">
        <f t="shared" ref="GP54:GP70" si="964">$G122</f>
        <v>10</v>
      </c>
      <c r="GQ54">
        <f t="shared" ref="GQ54:GQ70" si="965">$G122</f>
        <v>10</v>
      </c>
      <c r="GR54">
        <f t="shared" ref="GR54:GR70" si="966">$G122</f>
        <v>10</v>
      </c>
      <c r="GS54">
        <f t="shared" ref="GS54:GS70" si="967">$G122</f>
        <v>10</v>
      </c>
      <c r="GT54">
        <f t="shared" ref="GT54:GT70" si="968">$G122</f>
        <v>10</v>
      </c>
      <c r="GU54">
        <f t="shared" ref="GU54:GU70" si="969">$G122</f>
        <v>10</v>
      </c>
      <c r="GV54">
        <f t="shared" ref="GV54:GV70" si="970">$G122</f>
        <v>10</v>
      </c>
      <c r="GW54">
        <f t="shared" ref="GW54:GW70" si="971">$G122</f>
        <v>10</v>
      </c>
      <c r="GX54">
        <f t="shared" ref="GX54:GX70" si="972">$G122</f>
        <v>10</v>
      </c>
      <c r="GY54">
        <f t="shared" ref="GY54:GY70" si="973">$G122</f>
        <v>10</v>
      </c>
      <c r="GZ54">
        <f t="shared" ref="GZ54:GZ70" si="974">$G122</f>
        <v>10</v>
      </c>
      <c r="HA54">
        <f t="shared" ref="HA54:HA70" si="975">$G122</f>
        <v>10</v>
      </c>
      <c r="HB54">
        <f t="shared" ref="HB54:HB70" si="976">$G122</f>
        <v>10</v>
      </c>
      <c r="HC54">
        <f t="shared" ref="HC54:HC70" si="977">$G122</f>
        <v>10</v>
      </c>
      <c r="HD54">
        <f t="shared" ref="HD54:HD70" si="978">$G122</f>
        <v>10</v>
      </c>
      <c r="HE54">
        <f t="shared" ref="HE54:HE70" si="979">$G122</f>
        <v>10</v>
      </c>
      <c r="HF54">
        <f t="shared" ref="HF54:HF70" si="980">$G122</f>
        <v>10</v>
      </c>
      <c r="HG54">
        <f t="shared" ref="HG54:HG70" si="981">$G122</f>
        <v>10</v>
      </c>
      <c r="HH54">
        <f t="shared" ref="HH54:HH70" si="982">$G122</f>
        <v>10</v>
      </c>
      <c r="HI54">
        <f t="shared" ref="HI54:HI70" si="983">$G122</f>
        <v>10</v>
      </c>
      <c r="HJ54">
        <f t="shared" ref="HJ54:HJ70" si="984">$G122</f>
        <v>10</v>
      </c>
      <c r="HK54">
        <f t="shared" ref="HK54:HK70" si="985">$G122</f>
        <v>10</v>
      </c>
      <c r="HL54">
        <f t="shared" ref="HL54:HL70" si="986">$G122</f>
        <v>10</v>
      </c>
      <c r="HM54">
        <f t="shared" ref="HM54:HM70" si="987">$G122</f>
        <v>10</v>
      </c>
      <c r="HN54">
        <f t="shared" ref="HN54:HN70" si="988">$G122</f>
        <v>10</v>
      </c>
      <c r="HO54">
        <f t="shared" ref="HO54:HO70" si="989">$G122</f>
        <v>10</v>
      </c>
      <c r="HP54">
        <f t="shared" ref="HP54:HP70" si="990">$G122</f>
        <v>10</v>
      </c>
      <c r="HQ54">
        <f t="shared" ref="HQ54:HQ70" si="991">$G122</f>
        <v>10</v>
      </c>
      <c r="HR54">
        <f t="shared" ref="HR54:HR70" si="992">$G122</f>
        <v>10</v>
      </c>
      <c r="HS54">
        <f t="shared" ref="HS54:HS70" si="993">$G122</f>
        <v>10</v>
      </c>
      <c r="HT54">
        <f t="shared" ref="HT54:HT70" si="994">$G122</f>
        <v>10</v>
      </c>
      <c r="HU54">
        <f t="shared" ref="HU54:HU70" si="995">$G122</f>
        <v>10</v>
      </c>
      <c r="HV54">
        <f t="shared" ref="HV54:HV70" si="996">$G122</f>
        <v>10</v>
      </c>
      <c r="HW54">
        <f t="shared" ref="HW54:HW70" si="997">$G122</f>
        <v>10</v>
      </c>
      <c r="HX54">
        <f t="shared" ref="HX54:HX70" si="998">$G122</f>
        <v>10</v>
      </c>
      <c r="HY54">
        <f t="shared" ref="HY54:HY70" si="999">$G122</f>
        <v>10</v>
      </c>
      <c r="HZ54">
        <f t="shared" ref="HZ54:HZ70" si="1000">$G122</f>
        <v>10</v>
      </c>
      <c r="IA54">
        <f t="shared" ref="IA54:IA70" si="1001">$G122</f>
        <v>10</v>
      </c>
      <c r="IB54">
        <f t="shared" ref="IB54:IB70" si="1002">$G122</f>
        <v>10</v>
      </c>
      <c r="IC54">
        <f t="shared" ref="IC54:IC70" si="1003">$G122</f>
        <v>10</v>
      </c>
      <c r="ID54">
        <f t="shared" ref="ID54:ID70" si="1004">$G122</f>
        <v>10</v>
      </c>
      <c r="IE54">
        <f t="shared" ref="IE54:IE70" si="1005">$G122</f>
        <v>10</v>
      </c>
      <c r="IF54">
        <f t="shared" ref="IF54:IF70" si="1006">$G122</f>
        <v>10</v>
      </c>
      <c r="IG54">
        <f t="shared" ref="IG54:IG70" si="1007">$G122</f>
        <v>10</v>
      </c>
      <c r="IH54">
        <f t="shared" ref="IH54:IH70" si="1008">$G122</f>
        <v>10</v>
      </c>
      <c r="II54">
        <f t="shared" ref="II54:II70" si="1009">$G122</f>
        <v>10</v>
      </c>
      <c r="IJ54">
        <f t="shared" ref="IJ54:IJ70" si="1010">$G122</f>
        <v>10</v>
      </c>
      <c r="IK54">
        <f t="shared" ref="IK54:IK70" si="1011">$G122</f>
        <v>10</v>
      </c>
      <c r="IL54">
        <f t="shared" ref="IL54:IL70" si="1012">$G122</f>
        <v>10</v>
      </c>
      <c r="IM54">
        <f t="shared" ref="IM54:IM70" si="1013">$G122</f>
        <v>10</v>
      </c>
      <c r="IN54">
        <f t="shared" ref="IN54:IN70" si="1014">$G122</f>
        <v>10</v>
      </c>
      <c r="IO54">
        <f t="shared" ref="IO54:IO70" si="1015">$G122</f>
        <v>10</v>
      </c>
      <c r="IP54">
        <f t="shared" ref="IP54:IP70" si="1016">$G122</f>
        <v>10</v>
      </c>
      <c r="IQ54">
        <f t="shared" ref="IQ54:IQ70" si="1017">$G122</f>
        <v>10</v>
      </c>
      <c r="IR54">
        <f t="shared" ref="IR54:IR70" si="1018">$G122</f>
        <v>10</v>
      </c>
      <c r="IS54">
        <f t="shared" ref="IS54:IS70" si="1019">$G122</f>
        <v>10</v>
      </c>
      <c r="IT54">
        <f t="shared" ref="IT54:IT70" si="1020">$G122</f>
        <v>10</v>
      </c>
      <c r="IU54">
        <f t="shared" ref="IU54:IU70" si="1021">$G122</f>
        <v>10</v>
      </c>
      <c r="IV54">
        <f t="shared" ref="IV54:IV70" si="1022">$G122</f>
        <v>10</v>
      </c>
    </row>
    <row r="55" spans="1:256" x14ac:dyDescent="0.2">
      <c r="A55" t="s">
        <v>526</v>
      </c>
      <c r="B55">
        <f t="shared" si="768"/>
        <v>10</v>
      </c>
      <c r="C55">
        <f t="shared" si="769"/>
        <v>10</v>
      </c>
      <c r="D55">
        <f t="shared" si="770"/>
        <v>10</v>
      </c>
      <c r="E55">
        <f t="shared" si="771"/>
        <v>10</v>
      </c>
      <c r="F55">
        <f t="shared" si="772"/>
        <v>10</v>
      </c>
      <c r="G55">
        <f t="shared" si="773"/>
        <v>10</v>
      </c>
      <c r="H55">
        <f t="shared" si="774"/>
        <v>10</v>
      </c>
      <c r="I55">
        <f t="shared" si="775"/>
        <v>10</v>
      </c>
      <c r="J55">
        <f t="shared" si="776"/>
        <v>10</v>
      </c>
      <c r="K55">
        <f t="shared" si="777"/>
        <v>10</v>
      </c>
      <c r="L55">
        <f t="shared" si="778"/>
        <v>10</v>
      </c>
      <c r="M55">
        <f t="shared" si="779"/>
        <v>10</v>
      </c>
      <c r="N55">
        <f t="shared" si="780"/>
        <v>10</v>
      </c>
      <c r="O55">
        <f t="shared" si="781"/>
        <v>10</v>
      </c>
      <c r="P55">
        <f t="shared" si="782"/>
        <v>10</v>
      </c>
      <c r="Q55">
        <f t="shared" si="783"/>
        <v>10</v>
      </c>
      <c r="R55">
        <f t="shared" si="784"/>
        <v>10</v>
      </c>
      <c r="S55">
        <f t="shared" si="785"/>
        <v>10</v>
      </c>
      <c r="T55">
        <f t="shared" si="786"/>
        <v>10</v>
      </c>
      <c r="U55">
        <f t="shared" si="787"/>
        <v>10</v>
      </c>
      <c r="V55">
        <f t="shared" si="788"/>
        <v>10</v>
      </c>
      <c r="W55">
        <f t="shared" si="789"/>
        <v>10</v>
      </c>
      <c r="X55">
        <f t="shared" si="790"/>
        <v>10</v>
      </c>
      <c r="Y55">
        <f t="shared" si="791"/>
        <v>10</v>
      </c>
      <c r="Z55">
        <f t="shared" si="792"/>
        <v>10</v>
      </c>
      <c r="AA55">
        <f t="shared" si="793"/>
        <v>10</v>
      </c>
      <c r="AB55">
        <f t="shared" si="794"/>
        <v>10</v>
      </c>
      <c r="AC55">
        <f t="shared" si="795"/>
        <v>10</v>
      </c>
      <c r="AD55">
        <f t="shared" si="796"/>
        <v>10</v>
      </c>
      <c r="AE55">
        <f t="shared" si="797"/>
        <v>10</v>
      </c>
      <c r="AF55">
        <f t="shared" si="798"/>
        <v>10</v>
      </c>
      <c r="AG55">
        <f t="shared" si="799"/>
        <v>10</v>
      </c>
      <c r="AH55">
        <f t="shared" si="800"/>
        <v>10</v>
      </c>
      <c r="AI55">
        <f t="shared" si="801"/>
        <v>10</v>
      </c>
      <c r="AJ55">
        <f t="shared" si="802"/>
        <v>10</v>
      </c>
      <c r="AK55">
        <f t="shared" si="803"/>
        <v>10</v>
      </c>
      <c r="AL55">
        <f t="shared" si="804"/>
        <v>10</v>
      </c>
      <c r="AM55">
        <f t="shared" si="805"/>
        <v>10</v>
      </c>
      <c r="AN55">
        <f t="shared" si="806"/>
        <v>10</v>
      </c>
      <c r="AO55">
        <f t="shared" si="807"/>
        <v>10</v>
      </c>
      <c r="AP55">
        <f t="shared" si="808"/>
        <v>10</v>
      </c>
      <c r="AQ55">
        <f t="shared" si="809"/>
        <v>10</v>
      </c>
      <c r="AR55">
        <f t="shared" si="810"/>
        <v>10</v>
      </c>
      <c r="AS55">
        <f t="shared" si="811"/>
        <v>10</v>
      </c>
      <c r="AT55">
        <f t="shared" si="812"/>
        <v>10</v>
      </c>
      <c r="AU55">
        <f t="shared" si="813"/>
        <v>10</v>
      </c>
      <c r="AV55">
        <f t="shared" si="814"/>
        <v>10</v>
      </c>
      <c r="AW55">
        <f t="shared" si="815"/>
        <v>10</v>
      </c>
      <c r="AX55">
        <f t="shared" si="816"/>
        <v>10</v>
      </c>
      <c r="AY55">
        <f t="shared" si="817"/>
        <v>10</v>
      </c>
      <c r="AZ55">
        <f t="shared" si="818"/>
        <v>10</v>
      </c>
      <c r="BA55">
        <f t="shared" si="819"/>
        <v>10</v>
      </c>
      <c r="BB55">
        <f t="shared" si="820"/>
        <v>10</v>
      </c>
      <c r="BC55">
        <f t="shared" si="821"/>
        <v>10</v>
      </c>
      <c r="BD55">
        <f t="shared" si="822"/>
        <v>10</v>
      </c>
      <c r="BE55">
        <f t="shared" si="823"/>
        <v>10</v>
      </c>
      <c r="BF55">
        <f t="shared" si="824"/>
        <v>10</v>
      </c>
      <c r="BG55">
        <f t="shared" si="825"/>
        <v>10</v>
      </c>
      <c r="BH55">
        <f t="shared" si="826"/>
        <v>10</v>
      </c>
      <c r="BI55">
        <f t="shared" si="827"/>
        <v>10</v>
      </c>
      <c r="BJ55">
        <f t="shared" si="828"/>
        <v>10</v>
      </c>
      <c r="BK55">
        <f t="shared" si="829"/>
        <v>10</v>
      </c>
      <c r="BL55">
        <f t="shared" si="830"/>
        <v>10</v>
      </c>
      <c r="BM55">
        <f t="shared" si="831"/>
        <v>10</v>
      </c>
      <c r="BN55">
        <f t="shared" si="832"/>
        <v>10</v>
      </c>
      <c r="BO55">
        <f t="shared" si="833"/>
        <v>10</v>
      </c>
      <c r="BP55">
        <f t="shared" si="834"/>
        <v>10</v>
      </c>
      <c r="BQ55">
        <f t="shared" si="835"/>
        <v>10</v>
      </c>
      <c r="BR55">
        <f t="shared" si="836"/>
        <v>10</v>
      </c>
      <c r="BS55">
        <f t="shared" si="837"/>
        <v>10</v>
      </c>
      <c r="BT55">
        <f t="shared" si="838"/>
        <v>10</v>
      </c>
      <c r="BU55">
        <f t="shared" si="839"/>
        <v>10</v>
      </c>
      <c r="BV55">
        <f t="shared" si="840"/>
        <v>10</v>
      </c>
      <c r="BW55">
        <f t="shared" si="841"/>
        <v>10</v>
      </c>
      <c r="BX55">
        <f t="shared" si="842"/>
        <v>10</v>
      </c>
      <c r="BY55">
        <f t="shared" si="843"/>
        <v>10</v>
      </c>
      <c r="BZ55">
        <f t="shared" si="844"/>
        <v>10</v>
      </c>
      <c r="CA55">
        <f t="shared" si="845"/>
        <v>10</v>
      </c>
      <c r="CB55">
        <f t="shared" si="846"/>
        <v>10</v>
      </c>
      <c r="CC55">
        <f t="shared" si="847"/>
        <v>10</v>
      </c>
      <c r="CD55">
        <f t="shared" si="848"/>
        <v>10</v>
      </c>
      <c r="CE55">
        <f t="shared" si="849"/>
        <v>10</v>
      </c>
      <c r="CF55">
        <f t="shared" si="850"/>
        <v>10</v>
      </c>
      <c r="CG55">
        <f t="shared" si="851"/>
        <v>10</v>
      </c>
      <c r="CH55">
        <f t="shared" si="852"/>
        <v>10</v>
      </c>
      <c r="CI55">
        <f t="shared" si="853"/>
        <v>10</v>
      </c>
      <c r="CJ55">
        <f t="shared" si="854"/>
        <v>10</v>
      </c>
      <c r="CK55">
        <f t="shared" si="855"/>
        <v>10</v>
      </c>
      <c r="CL55">
        <f t="shared" si="856"/>
        <v>10</v>
      </c>
      <c r="CM55">
        <f t="shared" si="857"/>
        <v>10</v>
      </c>
      <c r="CN55">
        <f t="shared" si="858"/>
        <v>10</v>
      </c>
      <c r="CO55">
        <f t="shared" si="859"/>
        <v>10</v>
      </c>
      <c r="CP55">
        <f t="shared" si="860"/>
        <v>10</v>
      </c>
      <c r="CQ55">
        <f t="shared" si="861"/>
        <v>10</v>
      </c>
      <c r="CR55">
        <f t="shared" si="862"/>
        <v>10</v>
      </c>
      <c r="CS55">
        <f t="shared" si="863"/>
        <v>10</v>
      </c>
      <c r="CT55">
        <f t="shared" si="864"/>
        <v>10</v>
      </c>
      <c r="CU55">
        <f t="shared" si="865"/>
        <v>10</v>
      </c>
      <c r="CV55">
        <f t="shared" si="866"/>
        <v>10</v>
      </c>
      <c r="CW55">
        <f t="shared" si="867"/>
        <v>10</v>
      </c>
      <c r="CX55">
        <f t="shared" si="868"/>
        <v>10</v>
      </c>
      <c r="CY55">
        <f t="shared" si="869"/>
        <v>10</v>
      </c>
      <c r="CZ55">
        <f t="shared" si="870"/>
        <v>10</v>
      </c>
      <c r="DA55">
        <f t="shared" si="871"/>
        <v>10</v>
      </c>
      <c r="DB55">
        <f t="shared" si="872"/>
        <v>10</v>
      </c>
      <c r="DC55">
        <f t="shared" si="873"/>
        <v>10</v>
      </c>
      <c r="DD55">
        <f t="shared" si="874"/>
        <v>10</v>
      </c>
      <c r="DE55">
        <f t="shared" si="875"/>
        <v>10</v>
      </c>
      <c r="DF55">
        <f t="shared" si="876"/>
        <v>10</v>
      </c>
      <c r="DG55">
        <f t="shared" si="877"/>
        <v>10</v>
      </c>
      <c r="DH55">
        <f t="shared" si="878"/>
        <v>10</v>
      </c>
      <c r="DI55">
        <f t="shared" si="879"/>
        <v>10</v>
      </c>
      <c r="DJ55">
        <f t="shared" si="880"/>
        <v>10</v>
      </c>
      <c r="DK55">
        <f t="shared" si="881"/>
        <v>10</v>
      </c>
      <c r="DL55">
        <f t="shared" si="882"/>
        <v>10</v>
      </c>
      <c r="DM55">
        <f t="shared" si="883"/>
        <v>10</v>
      </c>
      <c r="DN55">
        <f t="shared" si="884"/>
        <v>10</v>
      </c>
      <c r="DO55">
        <f t="shared" si="885"/>
        <v>10</v>
      </c>
      <c r="DP55">
        <f t="shared" si="886"/>
        <v>10</v>
      </c>
      <c r="DQ55">
        <f t="shared" si="887"/>
        <v>10</v>
      </c>
      <c r="DR55">
        <f t="shared" si="888"/>
        <v>10</v>
      </c>
      <c r="DS55">
        <f t="shared" si="889"/>
        <v>10</v>
      </c>
      <c r="DT55">
        <f t="shared" si="890"/>
        <v>10</v>
      </c>
      <c r="DU55">
        <f t="shared" si="891"/>
        <v>10</v>
      </c>
      <c r="DV55">
        <f t="shared" si="892"/>
        <v>10</v>
      </c>
      <c r="DW55">
        <f t="shared" si="893"/>
        <v>10</v>
      </c>
      <c r="DX55">
        <f t="shared" si="894"/>
        <v>10</v>
      </c>
      <c r="DY55">
        <f t="shared" si="895"/>
        <v>10</v>
      </c>
      <c r="DZ55">
        <f t="shared" si="896"/>
        <v>10</v>
      </c>
      <c r="EA55">
        <f t="shared" si="897"/>
        <v>10</v>
      </c>
      <c r="EB55">
        <f t="shared" si="898"/>
        <v>10</v>
      </c>
      <c r="EC55">
        <f t="shared" si="899"/>
        <v>10</v>
      </c>
      <c r="ED55">
        <f t="shared" si="900"/>
        <v>10</v>
      </c>
      <c r="EE55">
        <f t="shared" si="901"/>
        <v>10</v>
      </c>
      <c r="EF55">
        <f t="shared" si="902"/>
        <v>10</v>
      </c>
      <c r="EG55">
        <f t="shared" si="903"/>
        <v>10</v>
      </c>
      <c r="EH55">
        <f t="shared" si="904"/>
        <v>10</v>
      </c>
      <c r="EI55">
        <f t="shared" si="905"/>
        <v>10</v>
      </c>
      <c r="EJ55">
        <f t="shared" si="906"/>
        <v>10</v>
      </c>
      <c r="EK55">
        <f t="shared" si="907"/>
        <v>10</v>
      </c>
      <c r="EL55">
        <f t="shared" si="908"/>
        <v>10</v>
      </c>
      <c r="EM55">
        <f t="shared" si="909"/>
        <v>10</v>
      </c>
      <c r="EN55">
        <f t="shared" si="910"/>
        <v>10</v>
      </c>
      <c r="EO55">
        <f t="shared" si="911"/>
        <v>10</v>
      </c>
      <c r="EP55">
        <f t="shared" si="912"/>
        <v>10</v>
      </c>
      <c r="EQ55">
        <f t="shared" si="913"/>
        <v>10</v>
      </c>
      <c r="ER55">
        <f t="shared" si="914"/>
        <v>10</v>
      </c>
      <c r="ES55">
        <f t="shared" si="915"/>
        <v>10</v>
      </c>
      <c r="ET55">
        <f t="shared" si="916"/>
        <v>10</v>
      </c>
      <c r="EU55">
        <f t="shared" si="917"/>
        <v>10</v>
      </c>
      <c r="EV55">
        <f t="shared" si="918"/>
        <v>10</v>
      </c>
      <c r="EW55">
        <f t="shared" si="919"/>
        <v>10</v>
      </c>
      <c r="EX55">
        <f t="shared" si="920"/>
        <v>10</v>
      </c>
      <c r="EY55">
        <f t="shared" si="921"/>
        <v>10</v>
      </c>
      <c r="EZ55">
        <f t="shared" si="922"/>
        <v>10</v>
      </c>
      <c r="FA55">
        <f t="shared" si="923"/>
        <v>10</v>
      </c>
      <c r="FB55">
        <f t="shared" si="924"/>
        <v>10</v>
      </c>
      <c r="FC55">
        <f t="shared" si="925"/>
        <v>10</v>
      </c>
      <c r="FD55">
        <f t="shared" si="926"/>
        <v>10</v>
      </c>
      <c r="FE55">
        <f t="shared" si="927"/>
        <v>10</v>
      </c>
      <c r="FF55">
        <f t="shared" si="928"/>
        <v>10</v>
      </c>
      <c r="FG55">
        <f t="shared" si="929"/>
        <v>10</v>
      </c>
      <c r="FH55">
        <f t="shared" si="930"/>
        <v>10</v>
      </c>
      <c r="FI55">
        <f t="shared" si="931"/>
        <v>10</v>
      </c>
      <c r="FJ55">
        <f t="shared" si="932"/>
        <v>10</v>
      </c>
      <c r="FK55">
        <f t="shared" si="933"/>
        <v>10</v>
      </c>
      <c r="FL55">
        <f t="shared" si="934"/>
        <v>10</v>
      </c>
      <c r="FM55">
        <f t="shared" si="935"/>
        <v>10</v>
      </c>
      <c r="FN55">
        <f t="shared" si="936"/>
        <v>10</v>
      </c>
      <c r="FO55">
        <f t="shared" si="937"/>
        <v>10</v>
      </c>
      <c r="FP55">
        <f t="shared" si="938"/>
        <v>10</v>
      </c>
      <c r="FQ55">
        <f t="shared" si="939"/>
        <v>10</v>
      </c>
      <c r="FR55">
        <f t="shared" si="940"/>
        <v>10</v>
      </c>
      <c r="FS55">
        <f t="shared" si="941"/>
        <v>10</v>
      </c>
      <c r="FT55">
        <f t="shared" si="942"/>
        <v>10</v>
      </c>
      <c r="FU55">
        <f t="shared" si="943"/>
        <v>10</v>
      </c>
      <c r="FV55">
        <f t="shared" si="944"/>
        <v>10</v>
      </c>
      <c r="FW55">
        <f t="shared" si="945"/>
        <v>10</v>
      </c>
      <c r="FX55">
        <f t="shared" si="946"/>
        <v>10</v>
      </c>
      <c r="FY55">
        <f t="shared" si="947"/>
        <v>10</v>
      </c>
      <c r="FZ55">
        <f t="shared" si="948"/>
        <v>10</v>
      </c>
      <c r="GA55">
        <f t="shared" si="949"/>
        <v>10</v>
      </c>
      <c r="GB55">
        <f t="shared" si="950"/>
        <v>10</v>
      </c>
      <c r="GC55">
        <f t="shared" si="951"/>
        <v>10</v>
      </c>
      <c r="GD55">
        <f t="shared" si="952"/>
        <v>10</v>
      </c>
      <c r="GE55">
        <f t="shared" si="953"/>
        <v>10</v>
      </c>
      <c r="GF55">
        <f t="shared" si="954"/>
        <v>10</v>
      </c>
      <c r="GG55">
        <f t="shared" si="955"/>
        <v>10</v>
      </c>
      <c r="GH55">
        <f t="shared" si="956"/>
        <v>10</v>
      </c>
      <c r="GI55">
        <f t="shared" si="957"/>
        <v>10</v>
      </c>
      <c r="GJ55">
        <f t="shared" si="958"/>
        <v>10</v>
      </c>
      <c r="GK55">
        <f t="shared" si="959"/>
        <v>10</v>
      </c>
      <c r="GL55">
        <f t="shared" si="960"/>
        <v>10</v>
      </c>
      <c r="GM55">
        <f t="shared" si="961"/>
        <v>10</v>
      </c>
      <c r="GN55">
        <f t="shared" si="962"/>
        <v>10</v>
      </c>
      <c r="GO55">
        <f t="shared" si="963"/>
        <v>10</v>
      </c>
      <c r="GP55">
        <f t="shared" si="964"/>
        <v>10</v>
      </c>
      <c r="GQ55">
        <f t="shared" si="965"/>
        <v>10</v>
      </c>
      <c r="GR55">
        <f t="shared" si="966"/>
        <v>10</v>
      </c>
      <c r="GS55">
        <f t="shared" si="967"/>
        <v>10</v>
      </c>
      <c r="GT55">
        <f t="shared" si="968"/>
        <v>10</v>
      </c>
      <c r="GU55">
        <f t="shared" si="969"/>
        <v>10</v>
      </c>
      <c r="GV55">
        <f t="shared" si="970"/>
        <v>10</v>
      </c>
      <c r="GW55">
        <f t="shared" si="971"/>
        <v>10</v>
      </c>
      <c r="GX55">
        <f t="shared" si="972"/>
        <v>10</v>
      </c>
      <c r="GY55">
        <f t="shared" si="973"/>
        <v>10</v>
      </c>
      <c r="GZ55">
        <f t="shared" si="974"/>
        <v>10</v>
      </c>
      <c r="HA55">
        <f t="shared" si="975"/>
        <v>10</v>
      </c>
      <c r="HB55">
        <f t="shared" si="976"/>
        <v>10</v>
      </c>
      <c r="HC55">
        <f t="shared" si="977"/>
        <v>10</v>
      </c>
      <c r="HD55">
        <f t="shared" si="978"/>
        <v>10</v>
      </c>
      <c r="HE55">
        <f t="shared" si="979"/>
        <v>10</v>
      </c>
      <c r="HF55">
        <f t="shared" si="980"/>
        <v>10</v>
      </c>
      <c r="HG55">
        <f t="shared" si="981"/>
        <v>10</v>
      </c>
      <c r="HH55">
        <f t="shared" si="982"/>
        <v>10</v>
      </c>
      <c r="HI55">
        <f t="shared" si="983"/>
        <v>10</v>
      </c>
      <c r="HJ55">
        <f t="shared" si="984"/>
        <v>10</v>
      </c>
      <c r="HK55">
        <f t="shared" si="985"/>
        <v>10</v>
      </c>
      <c r="HL55">
        <f t="shared" si="986"/>
        <v>10</v>
      </c>
      <c r="HM55">
        <f t="shared" si="987"/>
        <v>10</v>
      </c>
      <c r="HN55">
        <f t="shared" si="988"/>
        <v>10</v>
      </c>
      <c r="HO55">
        <f t="shared" si="989"/>
        <v>10</v>
      </c>
      <c r="HP55">
        <f t="shared" si="990"/>
        <v>10</v>
      </c>
      <c r="HQ55">
        <f t="shared" si="991"/>
        <v>10</v>
      </c>
      <c r="HR55">
        <f t="shared" si="992"/>
        <v>10</v>
      </c>
      <c r="HS55">
        <f t="shared" si="993"/>
        <v>10</v>
      </c>
      <c r="HT55">
        <f t="shared" si="994"/>
        <v>10</v>
      </c>
      <c r="HU55">
        <f t="shared" si="995"/>
        <v>10</v>
      </c>
      <c r="HV55">
        <f t="shared" si="996"/>
        <v>10</v>
      </c>
      <c r="HW55">
        <f t="shared" si="997"/>
        <v>10</v>
      </c>
      <c r="HX55">
        <f t="shared" si="998"/>
        <v>10</v>
      </c>
      <c r="HY55">
        <f t="shared" si="999"/>
        <v>10</v>
      </c>
      <c r="HZ55">
        <f t="shared" si="1000"/>
        <v>10</v>
      </c>
      <c r="IA55">
        <f t="shared" si="1001"/>
        <v>10</v>
      </c>
      <c r="IB55">
        <f t="shared" si="1002"/>
        <v>10</v>
      </c>
      <c r="IC55">
        <f t="shared" si="1003"/>
        <v>10</v>
      </c>
      <c r="ID55">
        <f t="shared" si="1004"/>
        <v>10</v>
      </c>
      <c r="IE55">
        <f t="shared" si="1005"/>
        <v>10</v>
      </c>
      <c r="IF55">
        <f t="shared" si="1006"/>
        <v>10</v>
      </c>
      <c r="IG55">
        <f t="shared" si="1007"/>
        <v>10</v>
      </c>
      <c r="IH55">
        <f t="shared" si="1008"/>
        <v>10</v>
      </c>
      <c r="II55">
        <f t="shared" si="1009"/>
        <v>10</v>
      </c>
      <c r="IJ55">
        <f t="shared" si="1010"/>
        <v>10</v>
      </c>
      <c r="IK55">
        <f t="shared" si="1011"/>
        <v>10</v>
      </c>
      <c r="IL55">
        <f t="shared" si="1012"/>
        <v>10</v>
      </c>
      <c r="IM55">
        <f t="shared" si="1013"/>
        <v>10</v>
      </c>
      <c r="IN55">
        <f t="shared" si="1014"/>
        <v>10</v>
      </c>
      <c r="IO55">
        <f t="shared" si="1015"/>
        <v>10</v>
      </c>
      <c r="IP55">
        <f t="shared" si="1016"/>
        <v>10</v>
      </c>
      <c r="IQ55">
        <f t="shared" si="1017"/>
        <v>10</v>
      </c>
      <c r="IR55">
        <f t="shared" si="1018"/>
        <v>10</v>
      </c>
      <c r="IS55">
        <f t="shared" si="1019"/>
        <v>10</v>
      </c>
      <c r="IT55">
        <f t="shared" si="1020"/>
        <v>10</v>
      </c>
      <c r="IU55">
        <f t="shared" si="1021"/>
        <v>10</v>
      </c>
      <c r="IV55">
        <f t="shared" si="1022"/>
        <v>10</v>
      </c>
    </row>
    <row r="56" spans="1:256" x14ac:dyDescent="0.2">
      <c r="A56" t="s">
        <v>527</v>
      </c>
      <c r="B56">
        <f t="shared" si="768"/>
        <v>10</v>
      </c>
      <c r="C56">
        <f t="shared" si="769"/>
        <v>10</v>
      </c>
      <c r="D56">
        <f t="shared" si="770"/>
        <v>10</v>
      </c>
      <c r="E56">
        <f t="shared" si="771"/>
        <v>10</v>
      </c>
      <c r="F56">
        <f t="shared" si="772"/>
        <v>10</v>
      </c>
      <c r="G56">
        <f t="shared" si="773"/>
        <v>10</v>
      </c>
      <c r="H56">
        <f t="shared" si="774"/>
        <v>10</v>
      </c>
      <c r="I56">
        <f t="shared" si="775"/>
        <v>10</v>
      </c>
      <c r="J56">
        <f t="shared" si="776"/>
        <v>10</v>
      </c>
      <c r="K56">
        <f t="shared" si="777"/>
        <v>10</v>
      </c>
      <c r="L56">
        <f t="shared" si="778"/>
        <v>10</v>
      </c>
      <c r="M56">
        <f t="shared" si="779"/>
        <v>10</v>
      </c>
      <c r="N56">
        <f t="shared" si="780"/>
        <v>10</v>
      </c>
      <c r="O56">
        <f t="shared" si="781"/>
        <v>10</v>
      </c>
      <c r="P56">
        <f t="shared" si="782"/>
        <v>10</v>
      </c>
      <c r="Q56">
        <f t="shared" si="783"/>
        <v>10</v>
      </c>
      <c r="R56">
        <f t="shared" si="784"/>
        <v>10</v>
      </c>
      <c r="S56">
        <f t="shared" si="785"/>
        <v>10</v>
      </c>
      <c r="T56">
        <f t="shared" si="786"/>
        <v>10</v>
      </c>
      <c r="U56">
        <f t="shared" si="787"/>
        <v>10</v>
      </c>
      <c r="V56">
        <f t="shared" si="788"/>
        <v>10</v>
      </c>
      <c r="W56">
        <f t="shared" si="789"/>
        <v>10</v>
      </c>
      <c r="X56">
        <f t="shared" si="790"/>
        <v>10</v>
      </c>
      <c r="Y56">
        <f t="shared" si="791"/>
        <v>10</v>
      </c>
      <c r="Z56">
        <f t="shared" si="792"/>
        <v>10</v>
      </c>
      <c r="AA56">
        <f t="shared" si="793"/>
        <v>10</v>
      </c>
      <c r="AB56">
        <f t="shared" si="794"/>
        <v>10</v>
      </c>
      <c r="AC56">
        <f t="shared" si="795"/>
        <v>10</v>
      </c>
      <c r="AD56">
        <f t="shared" si="796"/>
        <v>10</v>
      </c>
      <c r="AE56">
        <f t="shared" si="797"/>
        <v>10</v>
      </c>
      <c r="AF56">
        <f t="shared" si="798"/>
        <v>10</v>
      </c>
      <c r="AG56">
        <f t="shared" si="799"/>
        <v>10</v>
      </c>
      <c r="AH56">
        <f t="shared" si="800"/>
        <v>10</v>
      </c>
      <c r="AI56">
        <f t="shared" si="801"/>
        <v>10</v>
      </c>
      <c r="AJ56">
        <f t="shared" si="802"/>
        <v>10</v>
      </c>
      <c r="AK56">
        <f t="shared" si="803"/>
        <v>10</v>
      </c>
      <c r="AL56">
        <f t="shared" si="804"/>
        <v>10</v>
      </c>
      <c r="AM56">
        <f t="shared" si="805"/>
        <v>10</v>
      </c>
      <c r="AN56">
        <f t="shared" si="806"/>
        <v>10</v>
      </c>
      <c r="AO56">
        <f t="shared" si="807"/>
        <v>10</v>
      </c>
      <c r="AP56">
        <f t="shared" si="808"/>
        <v>10</v>
      </c>
      <c r="AQ56">
        <f t="shared" si="809"/>
        <v>10</v>
      </c>
      <c r="AR56">
        <f t="shared" si="810"/>
        <v>10</v>
      </c>
      <c r="AS56">
        <f t="shared" si="811"/>
        <v>10</v>
      </c>
      <c r="AT56">
        <f t="shared" si="812"/>
        <v>10</v>
      </c>
      <c r="AU56">
        <f t="shared" si="813"/>
        <v>10</v>
      </c>
      <c r="AV56">
        <f t="shared" si="814"/>
        <v>10</v>
      </c>
      <c r="AW56">
        <f t="shared" si="815"/>
        <v>10</v>
      </c>
      <c r="AX56">
        <f t="shared" si="816"/>
        <v>10</v>
      </c>
      <c r="AY56">
        <f t="shared" si="817"/>
        <v>10</v>
      </c>
      <c r="AZ56">
        <f t="shared" si="818"/>
        <v>10</v>
      </c>
      <c r="BA56">
        <f t="shared" si="819"/>
        <v>10</v>
      </c>
      <c r="BB56">
        <f t="shared" si="820"/>
        <v>10</v>
      </c>
      <c r="BC56">
        <f t="shared" si="821"/>
        <v>10</v>
      </c>
      <c r="BD56">
        <f t="shared" si="822"/>
        <v>10</v>
      </c>
      <c r="BE56">
        <f t="shared" si="823"/>
        <v>10</v>
      </c>
      <c r="BF56">
        <f t="shared" si="824"/>
        <v>10</v>
      </c>
      <c r="BG56">
        <f t="shared" si="825"/>
        <v>10</v>
      </c>
      <c r="BH56">
        <f t="shared" si="826"/>
        <v>10</v>
      </c>
      <c r="BI56">
        <f t="shared" si="827"/>
        <v>10</v>
      </c>
      <c r="BJ56">
        <f t="shared" si="828"/>
        <v>10</v>
      </c>
      <c r="BK56">
        <f t="shared" si="829"/>
        <v>10</v>
      </c>
      <c r="BL56">
        <f t="shared" si="830"/>
        <v>10</v>
      </c>
      <c r="BM56">
        <f t="shared" si="831"/>
        <v>10</v>
      </c>
      <c r="BN56">
        <f t="shared" si="832"/>
        <v>10</v>
      </c>
      <c r="BO56">
        <f t="shared" si="833"/>
        <v>10</v>
      </c>
      <c r="BP56">
        <f t="shared" si="834"/>
        <v>10</v>
      </c>
      <c r="BQ56">
        <f t="shared" si="835"/>
        <v>10</v>
      </c>
      <c r="BR56">
        <f t="shared" si="836"/>
        <v>10</v>
      </c>
      <c r="BS56">
        <f t="shared" si="837"/>
        <v>10</v>
      </c>
      <c r="BT56">
        <f t="shared" si="838"/>
        <v>10</v>
      </c>
      <c r="BU56">
        <f t="shared" si="839"/>
        <v>10</v>
      </c>
      <c r="BV56">
        <f t="shared" si="840"/>
        <v>10</v>
      </c>
      <c r="BW56">
        <f t="shared" si="841"/>
        <v>10</v>
      </c>
      <c r="BX56">
        <f t="shared" si="842"/>
        <v>10</v>
      </c>
      <c r="BY56">
        <f t="shared" si="843"/>
        <v>10</v>
      </c>
      <c r="BZ56">
        <f t="shared" si="844"/>
        <v>10</v>
      </c>
      <c r="CA56">
        <f t="shared" si="845"/>
        <v>10</v>
      </c>
      <c r="CB56">
        <f t="shared" si="846"/>
        <v>10</v>
      </c>
      <c r="CC56">
        <f t="shared" si="847"/>
        <v>10</v>
      </c>
      <c r="CD56">
        <f t="shared" si="848"/>
        <v>10</v>
      </c>
      <c r="CE56">
        <f t="shared" si="849"/>
        <v>10</v>
      </c>
      <c r="CF56">
        <f t="shared" si="850"/>
        <v>10</v>
      </c>
      <c r="CG56">
        <f t="shared" si="851"/>
        <v>10</v>
      </c>
      <c r="CH56">
        <f t="shared" si="852"/>
        <v>10</v>
      </c>
      <c r="CI56">
        <f t="shared" si="853"/>
        <v>10</v>
      </c>
      <c r="CJ56">
        <f t="shared" si="854"/>
        <v>10</v>
      </c>
      <c r="CK56">
        <f t="shared" si="855"/>
        <v>10</v>
      </c>
      <c r="CL56">
        <f t="shared" si="856"/>
        <v>10</v>
      </c>
      <c r="CM56">
        <f t="shared" si="857"/>
        <v>10</v>
      </c>
      <c r="CN56">
        <f t="shared" si="858"/>
        <v>10</v>
      </c>
      <c r="CO56">
        <f t="shared" si="859"/>
        <v>10</v>
      </c>
      <c r="CP56">
        <f t="shared" si="860"/>
        <v>10</v>
      </c>
      <c r="CQ56">
        <f t="shared" si="861"/>
        <v>10</v>
      </c>
      <c r="CR56">
        <f t="shared" si="862"/>
        <v>10</v>
      </c>
      <c r="CS56">
        <f t="shared" si="863"/>
        <v>10</v>
      </c>
      <c r="CT56">
        <f t="shared" si="864"/>
        <v>10</v>
      </c>
      <c r="CU56">
        <f t="shared" si="865"/>
        <v>10</v>
      </c>
      <c r="CV56">
        <f t="shared" si="866"/>
        <v>10</v>
      </c>
      <c r="CW56">
        <f t="shared" si="867"/>
        <v>10</v>
      </c>
      <c r="CX56">
        <f t="shared" si="868"/>
        <v>10</v>
      </c>
      <c r="CY56">
        <f t="shared" si="869"/>
        <v>10</v>
      </c>
      <c r="CZ56">
        <f t="shared" si="870"/>
        <v>10</v>
      </c>
      <c r="DA56">
        <f t="shared" si="871"/>
        <v>10</v>
      </c>
      <c r="DB56">
        <f t="shared" si="872"/>
        <v>10</v>
      </c>
      <c r="DC56">
        <f t="shared" si="873"/>
        <v>10</v>
      </c>
      <c r="DD56">
        <f t="shared" si="874"/>
        <v>10</v>
      </c>
      <c r="DE56">
        <f t="shared" si="875"/>
        <v>10</v>
      </c>
      <c r="DF56">
        <f t="shared" si="876"/>
        <v>10</v>
      </c>
      <c r="DG56">
        <f t="shared" si="877"/>
        <v>10</v>
      </c>
      <c r="DH56">
        <f t="shared" si="878"/>
        <v>10</v>
      </c>
      <c r="DI56">
        <f t="shared" si="879"/>
        <v>10</v>
      </c>
      <c r="DJ56">
        <f t="shared" si="880"/>
        <v>10</v>
      </c>
      <c r="DK56">
        <f t="shared" si="881"/>
        <v>10</v>
      </c>
      <c r="DL56">
        <f t="shared" si="882"/>
        <v>10</v>
      </c>
      <c r="DM56">
        <f t="shared" si="883"/>
        <v>10</v>
      </c>
      <c r="DN56">
        <f t="shared" si="884"/>
        <v>10</v>
      </c>
      <c r="DO56">
        <f t="shared" si="885"/>
        <v>10</v>
      </c>
      <c r="DP56">
        <f t="shared" si="886"/>
        <v>10</v>
      </c>
      <c r="DQ56">
        <f t="shared" si="887"/>
        <v>10</v>
      </c>
      <c r="DR56">
        <f t="shared" si="888"/>
        <v>10</v>
      </c>
      <c r="DS56">
        <f t="shared" si="889"/>
        <v>10</v>
      </c>
      <c r="DT56">
        <f t="shared" si="890"/>
        <v>10</v>
      </c>
      <c r="DU56">
        <f t="shared" si="891"/>
        <v>10</v>
      </c>
      <c r="DV56">
        <f t="shared" si="892"/>
        <v>10</v>
      </c>
      <c r="DW56">
        <f t="shared" si="893"/>
        <v>10</v>
      </c>
      <c r="DX56">
        <f t="shared" si="894"/>
        <v>10</v>
      </c>
      <c r="DY56">
        <f t="shared" si="895"/>
        <v>10</v>
      </c>
      <c r="DZ56">
        <f t="shared" si="896"/>
        <v>10</v>
      </c>
      <c r="EA56">
        <f t="shared" si="897"/>
        <v>10</v>
      </c>
      <c r="EB56">
        <f t="shared" si="898"/>
        <v>10</v>
      </c>
      <c r="EC56">
        <f t="shared" si="899"/>
        <v>10</v>
      </c>
      <c r="ED56">
        <f t="shared" si="900"/>
        <v>10</v>
      </c>
      <c r="EE56">
        <f t="shared" si="901"/>
        <v>10</v>
      </c>
      <c r="EF56">
        <f t="shared" si="902"/>
        <v>10</v>
      </c>
      <c r="EG56">
        <f t="shared" si="903"/>
        <v>10</v>
      </c>
      <c r="EH56">
        <f t="shared" si="904"/>
        <v>10</v>
      </c>
      <c r="EI56">
        <f t="shared" si="905"/>
        <v>10</v>
      </c>
      <c r="EJ56">
        <f t="shared" si="906"/>
        <v>10</v>
      </c>
      <c r="EK56">
        <f t="shared" si="907"/>
        <v>10</v>
      </c>
      <c r="EL56">
        <f t="shared" si="908"/>
        <v>10</v>
      </c>
      <c r="EM56">
        <f t="shared" si="909"/>
        <v>10</v>
      </c>
      <c r="EN56">
        <f t="shared" si="910"/>
        <v>10</v>
      </c>
      <c r="EO56">
        <f t="shared" si="911"/>
        <v>10</v>
      </c>
      <c r="EP56">
        <f t="shared" si="912"/>
        <v>10</v>
      </c>
      <c r="EQ56">
        <f t="shared" si="913"/>
        <v>10</v>
      </c>
      <c r="ER56">
        <f t="shared" si="914"/>
        <v>10</v>
      </c>
      <c r="ES56">
        <f t="shared" si="915"/>
        <v>10</v>
      </c>
      <c r="ET56">
        <f t="shared" si="916"/>
        <v>10</v>
      </c>
      <c r="EU56">
        <f t="shared" si="917"/>
        <v>10</v>
      </c>
      <c r="EV56">
        <f t="shared" si="918"/>
        <v>10</v>
      </c>
      <c r="EW56">
        <f t="shared" si="919"/>
        <v>10</v>
      </c>
      <c r="EX56">
        <f t="shared" si="920"/>
        <v>10</v>
      </c>
      <c r="EY56">
        <f t="shared" si="921"/>
        <v>10</v>
      </c>
      <c r="EZ56">
        <f t="shared" si="922"/>
        <v>10</v>
      </c>
      <c r="FA56">
        <f t="shared" si="923"/>
        <v>10</v>
      </c>
      <c r="FB56">
        <f t="shared" si="924"/>
        <v>10</v>
      </c>
      <c r="FC56">
        <f t="shared" si="925"/>
        <v>10</v>
      </c>
      <c r="FD56">
        <f t="shared" si="926"/>
        <v>10</v>
      </c>
      <c r="FE56">
        <f t="shared" si="927"/>
        <v>10</v>
      </c>
      <c r="FF56">
        <f t="shared" si="928"/>
        <v>10</v>
      </c>
      <c r="FG56">
        <f t="shared" si="929"/>
        <v>10</v>
      </c>
      <c r="FH56">
        <f t="shared" si="930"/>
        <v>10</v>
      </c>
      <c r="FI56">
        <f t="shared" si="931"/>
        <v>10</v>
      </c>
      <c r="FJ56">
        <f t="shared" si="932"/>
        <v>10</v>
      </c>
      <c r="FK56">
        <f t="shared" si="933"/>
        <v>10</v>
      </c>
      <c r="FL56">
        <f t="shared" si="934"/>
        <v>10</v>
      </c>
      <c r="FM56">
        <f t="shared" si="935"/>
        <v>10</v>
      </c>
      <c r="FN56">
        <f t="shared" si="936"/>
        <v>10</v>
      </c>
      <c r="FO56">
        <f t="shared" si="937"/>
        <v>10</v>
      </c>
      <c r="FP56">
        <f t="shared" si="938"/>
        <v>10</v>
      </c>
      <c r="FQ56">
        <f t="shared" si="939"/>
        <v>10</v>
      </c>
      <c r="FR56">
        <f t="shared" si="940"/>
        <v>10</v>
      </c>
      <c r="FS56">
        <f t="shared" si="941"/>
        <v>10</v>
      </c>
      <c r="FT56">
        <f t="shared" si="942"/>
        <v>10</v>
      </c>
      <c r="FU56">
        <f t="shared" si="943"/>
        <v>10</v>
      </c>
      <c r="FV56">
        <f t="shared" si="944"/>
        <v>10</v>
      </c>
      <c r="FW56">
        <f t="shared" si="945"/>
        <v>10</v>
      </c>
      <c r="FX56">
        <f t="shared" si="946"/>
        <v>10</v>
      </c>
      <c r="FY56">
        <f t="shared" si="947"/>
        <v>10</v>
      </c>
      <c r="FZ56">
        <f t="shared" si="948"/>
        <v>10</v>
      </c>
      <c r="GA56">
        <f t="shared" si="949"/>
        <v>10</v>
      </c>
      <c r="GB56">
        <f t="shared" si="950"/>
        <v>10</v>
      </c>
      <c r="GC56">
        <f t="shared" si="951"/>
        <v>10</v>
      </c>
      <c r="GD56">
        <f t="shared" si="952"/>
        <v>10</v>
      </c>
      <c r="GE56">
        <f t="shared" si="953"/>
        <v>10</v>
      </c>
      <c r="GF56">
        <f t="shared" si="954"/>
        <v>10</v>
      </c>
      <c r="GG56">
        <f t="shared" si="955"/>
        <v>10</v>
      </c>
      <c r="GH56">
        <f t="shared" si="956"/>
        <v>10</v>
      </c>
      <c r="GI56">
        <f t="shared" si="957"/>
        <v>10</v>
      </c>
      <c r="GJ56">
        <f t="shared" si="958"/>
        <v>10</v>
      </c>
      <c r="GK56">
        <f t="shared" si="959"/>
        <v>10</v>
      </c>
      <c r="GL56">
        <f t="shared" si="960"/>
        <v>10</v>
      </c>
      <c r="GM56">
        <f t="shared" si="961"/>
        <v>10</v>
      </c>
      <c r="GN56">
        <f t="shared" si="962"/>
        <v>10</v>
      </c>
      <c r="GO56">
        <f t="shared" si="963"/>
        <v>10</v>
      </c>
      <c r="GP56">
        <f t="shared" si="964"/>
        <v>10</v>
      </c>
      <c r="GQ56">
        <f t="shared" si="965"/>
        <v>10</v>
      </c>
      <c r="GR56">
        <f t="shared" si="966"/>
        <v>10</v>
      </c>
      <c r="GS56">
        <f t="shared" si="967"/>
        <v>10</v>
      </c>
      <c r="GT56">
        <f t="shared" si="968"/>
        <v>10</v>
      </c>
      <c r="GU56">
        <f t="shared" si="969"/>
        <v>10</v>
      </c>
      <c r="GV56">
        <f t="shared" si="970"/>
        <v>10</v>
      </c>
      <c r="GW56">
        <f t="shared" si="971"/>
        <v>10</v>
      </c>
      <c r="GX56">
        <f t="shared" si="972"/>
        <v>10</v>
      </c>
      <c r="GY56">
        <f t="shared" si="973"/>
        <v>10</v>
      </c>
      <c r="GZ56">
        <f t="shared" si="974"/>
        <v>10</v>
      </c>
      <c r="HA56">
        <f t="shared" si="975"/>
        <v>10</v>
      </c>
      <c r="HB56">
        <f t="shared" si="976"/>
        <v>10</v>
      </c>
      <c r="HC56">
        <f t="shared" si="977"/>
        <v>10</v>
      </c>
      <c r="HD56">
        <f t="shared" si="978"/>
        <v>10</v>
      </c>
      <c r="HE56">
        <f t="shared" si="979"/>
        <v>10</v>
      </c>
      <c r="HF56">
        <f t="shared" si="980"/>
        <v>10</v>
      </c>
      <c r="HG56">
        <f t="shared" si="981"/>
        <v>10</v>
      </c>
      <c r="HH56">
        <f t="shared" si="982"/>
        <v>10</v>
      </c>
      <c r="HI56">
        <f t="shared" si="983"/>
        <v>10</v>
      </c>
      <c r="HJ56">
        <f t="shared" si="984"/>
        <v>10</v>
      </c>
      <c r="HK56">
        <f t="shared" si="985"/>
        <v>10</v>
      </c>
      <c r="HL56">
        <f t="shared" si="986"/>
        <v>10</v>
      </c>
      <c r="HM56">
        <f t="shared" si="987"/>
        <v>10</v>
      </c>
      <c r="HN56">
        <f t="shared" si="988"/>
        <v>10</v>
      </c>
      <c r="HO56">
        <f t="shared" si="989"/>
        <v>10</v>
      </c>
      <c r="HP56">
        <f t="shared" si="990"/>
        <v>10</v>
      </c>
      <c r="HQ56">
        <f t="shared" si="991"/>
        <v>10</v>
      </c>
      <c r="HR56">
        <f t="shared" si="992"/>
        <v>10</v>
      </c>
      <c r="HS56">
        <f t="shared" si="993"/>
        <v>10</v>
      </c>
      <c r="HT56">
        <f t="shared" si="994"/>
        <v>10</v>
      </c>
      <c r="HU56">
        <f t="shared" si="995"/>
        <v>10</v>
      </c>
      <c r="HV56">
        <f t="shared" si="996"/>
        <v>10</v>
      </c>
      <c r="HW56">
        <f t="shared" si="997"/>
        <v>10</v>
      </c>
      <c r="HX56">
        <f t="shared" si="998"/>
        <v>10</v>
      </c>
      <c r="HY56">
        <f t="shared" si="999"/>
        <v>10</v>
      </c>
      <c r="HZ56">
        <f t="shared" si="1000"/>
        <v>10</v>
      </c>
      <c r="IA56">
        <f t="shared" si="1001"/>
        <v>10</v>
      </c>
      <c r="IB56">
        <f t="shared" si="1002"/>
        <v>10</v>
      </c>
      <c r="IC56">
        <f t="shared" si="1003"/>
        <v>10</v>
      </c>
      <c r="ID56">
        <f t="shared" si="1004"/>
        <v>10</v>
      </c>
      <c r="IE56">
        <f t="shared" si="1005"/>
        <v>10</v>
      </c>
      <c r="IF56">
        <f t="shared" si="1006"/>
        <v>10</v>
      </c>
      <c r="IG56">
        <f t="shared" si="1007"/>
        <v>10</v>
      </c>
      <c r="IH56">
        <f t="shared" si="1008"/>
        <v>10</v>
      </c>
      <c r="II56">
        <f t="shared" si="1009"/>
        <v>10</v>
      </c>
      <c r="IJ56">
        <f t="shared" si="1010"/>
        <v>10</v>
      </c>
      <c r="IK56">
        <f t="shared" si="1011"/>
        <v>10</v>
      </c>
      <c r="IL56">
        <f t="shared" si="1012"/>
        <v>10</v>
      </c>
      <c r="IM56">
        <f t="shared" si="1013"/>
        <v>10</v>
      </c>
      <c r="IN56">
        <f t="shared" si="1014"/>
        <v>10</v>
      </c>
      <c r="IO56">
        <f t="shared" si="1015"/>
        <v>10</v>
      </c>
      <c r="IP56">
        <f t="shared" si="1016"/>
        <v>10</v>
      </c>
      <c r="IQ56">
        <f t="shared" si="1017"/>
        <v>10</v>
      </c>
      <c r="IR56">
        <f t="shared" si="1018"/>
        <v>10</v>
      </c>
      <c r="IS56">
        <f t="shared" si="1019"/>
        <v>10</v>
      </c>
      <c r="IT56">
        <f t="shared" si="1020"/>
        <v>10</v>
      </c>
      <c r="IU56">
        <f t="shared" si="1021"/>
        <v>10</v>
      </c>
      <c r="IV56">
        <f t="shared" si="1022"/>
        <v>10</v>
      </c>
    </row>
    <row r="57" spans="1:256" x14ac:dyDescent="0.2">
      <c r="A57" t="s">
        <v>528</v>
      </c>
      <c r="B57">
        <f t="shared" si="768"/>
        <v>10</v>
      </c>
      <c r="C57">
        <f t="shared" si="769"/>
        <v>10</v>
      </c>
      <c r="D57">
        <f t="shared" si="770"/>
        <v>10</v>
      </c>
      <c r="E57">
        <f t="shared" si="771"/>
        <v>10</v>
      </c>
      <c r="F57">
        <f t="shared" si="772"/>
        <v>10</v>
      </c>
      <c r="G57">
        <f t="shared" si="773"/>
        <v>10</v>
      </c>
      <c r="H57">
        <f t="shared" si="774"/>
        <v>10</v>
      </c>
      <c r="I57">
        <f t="shared" si="775"/>
        <v>10</v>
      </c>
      <c r="J57">
        <f t="shared" si="776"/>
        <v>10</v>
      </c>
      <c r="K57">
        <f t="shared" si="777"/>
        <v>10</v>
      </c>
      <c r="L57">
        <f t="shared" si="778"/>
        <v>10</v>
      </c>
      <c r="M57">
        <f t="shared" si="779"/>
        <v>10</v>
      </c>
      <c r="N57">
        <f t="shared" si="780"/>
        <v>10</v>
      </c>
      <c r="O57">
        <f t="shared" si="781"/>
        <v>10</v>
      </c>
      <c r="P57">
        <f t="shared" si="782"/>
        <v>10</v>
      </c>
      <c r="Q57">
        <f t="shared" si="783"/>
        <v>10</v>
      </c>
      <c r="R57">
        <f t="shared" si="784"/>
        <v>10</v>
      </c>
      <c r="S57">
        <f t="shared" si="785"/>
        <v>10</v>
      </c>
      <c r="T57">
        <f t="shared" si="786"/>
        <v>10</v>
      </c>
      <c r="U57">
        <f t="shared" si="787"/>
        <v>10</v>
      </c>
      <c r="V57">
        <f t="shared" si="788"/>
        <v>10</v>
      </c>
      <c r="W57">
        <f t="shared" si="789"/>
        <v>10</v>
      </c>
      <c r="X57">
        <f t="shared" si="790"/>
        <v>10</v>
      </c>
      <c r="Y57">
        <f t="shared" si="791"/>
        <v>10</v>
      </c>
      <c r="Z57">
        <f t="shared" si="792"/>
        <v>10</v>
      </c>
      <c r="AA57">
        <f t="shared" si="793"/>
        <v>10</v>
      </c>
      <c r="AB57">
        <f t="shared" si="794"/>
        <v>10</v>
      </c>
      <c r="AC57">
        <f t="shared" si="795"/>
        <v>10</v>
      </c>
      <c r="AD57">
        <f t="shared" si="796"/>
        <v>10</v>
      </c>
      <c r="AE57">
        <f t="shared" si="797"/>
        <v>10</v>
      </c>
      <c r="AF57">
        <f t="shared" si="798"/>
        <v>10</v>
      </c>
      <c r="AG57">
        <f t="shared" si="799"/>
        <v>10</v>
      </c>
      <c r="AH57">
        <f t="shared" si="800"/>
        <v>10</v>
      </c>
      <c r="AI57">
        <f t="shared" si="801"/>
        <v>10</v>
      </c>
      <c r="AJ57">
        <f t="shared" si="802"/>
        <v>10</v>
      </c>
      <c r="AK57">
        <f t="shared" si="803"/>
        <v>10</v>
      </c>
      <c r="AL57">
        <f t="shared" si="804"/>
        <v>10</v>
      </c>
      <c r="AM57">
        <f t="shared" si="805"/>
        <v>10</v>
      </c>
      <c r="AN57">
        <f t="shared" si="806"/>
        <v>10</v>
      </c>
      <c r="AO57">
        <f t="shared" si="807"/>
        <v>10</v>
      </c>
      <c r="AP57">
        <f t="shared" si="808"/>
        <v>10</v>
      </c>
      <c r="AQ57">
        <f t="shared" si="809"/>
        <v>10</v>
      </c>
      <c r="AR57">
        <f t="shared" si="810"/>
        <v>10</v>
      </c>
      <c r="AS57">
        <f t="shared" si="811"/>
        <v>10</v>
      </c>
      <c r="AT57">
        <f t="shared" si="812"/>
        <v>10</v>
      </c>
      <c r="AU57">
        <f t="shared" si="813"/>
        <v>10</v>
      </c>
      <c r="AV57">
        <f t="shared" si="814"/>
        <v>10</v>
      </c>
      <c r="AW57">
        <f t="shared" si="815"/>
        <v>10</v>
      </c>
      <c r="AX57">
        <f t="shared" si="816"/>
        <v>10</v>
      </c>
      <c r="AY57">
        <f t="shared" si="817"/>
        <v>10</v>
      </c>
      <c r="AZ57">
        <f t="shared" si="818"/>
        <v>10</v>
      </c>
      <c r="BA57">
        <f t="shared" si="819"/>
        <v>10</v>
      </c>
      <c r="BB57">
        <f t="shared" si="820"/>
        <v>10</v>
      </c>
      <c r="BC57">
        <f t="shared" si="821"/>
        <v>10</v>
      </c>
      <c r="BD57">
        <f t="shared" si="822"/>
        <v>10</v>
      </c>
      <c r="BE57">
        <f t="shared" si="823"/>
        <v>10</v>
      </c>
      <c r="BF57">
        <f t="shared" si="824"/>
        <v>10</v>
      </c>
      <c r="BG57">
        <f t="shared" si="825"/>
        <v>10</v>
      </c>
      <c r="BH57">
        <f t="shared" si="826"/>
        <v>10</v>
      </c>
      <c r="BI57">
        <f t="shared" si="827"/>
        <v>10</v>
      </c>
      <c r="BJ57">
        <f t="shared" si="828"/>
        <v>10</v>
      </c>
      <c r="BK57">
        <f t="shared" si="829"/>
        <v>10</v>
      </c>
      <c r="BL57">
        <f t="shared" si="830"/>
        <v>10</v>
      </c>
      <c r="BM57">
        <f t="shared" si="831"/>
        <v>10</v>
      </c>
      <c r="BN57">
        <f t="shared" si="832"/>
        <v>10</v>
      </c>
      <c r="BO57">
        <f t="shared" si="833"/>
        <v>10</v>
      </c>
      <c r="BP57">
        <f t="shared" si="834"/>
        <v>10</v>
      </c>
      <c r="BQ57">
        <f t="shared" si="835"/>
        <v>10</v>
      </c>
      <c r="BR57">
        <f t="shared" si="836"/>
        <v>10</v>
      </c>
      <c r="BS57">
        <f t="shared" si="837"/>
        <v>10</v>
      </c>
      <c r="BT57">
        <f t="shared" si="838"/>
        <v>10</v>
      </c>
      <c r="BU57">
        <f t="shared" si="839"/>
        <v>10</v>
      </c>
      <c r="BV57">
        <f t="shared" si="840"/>
        <v>10</v>
      </c>
      <c r="BW57">
        <f t="shared" si="841"/>
        <v>10</v>
      </c>
      <c r="BX57">
        <f t="shared" si="842"/>
        <v>10</v>
      </c>
      <c r="BY57">
        <f t="shared" si="843"/>
        <v>10</v>
      </c>
      <c r="BZ57">
        <f t="shared" si="844"/>
        <v>10</v>
      </c>
      <c r="CA57">
        <f t="shared" si="845"/>
        <v>10</v>
      </c>
      <c r="CB57">
        <f t="shared" si="846"/>
        <v>10</v>
      </c>
      <c r="CC57">
        <f t="shared" si="847"/>
        <v>10</v>
      </c>
      <c r="CD57">
        <f t="shared" si="848"/>
        <v>10</v>
      </c>
      <c r="CE57">
        <f t="shared" si="849"/>
        <v>10</v>
      </c>
      <c r="CF57">
        <f t="shared" si="850"/>
        <v>10</v>
      </c>
      <c r="CG57">
        <f t="shared" si="851"/>
        <v>10</v>
      </c>
      <c r="CH57">
        <f t="shared" si="852"/>
        <v>10</v>
      </c>
      <c r="CI57">
        <f t="shared" si="853"/>
        <v>10</v>
      </c>
      <c r="CJ57">
        <f t="shared" si="854"/>
        <v>10</v>
      </c>
      <c r="CK57">
        <f t="shared" si="855"/>
        <v>10</v>
      </c>
      <c r="CL57">
        <f t="shared" si="856"/>
        <v>10</v>
      </c>
      <c r="CM57">
        <f t="shared" si="857"/>
        <v>10</v>
      </c>
      <c r="CN57">
        <f t="shared" si="858"/>
        <v>10</v>
      </c>
      <c r="CO57">
        <f t="shared" si="859"/>
        <v>10</v>
      </c>
      <c r="CP57">
        <f t="shared" si="860"/>
        <v>10</v>
      </c>
      <c r="CQ57">
        <f t="shared" si="861"/>
        <v>10</v>
      </c>
      <c r="CR57">
        <f t="shared" si="862"/>
        <v>10</v>
      </c>
      <c r="CS57">
        <f t="shared" si="863"/>
        <v>10</v>
      </c>
      <c r="CT57">
        <f t="shared" si="864"/>
        <v>10</v>
      </c>
      <c r="CU57">
        <f t="shared" si="865"/>
        <v>10</v>
      </c>
      <c r="CV57">
        <f t="shared" si="866"/>
        <v>10</v>
      </c>
      <c r="CW57">
        <f t="shared" si="867"/>
        <v>10</v>
      </c>
      <c r="CX57">
        <f t="shared" si="868"/>
        <v>10</v>
      </c>
      <c r="CY57">
        <f t="shared" si="869"/>
        <v>10</v>
      </c>
      <c r="CZ57">
        <f t="shared" si="870"/>
        <v>10</v>
      </c>
      <c r="DA57">
        <f t="shared" si="871"/>
        <v>10</v>
      </c>
      <c r="DB57">
        <f t="shared" si="872"/>
        <v>10</v>
      </c>
      <c r="DC57">
        <f t="shared" si="873"/>
        <v>10</v>
      </c>
      <c r="DD57">
        <f t="shared" si="874"/>
        <v>10</v>
      </c>
      <c r="DE57">
        <f t="shared" si="875"/>
        <v>10</v>
      </c>
      <c r="DF57">
        <f t="shared" si="876"/>
        <v>10</v>
      </c>
      <c r="DG57">
        <f t="shared" si="877"/>
        <v>10</v>
      </c>
      <c r="DH57">
        <f t="shared" si="878"/>
        <v>10</v>
      </c>
      <c r="DI57">
        <f t="shared" si="879"/>
        <v>10</v>
      </c>
      <c r="DJ57">
        <f t="shared" si="880"/>
        <v>10</v>
      </c>
      <c r="DK57">
        <f t="shared" si="881"/>
        <v>10</v>
      </c>
      <c r="DL57">
        <f t="shared" si="882"/>
        <v>10</v>
      </c>
      <c r="DM57">
        <f t="shared" si="883"/>
        <v>10</v>
      </c>
      <c r="DN57">
        <f t="shared" si="884"/>
        <v>10</v>
      </c>
      <c r="DO57">
        <f t="shared" si="885"/>
        <v>10</v>
      </c>
      <c r="DP57">
        <f t="shared" si="886"/>
        <v>10</v>
      </c>
      <c r="DQ57">
        <f t="shared" si="887"/>
        <v>10</v>
      </c>
      <c r="DR57">
        <f t="shared" si="888"/>
        <v>10</v>
      </c>
      <c r="DS57">
        <f t="shared" si="889"/>
        <v>10</v>
      </c>
      <c r="DT57">
        <f t="shared" si="890"/>
        <v>10</v>
      </c>
      <c r="DU57">
        <f t="shared" si="891"/>
        <v>10</v>
      </c>
      <c r="DV57">
        <f t="shared" si="892"/>
        <v>10</v>
      </c>
      <c r="DW57">
        <f t="shared" si="893"/>
        <v>10</v>
      </c>
      <c r="DX57">
        <f t="shared" si="894"/>
        <v>10</v>
      </c>
      <c r="DY57">
        <f t="shared" si="895"/>
        <v>10</v>
      </c>
      <c r="DZ57">
        <f t="shared" si="896"/>
        <v>10</v>
      </c>
      <c r="EA57">
        <f t="shared" si="897"/>
        <v>10</v>
      </c>
      <c r="EB57">
        <f t="shared" si="898"/>
        <v>10</v>
      </c>
      <c r="EC57">
        <f t="shared" si="899"/>
        <v>10</v>
      </c>
      <c r="ED57">
        <f t="shared" si="900"/>
        <v>10</v>
      </c>
      <c r="EE57">
        <f t="shared" si="901"/>
        <v>10</v>
      </c>
      <c r="EF57">
        <f t="shared" si="902"/>
        <v>10</v>
      </c>
      <c r="EG57">
        <f t="shared" si="903"/>
        <v>10</v>
      </c>
      <c r="EH57">
        <f t="shared" si="904"/>
        <v>10</v>
      </c>
      <c r="EI57">
        <f t="shared" si="905"/>
        <v>10</v>
      </c>
      <c r="EJ57">
        <f t="shared" si="906"/>
        <v>10</v>
      </c>
      <c r="EK57">
        <f t="shared" si="907"/>
        <v>10</v>
      </c>
      <c r="EL57">
        <f t="shared" si="908"/>
        <v>10</v>
      </c>
      <c r="EM57">
        <f t="shared" si="909"/>
        <v>10</v>
      </c>
      <c r="EN57">
        <f t="shared" si="910"/>
        <v>10</v>
      </c>
      <c r="EO57">
        <f t="shared" si="911"/>
        <v>10</v>
      </c>
      <c r="EP57">
        <f t="shared" si="912"/>
        <v>10</v>
      </c>
      <c r="EQ57">
        <f t="shared" si="913"/>
        <v>10</v>
      </c>
      <c r="ER57">
        <f t="shared" si="914"/>
        <v>10</v>
      </c>
      <c r="ES57">
        <f t="shared" si="915"/>
        <v>10</v>
      </c>
      <c r="ET57">
        <f t="shared" si="916"/>
        <v>10</v>
      </c>
      <c r="EU57">
        <f t="shared" si="917"/>
        <v>10</v>
      </c>
      <c r="EV57">
        <f t="shared" si="918"/>
        <v>10</v>
      </c>
      <c r="EW57">
        <f t="shared" si="919"/>
        <v>10</v>
      </c>
      <c r="EX57">
        <f t="shared" si="920"/>
        <v>10</v>
      </c>
      <c r="EY57">
        <f t="shared" si="921"/>
        <v>10</v>
      </c>
      <c r="EZ57">
        <f t="shared" si="922"/>
        <v>10</v>
      </c>
      <c r="FA57">
        <f t="shared" si="923"/>
        <v>10</v>
      </c>
      <c r="FB57">
        <f t="shared" si="924"/>
        <v>10</v>
      </c>
      <c r="FC57">
        <f t="shared" si="925"/>
        <v>10</v>
      </c>
      <c r="FD57">
        <f t="shared" si="926"/>
        <v>10</v>
      </c>
      <c r="FE57">
        <f t="shared" si="927"/>
        <v>10</v>
      </c>
      <c r="FF57">
        <f t="shared" si="928"/>
        <v>10</v>
      </c>
      <c r="FG57">
        <f t="shared" si="929"/>
        <v>10</v>
      </c>
      <c r="FH57">
        <f t="shared" si="930"/>
        <v>10</v>
      </c>
      <c r="FI57">
        <f t="shared" si="931"/>
        <v>10</v>
      </c>
      <c r="FJ57">
        <f t="shared" si="932"/>
        <v>10</v>
      </c>
      <c r="FK57">
        <f t="shared" si="933"/>
        <v>10</v>
      </c>
      <c r="FL57">
        <f t="shared" si="934"/>
        <v>10</v>
      </c>
      <c r="FM57">
        <f t="shared" si="935"/>
        <v>10</v>
      </c>
      <c r="FN57">
        <f t="shared" si="936"/>
        <v>10</v>
      </c>
      <c r="FO57">
        <f t="shared" si="937"/>
        <v>10</v>
      </c>
      <c r="FP57">
        <f t="shared" si="938"/>
        <v>10</v>
      </c>
      <c r="FQ57">
        <f t="shared" si="939"/>
        <v>10</v>
      </c>
      <c r="FR57">
        <f t="shared" si="940"/>
        <v>10</v>
      </c>
      <c r="FS57">
        <f t="shared" si="941"/>
        <v>10</v>
      </c>
      <c r="FT57">
        <f t="shared" si="942"/>
        <v>10</v>
      </c>
      <c r="FU57">
        <f t="shared" si="943"/>
        <v>10</v>
      </c>
      <c r="FV57">
        <f t="shared" si="944"/>
        <v>10</v>
      </c>
      <c r="FW57">
        <f t="shared" si="945"/>
        <v>10</v>
      </c>
      <c r="FX57">
        <f t="shared" si="946"/>
        <v>10</v>
      </c>
      <c r="FY57">
        <f t="shared" si="947"/>
        <v>10</v>
      </c>
      <c r="FZ57">
        <f t="shared" si="948"/>
        <v>10</v>
      </c>
      <c r="GA57">
        <f t="shared" si="949"/>
        <v>10</v>
      </c>
      <c r="GB57">
        <f t="shared" si="950"/>
        <v>10</v>
      </c>
      <c r="GC57">
        <f t="shared" si="951"/>
        <v>10</v>
      </c>
      <c r="GD57">
        <f t="shared" si="952"/>
        <v>10</v>
      </c>
      <c r="GE57">
        <f t="shared" si="953"/>
        <v>10</v>
      </c>
      <c r="GF57">
        <f t="shared" si="954"/>
        <v>10</v>
      </c>
      <c r="GG57">
        <f t="shared" si="955"/>
        <v>10</v>
      </c>
      <c r="GH57">
        <f t="shared" si="956"/>
        <v>10</v>
      </c>
      <c r="GI57">
        <f t="shared" si="957"/>
        <v>10</v>
      </c>
      <c r="GJ57">
        <f t="shared" si="958"/>
        <v>10</v>
      </c>
      <c r="GK57">
        <f t="shared" si="959"/>
        <v>10</v>
      </c>
      <c r="GL57">
        <f t="shared" si="960"/>
        <v>10</v>
      </c>
      <c r="GM57">
        <f t="shared" si="961"/>
        <v>10</v>
      </c>
      <c r="GN57">
        <f t="shared" si="962"/>
        <v>10</v>
      </c>
      <c r="GO57">
        <f t="shared" si="963"/>
        <v>10</v>
      </c>
      <c r="GP57">
        <f t="shared" si="964"/>
        <v>10</v>
      </c>
      <c r="GQ57">
        <f t="shared" si="965"/>
        <v>10</v>
      </c>
      <c r="GR57">
        <f t="shared" si="966"/>
        <v>10</v>
      </c>
      <c r="GS57">
        <f t="shared" si="967"/>
        <v>10</v>
      </c>
      <c r="GT57">
        <f t="shared" si="968"/>
        <v>10</v>
      </c>
      <c r="GU57">
        <f t="shared" si="969"/>
        <v>10</v>
      </c>
      <c r="GV57">
        <f t="shared" si="970"/>
        <v>10</v>
      </c>
      <c r="GW57">
        <f t="shared" si="971"/>
        <v>10</v>
      </c>
      <c r="GX57">
        <f t="shared" si="972"/>
        <v>10</v>
      </c>
      <c r="GY57">
        <f t="shared" si="973"/>
        <v>10</v>
      </c>
      <c r="GZ57">
        <f t="shared" si="974"/>
        <v>10</v>
      </c>
      <c r="HA57">
        <f t="shared" si="975"/>
        <v>10</v>
      </c>
      <c r="HB57">
        <f t="shared" si="976"/>
        <v>10</v>
      </c>
      <c r="HC57">
        <f t="shared" si="977"/>
        <v>10</v>
      </c>
      <c r="HD57">
        <f t="shared" si="978"/>
        <v>10</v>
      </c>
      <c r="HE57">
        <f t="shared" si="979"/>
        <v>10</v>
      </c>
      <c r="HF57">
        <f t="shared" si="980"/>
        <v>10</v>
      </c>
      <c r="HG57">
        <f t="shared" si="981"/>
        <v>10</v>
      </c>
      <c r="HH57">
        <f t="shared" si="982"/>
        <v>10</v>
      </c>
      <c r="HI57">
        <f t="shared" si="983"/>
        <v>10</v>
      </c>
      <c r="HJ57">
        <f t="shared" si="984"/>
        <v>10</v>
      </c>
      <c r="HK57">
        <f t="shared" si="985"/>
        <v>10</v>
      </c>
      <c r="HL57">
        <f t="shared" si="986"/>
        <v>10</v>
      </c>
      <c r="HM57">
        <f t="shared" si="987"/>
        <v>10</v>
      </c>
      <c r="HN57">
        <f t="shared" si="988"/>
        <v>10</v>
      </c>
      <c r="HO57">
        <f t="shared" si="989"/>
        <v>10</v>
      </c>
      <c r="HP57">
        <f t="shared" si="990"/>
        <v>10</v>
      </c>
      <c r="HQ57">
        <f t="shared" si="991"/>
        <v>10</v>
      </c>
      <c r="HR57">
        <f t="shared" si="992"/>
        <v>10</v>
      </c>
      <c r="HS57">
        <f t="shared" si="993"/>
        <v>10</v>
      </c>
      <c r="HT57">
        <f t="shared" si="994"/>
        <v>10</v>
      </c>
      <c r="HU57">
        <f t="shared" si="995"/>
        <v>10</v>
      </c>
      <c r="HV57">
        <f t="shared" si="996"/>
        <v>10</v>
      </c>
      <c r="HW57">
        <f t="shared" si="997"/>
        <v>10</v>
      </c>
      <c r="HX57">
        <f t="shared" si="998"/>
        <v>10</v>
      </c>
      <c r="HY57">
        <f t="shared" si="999"/>
        <v>10</v>
      </c>
      <c r="HZ57">
        <f t="shared" si="1000"/>
        <v>10</v>
      </c>
      <c r="IA57">
        <f t="shared" si="1001"/>
        <v>10</v>
      </c>
      <c r="IB57">
        <f t="shared" si="1002"/>
        <v>10</v>
      </c>
      <c r="IC57">
        <f t="shared" si="1003"/>
        <v>10</v>
      </c>
      <c r="ID57">
        <f t="shared" si="1004"/>
        <v>10</v>
      </c>
      <c r="IE57">
        <f t="shared" si="1005"/>
        <v>10</v>
      </c>
      <c r="IF57">
        <f t="shared" si="1006"/>
        <v>10</v>
      </c>
      <c r="IG57">
        <f t="shared" si="1007"/>
        <v>10</v>
      </c>
      <c r="IH57">
        <f t="shared" si="1008"/>
        <v>10</v>
      </c>
      <c r="II57">
        <f t="shared" si="1009"/>
        <v>10</v>
      </c>
      <c r="IJ57">
        <f t="shared" si="1010"/>
        <v>10</v>
      </c>
      <c r="IK57">
        <f t="shared" si="1011"/>
        <v>10</v>
      </c>
      <c r="IL57">
        <f t="shared" si="1012"/>
        <v>10</v>
      </c>
      <c r="IM57">
        <f t="shared" si="1013"/>
        <v>10</v>
      </c>
      <c r="IN57">
        <f t="shared" si="1014"/>
        <v>10</v>
      </c>
      <c r="IO57">
        <f t="shared" si="1015"/>
        <v>10</v>
      </c>
      <c r="IP57">
        <f t="shared" si="1016"/>
        <v>10</v>
      </c>
      <c r="IQ57">
        <f t="shared" si="1017"/>
        <v>10</v>
      </c>
      <c r="IR57">
        <f t="shared" si="1018"/>
        <v>10</v>
      </c>
      <c r="IS57">
        <f t="shared" si="1019"/>
        <v>10</v>
      </c>
      <c r="IT57">
        <f t="shared" si="1020"/>
        <v>10</v>
      </c>
      <c r="IU57">
        <f t="shared" si="1021"/>
        <v>10</v>
      </c>
      <c r="IV57">
        <f t="shared" si="1022"/>
        <v>10</v>
      </c>
    </row>
    <row r="58" spans="1:256" x14ac:dyDescent="0.2">
      <c r="A58" t="s">
        <v>529</v>
      </c>
      <c r="B58">
        <f t="shared" si="768"/>
        <v>10</v>
      </c>
      <c r="C58">
        <f t="shared" si="769"/>
        <v>10</v>
      </c>
      <c r="D58">
        <f t="shared" si="770"/>
        <v>10</v>
      </c>
      <c r="E58">
        <f t="shared" si="771"/>
        <v>10</v>
      </c>
      <c r="F58">
        <f t="shared" si="772"/>
        <v>10</v>
      </c>
      <c r="G58">
        <f t="shared" si="773"/>
        <v>10</v>
      </c>
      <c r="H58">
        <f t="shared" si="774"/>
        <v>10</v>
      </c>
      <c r="I58">
        <f t="shared" si="775"/>
        <v>10</v>
      </c>
      <c r="J58">
        <f t="shared" si="776"/>
        <v>10</v>
      </c>
      <c r="K58">
        <f t="shared" si="777"/>
        <v>10</v>
      </c>
      <c r="L58">
        <f t="shared" si="778"/>
        <v>10</v>
      </c>
      <c r="M58">
        <f t="shared" si="779"/>
        <v>10</v>
      </c>
      <c r="N58">
        <f t="shared" si="780"/>
        <v>10</v>
      </c>
      <c r="O58">
        <f t="shared" si="781"/>
        <v>10</v>
      </c>
      <c r="P58">
        <f t="shared" si="782"/>
        <v>10</v>
      </c>
      <c r="Q58">
        <f t="shared" si="783"/>
        <v>10</v>
      </c>
      <c r="R58">
        <f t="shared" si="784"/>
        <v>10</v>
      </c>
      <c r="S58">
        <f t="shared" si="785"/>
        <v>10</v>
      </c>
      <c r="T58">
        <f t="shared" si="786"/>
        <v>10</v>
      </c>
      <c r="U58">
        <f t="shared" si="787"/>
        <v>10</v>
      </c>
      <c r="V58">
        <f t="shared" si="788"/>
        <v>10</v>
      </c>
      <c r="W58">
        <f t="shared" si="789"/>
        <v>10</v>
      </c>
      <c r="X58">
        <f t="shared" si="790"/>
        <v>10</v>
      </c>
      <c r="Y58">
        <f t="shared" si="791"/>
        <v>10</v>
      </c>
      <c r="Z58">
        <f t="shared" si="792"/>
        <v>10</v>
      </c>
      <c r="AA58">
        <f t="shared" si="793"/>
        <v>10</v>
      </c>
      <c r="AB58">
        <f t="shared" si="794"/>
        <v>10</v>
      </c>
      <c r="AC58">
        <f t="shared" si="795"/>
        <v>10</v>
      </c>
      <c r="AD58">
        <f t="shared" si="796"/>
        <v>10</v>
      </c>
      <c r="AE58">
        <f t="shared" si="797"/>
        <v>10</v>
      </c>
      <c r="AF58">
        <f t="shared" si="798"/>
        <v>10</v>
      </c>
      <c r="AG58">
        <f t="shared" si="799"/>
        <v>10</v>
      </c>
      <c r="AH58">
        <f t="shared" si="800"/>
        <v>10</v>
      </c>
      <c r="AI58">
        <f t="shared" si="801"/>
        <v>10</v>
      </c>
      <c r="AJ58">
        <f t="shared" si="802"/>
        <v>10</v>
      </c>
      <c r="AK58">
        <f t="shared" si="803"/>
        <v>10</v>
      </c>
      <c r="AL58">
        <f t="shared" si="804"/>
        <v>10</v>
      </c>
      <c r="AM58">
        <f t="shared" si="805"/>
        <v>10</v>
      </c>
      <c r="AN58">
        <f t="shared" si="806"/>
        <v>10</v>
      </c>
      <c r="AO58">
        <f t="shared" si="807"/>
        <v>10</v>
      </c>
      <c r="AP58">
        <f t="shared" si="808"/>
        <v>10</v>
      </c>
      <c r="AQ58">
        <f t="shared" si="809"/>
        <v>10</v>
      </c>
      <c r="AR58">
        <f t="shared" si="810"/>
        <v>10</v>
      </c>
      <c r="AS58">
        <f t="shared" si="811"/>
        <v>10</v>
      </c>
      <c r="AT58">
        <f t="shared" si="812"/>
        <v>10</v>
      </c>
      <c r="AU58">
        <f t="shared" si="813"/>
        <v>10</v>
      </c>
      <c r="AV58">
        <f t="shared" si="814"/>
        <v>10</v>
      </c>
      <c r="AW58">
        <f t="shared" si="815"/>
        <v>10</v>
      </c>
      <c r="AX58">
        <f t="shared" si="816"/>
        <v>10</v>
      </c>
      <c r="AY58">
        <f t="shared" si="817"/>
        <v>10</v>
      </c>
      <c r="AZ58">
        <f t="shared" si="818"/>
        <v>10</v>
      </c>
      <c r="BA58">
        <f t="shared" si="819"/>
        <v>10</v>
      </c>
      <c r="BB58">
        <f t="shared" si="820"/>
        <v>10</v>
      </c>
      <c r="BC58">
        <f t="shared" si="821"/>
        <v>10</v>
      </c>
      <c r="BD58">
        <f t="shared" si="822"/>
        <v>10</v>
      </c>
      <c r="BE58">
        <f t="shared" si="823"/>
        <v>10</v>
      </c>
      <c r="BF58">
        <f t="shared" si="824"/>
        <v>10</v>
      </c>
      <c r="BG58">
        <f t="shared" si="825"/>
        <v>10</v>
      </c>
      <c r="BH58">
        <f t="shared" si="826"/>
        <v>10</v>
      </c>
      <c r="BI58">
        <f t="shared" si="827"/>
        <v>10</v>
      </c>
      <c r="BJ58">
        <f t="shared" si="828"/>
        <v>10</v>
      </c>
      <c r="BK58">
        <f t="shared" si="829"/>
        <v>10</v>
      </c>
      <c r="BL58">
        <f t="shared" si="830"/>
        <v>10</v>
      </c>
      <c r="BM58">
        <f t="shared" si="831"/>
        <v>10</v>
      </c>
      <c r="BN58">
        <f t="shared" si="832"/>
        <v>10</v>
      </c>
      <c r="BO58">
        <f t="shared" si="833"/>
        <v>10</v>
      </c>
      <c r="BP58">
        <f t="shared" si="834"/>
        <v>10</v>
      </c>
      <c r="BQ58">
        <f t="shared" si="835"/>
        <v>10</v>
      </c>
      <c r="BR58">
        <f t="shared" si="836"/>
        <v>10</v>
      </c>
      <c r="BS58">
        <f t="shared" si="837"/>
        <v>10</v>
      </c>
      <c r="BT58">
        <f t="shared" si="838"/>
        <v>10</v>
      </c>
      <c r="BU58">
        <f t="shared" si="839"/>
        <v>10</v>
      </c>
      <c r="BV58">
        <f t="shared" si="840"/>
        <v>10</v>
      </c>
      <c r="BW58">
        <f t="shared" si="841"/>
        <v>10</v>
      </c>
      <c r="BX58">
        <f t="shared" si="842"/>
        <v>10</v>
      </c>
      <c r="BY58">
        <f t="shared" si="843"/>
        <v>10</v>
      </c>
      <c r="BZ58">
        <f t="shared" si="844"/>
        <v>10</v>
      </c>
      <c r="CA58">
        <f t="shared" si="845"/>
        <v>10</v>
      </c>
      <c r="CB58">
        <f t="shared" si="846"/>
        <v>10</v>
      </c>
      <c r="CC58">
        <f t="shared" si="847"/>
        <v>10</v>
      </c>
      <c r="CD58">
        <f t="shared" si="848"/>
        <v>10</v>
      </c>
      <c r="CE58">
        <f t="shared" si="849"/>
        <v>10</v>
      </c>
      <c r="CF58">
        <f t="shared" si="850"/>
        <v>10</v>
      </c>
      <c r="CG58">
        <f t="shared" si="851"/>
        <v>10</v>
      </c>
      <c r="CH58">
        <f t="shared" si="852"/>
        <v>10</v>
      </c>
      <c r="CI58">
        <f t="shared" si="853"/>
        <v>10</v>
      </c>
      <c r="CJ58">
        <f t="shared" si="854"/>
        <v>10</v>
      </c>
      <c r="CK58">
        <f t="shared" si="855"/>
        <v>10</v>
      </c>
      <c r="CL58">
        <f t="shared" si="856"/>
        <v>10</v>
      </c>
      <c r="CM58">
        <f t="shared" si="857"/>
        <v>10</v>
      </c>
      <c r="CN58">
        <f t="shared" si="858"/>
        <v>10</v>
      </c>
      <c r="CO58">
        <f t="shared" si="859"/>
        <v>10</v>
      </c>
      <c r="CP58">
        <f t="shared" si="860"/>
        <v>10</v>
      </c>
      <c r="CQ58">
        <f t="shared" si="861"/>
        <v>10</v>
      </c>
      <c r="CR58">
        <f t="shared" si="862"/>
        <v>10</v>
      </c>
      <c r="CS58">
        <f t="shared" si="863"/>
        <v>10</v>
      </c>
      <c r="CT58">
        <f t="shared" si="864"/>
        <v>10</v>
      </c>
      <c r="CU58">
        <f t="shared" si="865"/>
        <v>10</v>
      </c>
      <c r="CV58">
        <f t="shared" si="866"/>
        <v>10</v>
      </c>
      <c r="CW58">
        <f t="shared" si="867"/>
        <v>10</v>
      </c>
      <c r="CX58">
        <f t="shared" si="868"/>
        <v>10</v>
      </c>
      <c r="CY58">
        <f t="shared" si="869"/>
        <v>10</v>
      </c>
      <c r="CZ58">
        <f t="shared" si="870"/>
        <v>10</v>
      </c>
      <c r="DA58">
        <f t="shared" si="871"/>
        <v>10</v>
      </c>
      <c r="DB58">
        <f t="shared" si="872"/>
        <v>10</v>
      </c>
      <c r="DC58">
        <f t="shared" si="873"/>
        <v>10</v>
      </c>
      <c r="DD58">
        <f t="shared" si="874"/>
        <v>10</v>
      </c>
      <c r="DE58">
        <f t="shared" si="875"/>
        <v>10</v>
      </c>
      <c r="DF58">
        <f t="shared" si="876"/>
        <v>10</v>
      </c>
      <c r="DG58">
        <f t="shared" si="877"/>
        <v>10</v>
      </c>
      <c r="DH58">
        <f t="shared" si="878"/>
        <v>10</v>
      </c>
      <c r="DI58">
        <f t="shared" si="879"/>
        <v>10</v>
      </c>
      <c r="DJ58">
        <f t="shared" si="880"/>
        <v>10</v>
      </c>
      <c r="DK58">
        <f t="shared" si="881"/>
        <v>10</v>
      </c>
      <c r="DL58">
        <f t="shared" si="882"/>
        <v>10</v>
      </c>
      <c r="DM58">
        <f t="shared" si="883"/>
        <v>10</v>
      </c>
      <c r="DN58">
        <f t="shared" si="884"/>
        <v>10</v>
      </c>
      <c r="DO58">
        <f t="shared" si="885"/>
        <v>10</v>
      </c>
      <c r="DP58">
        <f t="shared" si="886"/>
        <v>10</v>
      </c>
      <c r="DQ58">
        <f t="shared" si="887"/>
        <v>10</v>
      </c>
      <c r="DR58">
        <f t="shared" si="888"/>
        <v>10</v>
      </c>
      <c r="DS58">
        <f t="shared" si="889"/>
        <v>10</v>
      </c>
      <c r="DT58">
        <f t="shared" si="890"/>
        <v>10</v>
      </c>
      <c r="DU58">
        <f t="shared" si="891"/>
        <v>10</v>
      </c>
      <c r="DV58">
        <f t="shared" si="892"/>
        <v>10</v>
      </c>
      <c r="DW58">
        <f t="shared" si="893"/>
        <v>10</v>
      </c>
      <c r="DX58">
        <f t="shared" si="894"/>
        <v>10</v>
      </c>
      <c r="DY58">
        <f t="shared" si="895"/>
        <v>10</v>
      </c>
      <c r="DZ58">
        <f t="shared" si="896"/>
        <v>10</v>
      </c>
      <c r="EA58">
        <f t="shared" si="897"/>
        <v>10</v>
      </c>
      <c r="EB58">
        <f t="shared" si="898"/>
        <v>10</v>
      </c>
      <c r="EC58">
        <f t="shared" si="899"/>
        <v>10</v>
      </c>
      <c r="ED58">
        <f t="shared" si="900"/>
        <v>10</v>
      </c>
      <c r="EE58">
        <f t="shared" si="901"/>
        <v>10</v>
      </c>
      <c r="EF58">
        <f t="shared" si="902"/>
        <v>10</v>
      </c>
      <c r="EG58">
        <f t="shared" si="903"/>
        <v>10</v>
      </c>
      <c r="EH58">
        <f t="shared" si="904"/>
        <v>10</v>
      </c>
      <c r="EI58">
        <f t="shared" si="905"/>
        <v>10</v>
      </c>
      <c r="EJ58">
        <f t="shared" si="906"/>
        <v>10</v>
      </c>
      <c r="EK58">
        <f t="shared" si="907"/>
        <v>10</v>
      </c>
      <c r="EL58">
        <f t="shared" si="908"/>
        <v>10</v>
      </c>
      <c r="EM58">
        <f t="shared" si="909"/>
        <v>10</v>
      </c>
      <c r="EN58">
        <f t="shared" si="910"/>
        <v>10</v>
      </c>
      <c r="EO58">
        <f t="shared" si="911"/>
        <v>10</v>
      </c>
      <c r="EP58">
        <f t="shared" si="912"/>
        <v>10</v>
      </c>
      <c r="EQ58">
        <f t="shared" si="913"/>
        <v>10</v>
      </c>
      <c r="ER58">
        <f t="shared" si="914"/>
        <v>10</v>
      </c>
      <c r="ES58">
        <f t="shared" si="915"/>
        <v>10</v>
      </c>
      <c r="ET58">
        <f t="shared" si="916"/>
        <v>10</v>
      </c>
      <c r="EU58">
        <f t="shared" si="917"/>
        <v>10</v>
      </c>
      <c r="EV58">
        <f t="shared" si="918"/>
        <v>10</v>
      </c>
      <c r="EW58">
        <f t="shared" si="919"/>
        <v>10</v>
      </c>
      <c r="EX58">
        <f t="shared" si="920"/>
        <v>10</v>
      </c>
      <c r="EY58">
        <f t="shared" si="921"/>
        <v>10</v>
      </c>
      <c r="EZ58">
        <f t="shared" si="922"/>
        <v>10</v>
      </c>
      <c r="FA58">
        <f t="shared" si="923"/>
        <v>10</v>
      </c>
      <c r="FB58">
        <f t="shared" si="924"/>
        <v>10</v>
      </c>
      <c r="FC58">
        <f t="shared" si="925"/>
        <v>10</v>
      </c>
      <c r="FD58">
        <f t="shared" si="926"/>
        <v>10</v>
      </c>
      <c r="FE58">
        <f t="shared" si="927"/>
        <v>10</v>
      </c>
      <c r="FF58">
        <f t="shared" si="928"/>
        <v>10</v>
      </c>
      <c r="FG58">
        <f t="shared" si="929"/>
        <v>10</v>
      </c>
      <c r="FH58">
        <f t="shared" si="930"/>
        <v>10</v>
      </c>
      <c r="FI58">
        <f t="shared" si="931"/>
        <v>10</v>
      </c>
      <c r="FJ58">
        <f t="shared" si="932"/>
        <v>10</v>
      </c>
      <c r="FK58">
        <f t="shared" si="933"/>
        <v>10</v>
      </c>
      <c r="FL58">
        <f t="shared" si="934"/>
        <v>10</v>
      </c>
      <c r="FM58">
        <f t="shared" si="935"/>
        <v>10</v>
      </c>
      <c r="FN58">
        <f t="shared" si="936"/>
        <v>10</v>
      </c>
      <c r="FO58">
        <f t="shared" si="937"/>
        <v>10</v>
      </c>
      <c r="FP58">
        <f t="shared" si="938"/>
        <v>10</v>
      </c>
      <c r="FQ58">
        <f t="shared" si="939"/>
        <v>10</v>
      </c>
      <c r="FR58">
        <f t="shared" si="940"/>
        <v>10</v>
      </c>
      <c r="FS58">
        <f t="shared" si="941"/>
        <v>10</v>
      </c>
      <c r="FT58">
        <f t="shared" si="942"/>
        <v>10</v>
      </c>
      <c r="FU58">
        <f t="shared" si="943"/>
        <v>10</v>
      </c>
      <c r="FV58">
        <f t="shared" si="944"/>
        <v>10</v>
      </c>
      <c r="FW58">
        <f t="shared" si="945"/>
        <v>10</v>
      </c>
      <c r="FX58">
        <f t="shared" si="946"/>
        <v>10</v>
      </c>
      <c r="FY58">
        <f t="shared" si="947"/>
        <v>10</v>
      </c>
      <c r="FZ58">
        <f t="shared" si="948"/>
        <v>10</v>
      </c>
      <c r="GA58">
        <f t="shared" si="949"/>
        <v>10</v>
      </c>
      <c r="GB58">
        <f t="shared" si="950"/>
        <v>10</v>
      </c>
      <c r="GC58">
        <f t="shared" si="951"/>
        <v>10</v>
      </c>
      <c r="GD58">
        <f t="shared" si="952"/>
        <v>10</v>
      </c>
      <c r="GE58">
        <f t="shared" si="953"/>
        <v>10</v>
      </c>
      <c r="GF58">
        <f t="shared" si="954"/>
        <v>10</v>
      </c>
      <c r="GG58">
        <f t="shared" si="955"/>
        <v>10</v>
      </c>
      <c r="GH58">
        <f t="shared" si="956"/>
        <v>10</v>
      </c>
      <c r="GI58">
        <f t="shared" si="957"/>
        <v>10</v>
      </c>
      <c r="GJ58">
        <f t="shared" si="958"/>
        <v>10</v>
      </c>
      <c r="GK58">
        <f t="shared" si="959"/>
        <v>10</v>
      </c>
      <c r="GL58">
        <f t="shared" si="960"/>
        <v>10</v>
      </c>
      <c r="GM58">
        <f t="shared" si="961"/>
        <v>10</v>
      </c>
      <c r="GN58">
        <f t="shared" si="962"/>
        <v>10</v>
      </c>
      <c r="GO58">
        <f t="shared" si="963"/>
        <v>10</v>
      </c>
      <c r="GP58">
        <f t="shared" si="964"/>
        <v>10</v>
      </c>
      <c r="GQ58">
        <f t="shared" si="965"/>
        <v>10</v>
      </c>
      <c r="GR58">
        <f t="shared" si="966"/>
        <v>10</v>
      </c>
      <c r="GS58">
        <f t="shared" si="967"/>
        <v>10</v>
      </c>
      <c r="GT58">
        <f t="shared" si="968"/>
        <v>10</v>
      </c>
      <c r="GU58">
        <f t="shared" si="969"/>
        <v>10</v>
      </c>
      <c r="GV58">
        <f t="shared" si="970"/>
        <v>10</v>
      </c>
      <c r="GW58">
        <f t="shared" si="971"/>
        <v>10</v>
      </c>
      <c r="GX58">
        <f t="shared" si="972"/>
        <v>10</v>
      </c>
      <c r="GY58">
        <f t="shared" si="973"/>
        <v>10</v>
      </c>
      <c r="GZ58">
        <f t="shared" si="974"/>
        <v>10</v>
      </c>
      <c r="HA58">
        <f t="shared" si="975"/>
        <v>10</v>
      </c>
      <c r="HB58">
        <f t="shared" si="976"/>
        <v>10</v>
      </c>
      <c r="HC58">
        <f t="shared" si="977"/>
        <v>10</v>
      </c>
      <c r="HD58">
        <f t="shared" si="978"/>
        <v>10</v>
      </c>
      <c r="HE58">
        <f t="shared" si="979"/>
        <v>10</v>
      </c>
      <c r="HF58">
        <f t="shared" si="980"/>
        <v>10</v>
      </c>
      <c r="HG58">
        <f t="shared" si="981"/>
        <v>10</v>
      </c>
      <c r="HH58">
        <f t="shared" si="982"/>
        <v>10</v>
      </c>
      <c r="HI58">
        <f t="shared" si="983"/>
        <v>10</v>
      </c>
      <c r="HJ58">
        <f t="shared" si="984"/>
        <v>10</v>
      </c>
      <c r="HK58">
        <f t="shared" si="985"/>
        <v>10</v>
      </c>
      <c r="HL58">
        <f t="shared" si="986"/>
        <v>10</v>
      </c>
      <c r="HM58">
        <f t="shared" si="987"/>
        <v>10</v>
      </c>
      <c r="HN58">
        <f t="shared" si="988"/>
        <v>10</v>
      </c>
      <c r="HO58">
        <f t="shared" si="989"/>
        <v>10</v>
      </c>
      <c r="HP58">
        <f t="shared" si="990"/>
        <v>10</v>
      </c>
      <c r="HQ58">
        <f t="shared" si="991"/>
        <v>10</v>
      </c>
      <c r="HR58">
        <f t="shared" si="992"/>
        <v>10</v>
      </c>
      <c r="HS58">
        <f t="shared" si="993"/>
        <v>10</v>
      </c>
      <c r="HT58">
        <f t="shared" si="994"/>
        <v>10</v>
      </c>
      <c r="HU58">
        <f t="shared" si="995"/>
        <v>10</v>
      </c>
      <c r="HV58">
        <f t="shared" si="996"/>
        <v>10</v>
      </c>
      <c r="HW58">
        <f t="shared" si="997"/>
        <v>10</v>
      </c>
      <c r="HX58">
        <f t="shared" si="998"/>
        <v>10</v>
      </c>
      <c r="HY58">
        <f t="shared" si="999"/>
        <v>10</v>
      </c>
      <c r="HZ58">
        <f t="shared" si="1000"/>
        <v>10</v>
      </c>
      <c r="IA58">
        <f t="shared" si="1001"/>
        <v>10</v>
      </c>
      <c r="IB58">
        <f t="shared" si="1002"/>
        <v>10</v>
      </c>
      <c r="IC58">
        <f t="shared" si="1003"/>
        <v>10</v>
      </c>
      <c r="ID58">
        <f t="shared" si="1004"/>
        <v>10</v>
      </c>
      <c r="IE58">
        <f t="shared" si="1005"/>
        <v>10</v>
      </c>
      <c r="IF58">
        <f t="shared" si="1006"/>
        <v>10</v>
      </c>
      <c r="IG58">
        <f t="shared" si="1007"/>
        <v>10</v>
      </c>
      <c r="IH58">
        <f t="shared" si="1008"/>
        <v>10</v>
      </c>
      <c r="II58">
        <f t="shared" si="1009"/>
        <v>10</v>
      </c>
      <c r="IJ58">
        <f t="shared" si="1010"/>
        <v>10</v>
      </c>
      <c r="IK58">
        <f t="shared" si="1011"/>
        <v>10</v>
      </c>
      <c r="IL58">
        <f t="shared" si="1012"/>
        <v>10</v>
      </c>
      <c r="IM58">
        <f t="shared" si="1013"/>
        <v>10</v>
      </c>
      <c r="IN58">
        <f t="shared" si="1014"/>
        <v>10</v>
      </c>
      <c r="IO58">
        <f t="shared" si="1015"/>
        <v>10</v>
      </c>
      <c r="IP58">
        <f t="shared" si="1016"/>
        <v>10</v>
      </c>
      <c r="IQ58">
        <f t="shared" si="1017"/>
        <v>10</v>
      </c>
      <c r="IR58">
        <f t="shared" si="1018"/>
        <v>10</v>
      </c>
      <c r="IS58">
        <f t="shared" si="1019"/>
        <v>10</v>
      </c>
      <c r="IT58">
        <f t="shared" si="1020"/>
        <v>10</v>
      </c>
      <c r="IU58">
        <f t="shared" si="1021"/>
        <v>10</v>
      </c>
      <c r="IV58">
        <f t="shared" si="1022"/>
        <v>10</v>
      </c>
    </row>
    <row r="59" spans="1:256" x14ac:dyDescent="0.2">
      <c r="A59" t="s">
        <v>530</v>
      </c>
      <c r="B59">
        <f t="shared" si="768"/>
        <v>10</v>
      </c>
      <c r="C59">
        <f t="shared" si="769"/>
        <v>10</v>
      </c>
      <c r="D59">
        <f t="shared" si="770"/>
        <v>10</v>
      </c>
      <c r="E59">
        <f t="shared" si="771"/>
        <v>10</v>
      </c>
      <c r="F59">
        <f t="shared" si="772"/>
        <v>10</v>
      </c>
      <c r="G59">
        <f t="shared" si="773"/>
        <v>10</v>
      </c>
      <c r="H59">
        <f t="shared" si="774"/>
        <v>10</v>
      </c>
      <c r="I59">
        <f t="shared" si="775"/>
        <v>10</v>
      </c>
      <c r="J59">
        <f t="shared" si="776"/>
        <v>10</v>
      </c>
      <c r="K59">
        <f t="shared" si="777"/>
        <v>10</v>
      </c>
      <c r="L59">
        <f t="shared" si="778"/>
        <v>10</v>
      </c>
      <c r="M59">
        <f t="shared" si="779"/>
        <v>10</v>
      </c>
      <c r="N59">
        <f t="shared" si="780"/>
        <v>10</v>
      </c>
      <c r="O59">
        <f t="shared" si="781"/>
        <v>10</v>
      </c>
      <c r="P59">
        <f t="shared" si="782"/>
        <v>10</v>
      </c>
      <c r="Q59">
        <f t="shared" si="783"/>
        <v>10</v>
      </c>
      <c r="R59">
        <f t="shared" si="784"/>
        <v>10</v>
      </c>
      <c r="S59">
        <f t="shared" si="785"/>
        <v>10</v>
      </c>
      <c r="T59">
        <f t="shared" si="786"/>
        <v>10</v>
      </c>
      <c r="U59">
        <f t="shared" si="787"/>
        <v>10</v>
      </c>
      <c r="V59">
        <f t="shared" si="788"/>
        <v>10</v>
      </c>
      <c r="W59">
        <f t="shared" si="789"/>
        <v>10</v>
      </c>
      <c r="X59">
        <f t="shared" si="790"/>
        <v>10</v>
      </c>
      <c r="Y59">
        <f t="shared" si="791"/>
        <v>10</v>
      </c>
      <c r="Z59">
        <f t="shared" si="792"/>
        <v>10</v>
      </c>
      <c r="AA59">
        <f t="shared" si="793"/>
        <v>10</v>
      </c>
      <c r="AB59">
        <f t="shared" si="794"/>
        <v>10</v>
      </c>
      <c r="AC59">
        <f t="shared" si="795"/>
        <v>10</v>
      </c>
      <c r="AD59">
        <f t="shared" si="796"/>
        <v>10</v>
      </c>
      <c r="AE59">
        <f t="shared" si="797"/>
        <v>10</v>
      </c>
      <c r="AF59">
        <f t="shared" si="798"/>
        <v>10</v>
      </c>
      <c r="AG59">
        <f t="shared" si="799"/>
        <v>10</v>
      </c>
      <c r="AH59">
        <f t="shared" si="800"/>
        <v>10</v>
      </c>
      <c r="AI59">
        <f t="shared" si="801"/>
        <v>10</v>
      </c>
      <c r="AJ59">
        <f t="shared" si="802"/>
        <v>10</v>
      </c>
      <c r="AK59">
        <f t="shared" si="803"/>
        <v>10</v>
      </c>
      <c r="AL59">
        <f t="shared" si="804"/>
        <v>10</v>
      </c>
      <c r="AM59">
        <f t="shared" si="805"/>
        <v>10</v>
      </c>
      <c r="AN59">
        <f t="shared" si="806"/>
        <v>10</v>
      </c>
      <c r="AO59">
        <f t="shared" si="807"/>
        <v>10</v>
      </c>
      <c r="AP59">
        <f t="shared" si="808"/>
        <v>10</v>
      </c>
      <c r="AQ59">
        <f t="shared" si="809"/>
        <v>10</v>
      </c>
      <c r="AR59">
        <f t="shared" si="810"/>
        <v>10</v>
      </c>
      <c r="AS59">
        <f t="shared" si="811"/>
        <v>10</v>
      </c>
      <c r="AT59">
        <f t="shared" si="812"/>
        <v>10</v>
      </c>
      <c r="AU59">
        <f t="shared" si="813"/>
        <v>10</v>
      </c>
      <c r="AV59">
        <f t="shared" si="814"/>
        <v>10</v>
      </c>
      <c r="AW59">
        <f t="shared" si="815"/>
        <v>10</v>
      </c>
      <c r="AX59">
        <f t="shared" si="816"/>
        <v>10</v>
      </c>
      <c r="AY59">
        <f t="shared" si="817"/>
        <v>10</v>
      </c>
      <c r="AZ59">
        <f t="shared" si="818"/>
        <v>10</v>
      </c>
      <c r="BA59">
        <f t="shared" si="819"/>
        <v>10</v>
      </c>
      <c r="BB59">
        <f t="shared" si="820"/>
        <v>10</v>
      </c>
      <c r="BC59">
        <f t="shared" si="821"/>
        <v>10</v>
      </c>
      <c r="BD59">
        <f t="shared" si="822"/>
        <v>10</v>
      </c>
      <c r="BE59">
        <f t="shared" si="823"/>
        <v>10</v>
      </c>
      <c r="BF59">
        <f t="shared" si="824"/>
        <v>10</v>
      </c>
      <c r="BG59">
        <f t="shared" si="825"/>
        <v>10</v>
      </c>
      <c r="BH59">
        <f t="shared" si="826"/>
        <v>10</v>
      </c>
      <c r="BI59">
        <f t="shared" si="827"/>
        <v>10</v>
      </c>
      <c r="BJ59">
        <f t="shared" si="828"/>
        <v>10</v>
      </c>
      <c r="BK59">
        <f t="shared" si="829"/>
        <v>10</v>
      </c>
      <c r="BL59">
        <f t="shared" si="830"/>
        <v>10</v>
      </c>
      <c r="BM59">
        <f t="shared" si="831"/>
        <v>10</v>
      </c>
      <c r="BN59">
        <f t="shared" si="832"/>
        <v>10</v>
      </c>
      <c r="BO59">
        <f t="shared" si="833"/>
        <v>10</v>
      </c>
      <c r="BP59">
        <f t="shared" si="834"/>
        <v>10</v>
      </c>
      <c r="BQ59">
        <f t="shared" si="835"/>
        <v>10</v>
      </c>
      <c r="BR59">
        <f t="shared" si="836"/>
        <v>10</v>
      </c>
      <c r="BS59">
        <f t="shared" si="837"/>
        <v>10</v>
      </c>
      <c r="BT59">
        <f t="shared" si="838"/>
        <v>10</v>
      </c>
      <c r="BU59">
        <f t="shared" si="839"/>
        <v>10</v>
      </c>
      <c r="BV59">
        <f t="shared" si="840"/>
        <v>10</v>
      </c>
      <c r="BW59">
        <f t="shared" si="841"/>
        <v>10</v>
      </c>
      <c r="BX59">
        <f t="shared" si="842"/>
        <v>10</v>
      </c>
      <c r="BY59">
        <f t="shared" si="843"/>
        <v>10</v>
      </c>
      <c r="BZ59">
        <f t="shared" si="844"/>
        <v>10</v>
      </c>
      <c r="CA59">
        <f t="shared" si="845"/>
        <v>10</v>
      </c>
      <c r="CB59">
        <f t="shared" si="846"/>
        <v>10</v>
      </c>
      <c r="CC59">
        <f t="shared" si="847"/>
        <v>10</v>
      </c>
      <c r="CD59">
        <f t="shared" si="848"/>
        <v>10</v>
      </c>
      <c r="CE59">
        <f t="shared" si="849"/>
        <v>10</v>
      </c>
      <c r="CF59">
        <f t="shared" si="850"/>
        <v>10</v>
      </c>
      <c r="CG59">
        <f t="shared" si="851"/>
        <v>10</v>
      </c>
      <c r="CH59">
        <f t="shared" si="852"/>
        <v>10</v>
      </c>
      <c r="CI59">
        <f t="shared" si="853"/>
        <v>10</v>
      </c>
      <c r="CJ59">
        <f t="shared" si="854"/>
        <v>10</v>
      </c>
      <c r="CK59">
        <f t="shared" si="855"/>
        <v>10</v>
      </c>
      <c r="CL59">
        <f t="shared" si="856"/>
        <v>10</v>
      </c>
      <c r="CM59">
        <f t="shared" si="857"/>
        <v>10</v>
      </c>
      <c r="CN59">
        <f t="shared" si="858"/>
        <v>10</v>
      </c>
      <c r="CO59">
        <f t="shared" si="859"/>
        <v>10</v>
      </c>
      <c r="CP59">
        <f t="shared" si="860"/>
        <v>10</v>
      </c>
      <c r="CQ59">
        <f t="shared" si="861"/>
        <v>10</v>
      </c>
      <c r="CR59">
        <f t="shared" si="862"/>
        <v>10</v>
      </c>
      <c r="CS59">
        <f t="shared" si="863"/>
        <v>10</v>
      </c>
      <c r="CT59">
        <f t="shared" si="864"/>
        <v>10</v>
      </c>
      <c r="CU59">
        <f t="shared" si="865"/>
        <v>10</v>
      </c>
      <c r="CV59">
        <f t="shared" si="866"/>
        <v>10</v>
      </c>
      <c r="CW59">
        <f t="shared" si="867"/>
        <v>10</v>
      </c>
      <c r="CX59">
        <f t="shared" si="868"/>
        <v>10</v>
      </c>
      <c r="CY59">
        <f t="shared" si="869"/>
        <v>10</v>
      </c>
      <c r="CZ59">
        <f t="shared" si="870"/>
        <v>10</v>
      </c>
      <c r="DA59">
        <f t="shared" si="871"/>
        <v>10</v>
      </c>
      <c r="DB59">
        <f t="shared" si="872"/>
        <v>10</v>
      </c>
      <c r="DC59">
        <f t="shared" si="873"/>
        <v>10</v>
      </c>
      <c r="DD59">
        <f t="shared" si="874"/>
        <v>10</v>
      </c>
      <c r="DE59">
        <f t="shared" si="875"/>
        <v>10</v>
      </c>
      <c r="DF59">
        <f t="shared" si="876"/>
        <v>10</v>
      </c>
      <c r="DG59">
        <f t="shared" si="877"/>
        <v>10</v>
      </c>
      <c r="DH59">
        <f t="shared" si="878"/>
        <v>10</v>
      </c>
      <c r="DI59">
        <f t="shared" si="879"/>
        <v>10</v>
      </c>
      <c r="DJ59">
        <f t="shared" si="880"/>
        <v>10</v>
      </c>
      <c r="DK59">
        <f t="shared" si="881"/>
        <v>10</v>
      </c>
      <c r="DL59">
        <f t="shared" si="882"/>
        <v>10</v>
      </c>
      <c r="DM59">
        <f t="shared" si="883"/>
        <v>10</v>
      </c>
      <c r="DN59">
        <f t="shared" si="884"/>
        <v>10</v>
      </c>
      <c r="DO59">
        <f t="shared" si="885"/>
        <v>10</v>
      </c>
      <c r="DP59">
        <f t="shared" si="886"/>
        <v>10</v>
      </c>
      <c r="DQ59">
        <f t="shared" si="887"/>
        <v>10</v>
      </c>
      <c r="DR59">
        <f t="shared" si="888"/>
        <v>10</v>
      </c>
      <c r="DS59">
        <f t="shared" si="889"/>
        <v>10</v>
      </c>
      <c r="DT59">
        <f t="shared" si="890"/>
        <v>10</v>
      </c>
      <c r="DU59">
        <f t="shared" si="891"/>
        <v>10</v>
      </c>
      <c r="DV59">
        <f t="shared" si="892"/>
        <v>10</v>
      </c>
      <c r="DW59">
        <f t="shared" si="893"/>
        <v>10</v>
      </c>
      <c r="DX59">
        <f t="shared" si="894"/>
        <v>10</v>
      </c>
      <c r="DY59">
        <f t="shared" si="895"/>
        <v>10</v>
      </c>
      <c r="DZ59">
        <f t="shared" si="896"/>
        <v>10</v>
      </c>
      <c r="EA59">
        <f t="shared" si="897"/>
        <v>10</v>
      </c>
      <c r="EB59">
        <f t="shared" si="898"/>
        <v>10</v>
      </c>
      <c r="EC59">
        <f t="shared" si="899"/>
        <v>10</v>
      </c>
      <c r="ED59">
        <f t="shared" si="900"/>
        <v>10</v>
      </c>
      <c r="EE59">
        <f t="shared" si="901"/>
        <v>10</v>
      </c>
      <c r="EF59">
        <f t="shared" si="902"/>
        <v>10</v>
      </c>
      <c r="EG59">
        <f t="shared" si="903"/>
        <v>10</v>
      </c>
      <c r="EH59">
        <f t="shared" si="904"/>
        <v>10</v>
      </c>
      <c r="EI59">
        <f t="shared" si="905"/>
        <v>10</v>
      </c>
      <c r="EJ59">
        <f t="shared" si="906"/>
        <v>10</v>
      </c>
      <c r="EK59">
        <f t="shared" si="907"/>
        <v>10</v>
      </c>
      <c r="EL59">
        <f t="shared" si="908"/>
        <v>10</v>
      </c>
      <c r="EM59">
        <f t="shared" si="909"/>
        <v>10</v>
      </c>
      <c r="EN59">
        <f t="shared" si="910"/>
        <v>10</v>
      </c>
      <c r="EO59">
        <f t="shared" si="911"/>
        <v>10</v>
      </c>
      <c r="EP59">
        <f t="shared" si="912"/>
        <v>10</v>
      </c>
      <c r="EQ59">
        <f t="shared" si="913"/>
        <v>10</v>
      </c>
      <c r="ER59">
        <f t="shared" si="914"/>
        <v>10</v>
      </c>
      <c r="ES59">
        <f t="shared" si="915"/>
        <v>10</v>
      </c>
      <c r="ET59">
        <f t="shared" si="916"/>
        <v>10</v>
      </c>
      <c r="EU59">
        <f t="shared" si="917"/>
        <v>10</v>
      </c>
      <c r="EV59">
        <f t="shared" si="918"/>
        <v>10</v>
      </c>
      <c r="EW59">
        <f t="shared" si="919"/>
        <v>10</v>
      </c>
      <c r="EX59">
        <f t="shared" si="920"/>
        <v>10</v>
      </c>
      <c r="EY59">
        <f t="shared" si="921"/>
        <v>10</v>
      </c>
      <c r="EZ59">
        <f t="shared" si="922"/>
        <v>10</v>
      </c>
      <c r="FA59">
        <f t="shared" si="923"/>
        <v>10</v>
      </c>
      <c r="FB59">
        <f t="shared" si="924"/>
        <v>10</v>
      </c>
      <c r="FC59">
        <f t="shared" si="925"/>
        <v>10</v>
      </c>
      <c r="FD59">
        <f t="shared" si="926"/>
        <v>10</v>
      </c>
      <c r="FE59">
        <f t="shared" si="927"/>
        <v>10</v>
      </c>
      <c r="FF59">
        <f t="shared" si="928"/>
        <v>10</v>
      </c>
      <c r="FG59">
        <f t="shared" si="929"/>
        <v>10</v>
      </c>
      <c r="FH59">
        <f t="shared" si="930"/>
        <v>10</v>
      </c>
      <c r="FI59">
        <f t="shared" si="931"/>
        <v>10</v>
      </c>
      <c r="FJ59">
        <f t="shared" si="932"/>
        <v>10</v>
      </c>
      <c r="FK59">
        <f t="shared" si="933"/>
        <v>10</v>
      </c>
      <c r="FL59">
        <f t="shared" si="934"/>
        <v>10</v>
      </c>
      <c r="FM59">
        <f t="shared" si="935"/>
        <v>10</v>
      </c>
      <c r="FN59">
        <f t="shared" si="936"/>
        <v>10</v>
      </c>
      <c r="FO59">
        <f t="shared" si="937"/>
        <v>10</v>
      </c>
      <c r="FP59">
        <f t="shared" si="938"/>
        <v>10</v>
      </c>
      <c r="FQ59">
        <f t="shared" si="939"/>
        <v>10</v>
      </c>
      <c r="FR59">
        <f t="shared" si="940"/>
        <v>10</v>
      </c>
      <c r="FS59">
        <f t="shared" si="941"/>
        <v>10</v>
      </c>
      <c r="FT59">
        <f t="shared" si="942"/>
        <v>10</v>
      </c>
      <c r="FU59">
        <f t="shared" si="943"/>
        <v>10</v>
      </c>
      <c r="FV59">
        <f t="shared" si="944"/>
        <v>10</v>
      </c>
      <c r="FW59">
        <f t="shared" si="945"/>
        <v>10</v>
      </c>
      <c r="FX59">
        <f t="shared" si="946"/>
        <v>10</v>
      </c>
      <c r="FY59">
        <f t="shared" si="947"/>
        <v>10</v>
      </c>
      <c r="FZ59">
        <f t="shared" si="948"/>
        <v>10</v>
      </c>
      <c r="GA59">
        <f t="shared" si="949"/>
        <v>10</v>
      </c>
      <c r="GB59">
        <f t="shared" si="950"/>
        <v>10</v>
      </c>
      <c r="GC59">
        <f t="shared" si="951"/>
        <v>10</v>
      </c>
      <c r="GD59">
        <f t="shared" si="952"/>
        <v>10</v>
      </c>
      <c r="GE59">
        <f t="shared" si="953"/>
        <v>10</v>
      </c>
      <c r="GF59">
        <f t="shared" si="954"/>
        <v>10</v>
      </c>
      <c r="GG59">
        <f t="shared" si="955"/>
        <v>10</v>
      </c>
      <c r="GH59">
        <f t="shared" si="956"/>
        <v>10</v>
      </c>
      <c r="GI59">
        <f t="shared" si="957"/>
        <v>10</v>
      </c>
      <c r="GJ59">
        <f t="shared" si="958"/>
        <v>10</v>
      </c>
      <c r="GK59">
        <f t="shared" si="959"/>
        <v>10</v>
      </c>
      <c r="GL59">
        <f t="shared" si="960"/>
        <v>10</v>
      </c>
      <c r="GM59">
        <f t="shared" si="961"/>
        <v>10</v>
      </c>
      <c r="GN59">
        <f t="shared" si="962"/>
        <v>10</v>
      </c>
      <c r="GO59">
        <f t="shared" si="963"/>
        <v>10</v>
      </c>
      <c r="GP59">
        <f t="shared" si="964"/>
        <v>10</v>
      </c>
      <c r="GQ59">
        <f t="shared" si="965"/>
        <v>10</v>
      </c>
      <c r="GR59">
        <f t="shared" si="966"/>
        <v>10</v>
      </c>
      <c r="GS59">
        <f t="shared" si="967"/>
        <v>10</v>
      </c>
      <c r="GT59">
        <f t="shared" si="968"/>
        <v>10</v>
      </c>
      <c r="GU59">
        <f t="shared" si="969"/>
        <v>10</v>
      </c>
      <c r="GV59">
        <f t="shared" si="970"/>
        <v>10</v>
      </c>
      <c r="GW59">
        <f t="shared" si="971"/>
        <v>10</v>
      </c>
      <c r="GX59">
        <f t="shared" si="972"/>
        <v>10</v>
      </c>
      <c r="GY59">
        <f t="shared" si="973"/>
        <v>10</v>
      </c>
      <c r="GZ59">
        <f t="shared" si="974"/>
        <v>10</v>
      </c>
      <c r="HA59">
        <f t="shared" si="975"/>
        <v>10</v>
      </c>
      <c r="HB59">
        <f t="shared" si="976"/>
        <v>10</v>
      </c>
      <c r="HC59">
        <f t="shared" si="977"/>
        <v>10</v>
      </c>
      <c r="HD59">
        <f t="shared" si="978"/>
        <v>10</v>
      </c>
      <c r="HE59">
        <f t="shared" si="979"/>
        <v>10</v>
      </c>
      <c r="HF59">
        <f t="shared" si="980"/>
        <v>10</v>
      </c>
      <c r="HG59">
        <f t="shared" si="981"/>
        <v>10</v>
      </c>
      <c r="HH59">
        <f t="shared" si="982"/>
        <v>10</v>
      </c>
      <c r="HI59">
        <f t="shared" si="983"/>
        <v>10</v>
      </c>
      <c r="HJ59">
        <f t="shared" si="984"/>
        <v>10</v>
      </c>
      <c r="HK59">
        <f t="shared" si="985"/>
        <v>10</v>
      </c>
      <c r="HL59">
        <f t="shared" si="986"/>
        <v>10</v>
      </c>
      <c r="HM59">
        <f t="shared" si="987"/>
        <v>10</v>
      </c>
      <c r="HN59">
        <f t="shared" si="988"/>
        <v>10</v>
      </c>
      <c r="HO59">
        <f t="shared" si="989"/>
        <v>10</v>
      </c>
      <c r="HP59">
        <f t="shared" si="990"/>
        <v>10</v>
      </c>
      <c r="HQ59">
        <f t="shared" si="991"/>
        <v>10</v>
      </c>
      <c r="HR59">
        <f t="shared" si="992"/>
        <v>10</v>
      </c>
      <c r="HS59">
        <f t="shared" si="993"/>
        <v>10</v>
      </c>
      <c r="HT59">
        <f t="shared" si="994"/>
        <v>10</v>
      </c>
      <c r="HU59">
        <f t="shared" si="995"/>
        <v>10</v>
      </c>
      <c r="HV59">
        <f t="shared" si="996"/>
        <v>10</v>
      </c>
      <c r="HW59">
        <f t="shared" si="997"/>
        <v>10</v>
      </c>
      <c r="HX59">
        <f t="shared" si="998"/>
        <v>10</v>
      </c>
      <c r="HY59">
        <f t="shared" si="999"/>
        <v>10</v>
      </c>
      <c r="HZ59">
        <f t="shared" si="1000"/>
        <v>10</v>
      </c>
      <c r="IA59">
        <f t="shared" si="1001"/>
        <v>10</v>
      </c>
      <c r="IB59">
        <f t="shared" si="1002"/>
        <v>10</v>
      </c>
      <c r="IC59">
        <f t="shared" si="1003"/>
        <v>10</v>
      </c>
      <c r="ID59">
        <f t="shared" si="1004"/>
        <v>10</v>
      </c>
      <c r="IE59">
        <f t="shared" si="1005"/>
        <v>10</v>
      </c>
      <c r="IF59">
        <f t="shared" si="1006"/>
        <v>10</v>
      </c>
      <c r="IG59">
        <f t="shared" si="1007"/>
        <v>10</v>
      </c>
      <c r="IH59">
        <f t="shared" si="1008"/>
        <v>10</v>
      </c>
      <c r="II59">
        <f t="shared" si="1009"/>
        <v>10</v>
      </c>
      <c r="IJ59">
        <f t="shared" si="1010"/>
        <v>10</v>
      </c>
      <c r="IK59">
        <f t="shared" si="1011"/>
        <v>10</v>
      </c>
      <c r="IL59">
        <f t="shared" si="1012"/>
        <v>10</v>
      </c>
      <c r="IM59">
        <f t="shared" si="1013"/>
        <v>10</v>
      </c>
      <c r="IN59">
        <f t="shared" si="1014"/>
        <v>10</v>
      </c>
      <c r="IO59">
        <f t="shared" si="1015"/>
        <v>10</v>
      </c>
      <c r="IP59">
        <f t="shared" si="1016"/>
        <v>10</v>
      </c>
      <c r="IQ59">
        <f t="shared" si="1017"/>
        <v>10</v>
      </c>
      <c r="IR59">
        <f t="shared" si="1018"/>
        <v>10</v>
      </c>
      <c r="IS59">
        <f t="shared" si="1019"/>
        <v>10</v>
      </c>
      <c r="IT59">
        <f t="shared" si="1020"/>
        <v>10</v>
      </c>
      <c r="IU59">
        <f t="shared" si="1021"/>
        <v>10</v>
      </c>
      <c r="IV59">
        <f t="shared" si="1022"/>
        <v>10</v>
      </c>
    </row>
    <row r="60" spans="1:256" x14ac:dyDescent="0.2">
      <c r="A60" t="s">
        <v>531</v>
      </c>
      <c r="B60">
        <f t="shared" si="768"/>
        <v>10</v>
      </c>
      <c r="C60">
        <f t="shared" si="769"/>
        <v>10</v>
      </c>
      <c r="D60">
        <f t="shared" si="770"/>
        <v>10</v>
      </c>
      <c r="E60">
        <f t="shared" si="771"/>
        <v>10</v>
      </c>
      <c r="F60">
        <f t="shared" si="772"/>
        <v>10</v>
      </c>
      <c r="G60">
        <f t="shared" si="773"/>
        <v>10</v>
      </c>
      <c r="H60">
        <f t="shared" si="774"/>
        <v>10</v>
      </c>
      <c r="I60">
        <f t="shared" si="775"/>
        <v>10</v>
      </c>
      <c r="J60">
        <f t="shared" si="776"/>
        <v>10</v>
      </c>
      <c r="K60">
        <f t="shared" si="777"/>
        <v>10</v>
      </c>
      <c r="L60">
        <f t="shared" si="778"/>
        <v>10</v>
      </c>
      <c r="M60">
        <f t="shared" si="779"/>
        <v>10</v>
      </c>
      <c r="N60">
        <f t="shared" si="780"/>
        <v>10</v>
      </c>
      <c r="O60">
        <f t="shared" si="781"/>
        <v>10</v>
      </c>
      <c r="P60">
        <f t="shared" si="782"/>
        <v>10</v>
      </c>
      <c r="Q60">
        <f t="shared" si="783"/>
        <v>10</v>
      </c>
      <c r="R60">
        <f t="shared" si="784"/>
        <v>10</v>
      </c>
      <c r="S60">
        <f t="shared" si="785"/>
        <v>10</v>
      </c>
      <c r="T60">
        <f t="shared" si="786"/>
        <v>10</v>
      </c>
      <c r="U60">
        <f t="shared" si="787"/>
        <v>10</v>
      </c>
      <c r="V60">
        <f t="shared" si="788"/>
        <v>10</v>
      </c>
      <c r="W60">
        <f t="shared" si="789"/>
        <v>10</v>
      </c>
      <c r="X60">
        <f t="shared" si="790"/>
        <v>10</v>
      </c>
      <c r="Y60">
        <f t="shared" si="791"/>
        <v>10</v>
      </c>
      <c r="Z60">
        <f t="shared" si="792"/>
        <v>10</v>
      </c>
      <c r="AA60">
        <f t="shared" si="793"/>
        <v>10</v>
      </c>
      <c r="AB60">
        <f t="shared" si="794"/>
        <v>10</v>
      </c>
      <c r="AC60">
        <f t="shared" si="795"/>
        <v>10</v>
      </c>
      <c r="AD60">
        <f t="shared" si="796"/>
        <v>10</v>
      </c>
      <c r="AE60">
        <f t="shared" si="797"/>
        <v>10</v>
      </c>
      <c r="AF60">
        <f t="shared" si="798"/>
        <v>10</v>
      </c>
      <c r="AG60">
        <f t="shared" si="799"/>
        <v>10</v>
      </c>
      <c r="AH60">
        <f t="shared" si="800"/>
        <v>10</v>
      </c>
      <c r="AI60">
        <f t="shared" si="801"/>
        <v>10</v>
      </c>
      <c r="AJ60">
        <f t="shared" si="802"/>
        <v>10</v>
      </c>
      <c r="AK60">
        <f t="shared" si="803"/>
        <v>10</v>
      </c>
      <c r="AL60">
        <f t="shared" si="804"/>
        <v>10</v>
      </c>
      <c r="AM60">
        <f t="shared" si="805"/>
        <v>10</v>
      </c>
      <c r="AN60">
        <f t="shared" si="806"/>
        <v>10</v>
      </c>
      <c r="AO60">
        <f t="shared" si="807"/>
        <v>10</v>
      </c>
      <c r="AP60">
        <f t="shared" si="808"/>
        <v>10</v>
      </c>
      <c r="AQ60">
        <f t="shared" si="809"/>
        <v>10</v>
      </c>
      <c r="AR60">
        <f t="shared" si="810"/>
        <v>10</v>
      </c>
      <c r="AS60">
        <f t="shared" si="811"/>
        <v>10</v>
      </c>
      <c r="AT60">
        <f t="shared" si="812"/>
        <v>10</v>
      </c>
      <c r="AU60">
        <f t="shared" si="813"/>
        <v>10</v>
      </c>
      <c r="AV60">
        <f t="shared" si="814"/>
        <v>10</v>
      </c>
      <c r="AW60">
        <f t="shared" si="815"/>
        <v>10</v>
      </c>
      <c r="AX60">
        <f t="shared" si="816"/>
        <v>10</v>
      </c>
      <c r="AY60">
        <f t="shared" si="817"/>
        <v>10</v>
      </c>
      <c r="AZ60">
        <f t="shared" si="818"/>
        <v>10</v>
      </c>
      <c r="BA60">
        <f t="shared" si="819"/>
        <v>10</v>
      </c>
      <c r="BB60">
        <f t="shared" si="820"/>
        <v>10</v>
      </c>
      <c r="BC60">
        <f t="shared" si="821"/>
        <v>10</v>
      </c>
      <c r="BD60">
        <f t="shared" si="822"/>
        <v>10</v>
      </c>
      <c r="BE60">
        <f t="shared" si="823"/>
        <v>10</v>
      </c>
      <c r="BF60">
        <f t="shared" si="824"/>
        <v>10</v>
      </c>
      <c r="BG60">
        <f t="shared" si="825"/>
        <v>10</v>
      </c>
      <c r="BH60">
        <f t="shared" si="826"/>
        <v>10</v>
      </c>
      <c r="BI60">
        <f t="shared" si="827"/>
        <v>10</v>
      </c>
      <c r="BJ60">
        <f t="shared" si="828"/>
        <v>10</v>
      </c>
      <c r="BK60">
        <f t="shared" si="829"/>
        <v>10</v>
      </c>
      <c r="BL60">
        <f t="shared" si="830"/>
        <v>10</v>
      </c>
      <c r="BM60">
        <f t="shared" si="831"/>
        <v>10</v>
      </c>
      <c r="BN60">
        <f t="shared" si="832"/>
        <v>10</v>
      </c>
      <c r="BO60">
        <f t="shared" si="833"/>
        <v>10</v>
      </c>
      <c r="BP60">
        <f t="shared" si="834"/>
        <v>10</v>
      </c>
      <c r="BQ60">
        <f t="shared" si="835"/>
        <v>10</v>
      </c>
      <c r="BR60">
        <f t="shared" si="836"/>
        <v>10</v>
      </c>
      <c r="BS60">
        <f t="shared" si="837"/>
        <v>10</v>
      </c>
      <c r="BT60">
        <f t="shared" si="838"/>
        <v>10</v>
      </c>
      <c r="BU60">
        <f t="shared" si="839"/>
        <v>10</v>
      </c>
      <c r="BV60">
        <f t="shared" si="840"/>
        <v>10</v>
      </c>
      <c r="BW60">
        <f t="shared" si="841"/>
        <v>10</v>
      </c>
      <c r="BX60">
        <f t="shared" si="842"/>
        <v>10</v>
      </c>
      <c r="BY60">
        <f t="shared" si="843"/>
        <v>10</v>
      </c>
      <c r="BZ60">
        <f t="shared" si="844"/>
        <v>10</v>
      </c>
      <c r="CA60">
        <f t="shared" si="845"/>
        <v>10</v>
      </c>
      <c r="CB60">
        <f t="shared" si="846"/>
        <v>10</v>
      </c>
      <c r="CC60">
        <f t="shared" si="847"/>
        <v>10</v>
      </c>
      <c r="CD60">
        <f t="shared" si="848"/>
        <v>10</v>
      </c>
      <c r="CE60">
        <f t="shared" si="849"/>
        <v>10</v>
      </c>
      <c r="CF60">
        <f t="shared" si="850"/>
        <v>10</v>
      </c>
      <c r="CG60">
        <f t="shared" si="851"/>
        <v>10</v>
      </c>
      <c r="CH60">
        <f t="shared" si="852"/>
        <v>10</v>
      </c>
      <c r="CI60">
        <f t="shared" si="853"/>
        <v>10</v>
      </c>
      <c r="CJ60">
        <f t="shared" si="854"/>
        <v>10</v>
      </c>
      <c r="CK60">
        <f t="shared" si="855"/>
        <v>10</v>
      </c>
      <c r="CL60">
        <f t="shared" si="856"/>
        <v>10</v>
      </c>
      <c r="CM60">
        <f t="shared" si="857"/>
        <v>10</v>
      </c>
      <c r="CN60">
        <f t="shared" si="858"/>
        <v>10</v>
      </c>
      <c r="CO60">
        <f t="shared" si="859"/>
        <v>10</v>
      </c>
      <c r="CP60">
        <f t="shared" si="860"/>
        <v>10</v>
      </c>
      <c r="CQ60">
        <f t="shared" si="861"/>
        <v>10</v>
      </c>
      <c r="CR60">
        <f t="shared" si="862"/>
        <v>10</v>
      </c>
      <c r="CS60">
        <f t="shared" si="863"/>
        <v>10</v>
      </c>
      <c r="CT60">
        <f t="shared" si="864"/>
        <v>10</v>
      </c>
      <c r="CU60">
        <f t="shared" si="865"/>
        <v>10</v>
      </c>
      <c r="CV60">
        <f t="shared" si="866"/>
        <v>10</v>
      </c>
      <c r="CW60">
        <f t="shared" si="867"/>
        <v>10</v>
      </c>
      <c r="CX60">
        <f t="shared" si="868"/>
        <v>10</v>
      </c>
      <c r="CY60">
        <f t="shared" si="869"/>
        <v>10</v>
      </c>
      <c r="CZ60">
        <f t="shared" si="870"/>
        <v>10</v>
      </c>
      <c r="DA60">
        <f t="shared" si="871"/>
        <v>10</v>
      </c>
      <c r="DB60">
        <f t="shared" si="872"/>
        <v>10</v>
      </c>
      <c r="DC60">
        <f t="shared" si="873"/>
        <v>10</v>
      </c>
      <c r="DD60">
        <f t="shared" si="874"/>
        <v>10</v>
      </c>
      <c r="DE60">
        <f t="shared" si="875"/>
        <v>10</v>
      </c>
      <c r="DF60">
        <f t="shared" si="876"/>
        <v>10</v>
      </c>
      <c r="DG60">
        <f t="shared" si="877"/>
        <v>10</v>
      </c>
      <c r="DH60">
        <f t="shared" si="878"/>
        <v>10</v>
      </c>
      <c r="DI60">
        <f t="shared" si="879"/>
        <v>10</v>
      </c>
      <c r="DJ60">
        <f t="shared" si="880"/>
        <v>10</v>
      </c>
      <c r="DK60">
        <f t="shared" si="881"/>
        <v>10</v>
      </c>
      <c r="DL60">
        <f t="shared" si="882"/>
        <v>10</v>
      </c>
      <c r="DM60">
        <f t="shared" si="883"/>
        <v>10</v>
      </c>
      <c r="DN60">
        <f t="shared" si="884"/>
        <v>10</v>
      </c>
      <c r="DO60">
        <f t="shared" si="885"/>
        <v>10</v>
      </c>
      <c r="DP60">
        <f t="shared" si="886"/>
        <v>10</v>
      </c>
      <c r="DQ60">
        <f t="shared" si="887"/>
        <v>10</v>
      </c>
      <c r="DR60">
        <f t="shared" si="888"/>
        <v>10</v>
      </c>
      <c r="DS60">
        <f t="shared" si="889"/>
        <v>10</v>
      </c>
      <c r="DT60">
        <f t="shared" si="890"/>
        <v>10</v>
      </c>
      <c r="DU60">
        <f t="shared" si="891"/>
        <v>10</v>
      </c>
      <c r="DV60">
        <f t="shared" si="892"/>
        <v>10</v>
      </c>
      <c r="DW60">
        <f t="shared" si="893"/>
        <v>10</v>
      </c>
      <c r="DX60">
        <f t="shared" si="894"/>
        <v>10</v>
      </c>
      <c r="DY60">
        <f t="shared" si="895"/>
        <v>10</v>
      </c>
      <c r="DZ60">
        <f t="shared" si="896"/>
        <v>10</v>
      </c>
      <c r="EA60">
        <f t="shared" si="897"/>
        <v>10</v>
      </c>
      <c r="EB60">
        <f t="shared" si="898"/>
        <v>10</v>
      </c>
      <c r="EC60">
        <f t="shared" si="899"/>
        <v>10</v>
      </c>
      <c r="ED60">
        <f t="shared" si="900"/>
        <v>10</v>
      </c>
      <c r="EE60">
        <f t="shared" si="901"/>
        <v>10</v>
      </c>
      <c r="EF60">
        <f t="shared" si="902"/>
        <v>10</v>
      </c>
      <c r="EG60">
        <f t="shared" si="903"/>
        <v>10</v>
      </c>
      <c r="EH60">
        <f t="shared" si="904"/>
        <v>10</v>
      </c>
      <c r="EI60">
        <f t="shared" si="905"/>
        <v>10</v>
      </c>
      <c r="EJ60">
        <f t="shared" si="906"/>
        <v>10</v>
      </c>
      <c r="EK60">
        <f t="shared" si="907"/>
        <v>10</v>
      </c>
      <c r="EL60">
        <f t="shared" si="908"/>
        <v>10</v>
      </c>
      <c r="EM60">
        <f t="shared" si="909"/>
        <v>10</v>
      </c>
      <c r="EN60">
        <f t="shared" si="910"/>
        <v>10</v>
      </c>
      <c r="EO60">
        <f t="shared" si="911"/>
        <v>10</v>
      </c>
      <c r="EP60">
        <f t="shared" si="912"/>
        <v>10</v>
      </c>
      <c r="EQ60">
        <f t="shared" si="913"/>
        <v>10</v>
      </c>
      <c r="ER60">
        <f t="shared" si="914"/>
        <v>10</v>
      </c>
      <c r="ES60">
        <f t="shared" si="915"/>
        <v>10</v>
      </c>
      <c r="ET60">
        <f t="shared" si="916"/>
        <v>10</v>
      </c>
      <c r="EU60">
        <f t="shared" si="917"/>
        <v>10</v>
      </c>
      <c r="EV60">
        <f t="shared" si="918"/>
        <v>10</v>
      </c>
      <c r="EW60">
        <f t="shared" si="919"/>
        <v>10</v>
      </c>
      <c r="EX60">
        <f t="shared" si="920"/>
        <v>10</v>
      </c>
      <c r="EY60">
        <f t="shared" si="921"/>
        <v>10</v>
      </c>
      <c r="EZ60">
        <f t="shared" si="922"/>
        <v>10</v>
      </c>
      <c r="FA60">
        <f t="shared" si="923"/>
        <v>10</v>
      </c>
      <c r="FB60">
        <f t="shared" si="924"/>
        <v>10</v>
      </c>
      <c r="FC60">
        <f t="shared" si="925"/>
        <v>10</v>
      </c>
      <c r="FD60">
        <f t="shared" si="926"/>
        <v>10</v>
      </c>
      <c r="FE60">
        <f t="shared" si="927"/>
        <v>10</v>
      </c>
      <c r="FF60">
        <f t="shared" si="928"/>
        <v>10</v>
      </c>
      <c r="FG60">
        <f t="shared" si="929"/>
        <v>10</v>
      </c>
      <c r="FH60">
        <f t="shared" si="930"/>
        <v>10</v>
      </c>
      <c r="FI60">
        <f t="shared" si="931"/>
        <v>10</v>
      </c>
      <c r="FJ60">
        <f t="shared" si="932"/>
        <v>10</v>
      </c>
      <c r="FK60">
        <f t="shared" si="933"/>
        <v>10</v>
      </c>
      <c r="FL60">
        <f t="shared" si="934"/>
        <v>10</v>
      </c>
      <c r="FM60">
        <f t="shared" si="935"/>
        <v>10</v>
      </c>
      <c r="FN60">
        <f t="shared" si="936"/>
        <v>10</v>
      </c>
      <c r="FO60">
        <f t="shared" si="937"/>
        <v>10</v>
      </c>
      <c r="FP60">
        <f t="shared" si="938"/>
        <v>10</v>
      </c>
      <c r="FQ60">
        <f t="shared" si="939"/>
        <v>10</v>
      </c>
      <c r="FR60">
        <f t="shared" si="940"/>
        <v>10</v>
      </c>
      <c r="FS60">
        <f t="shared" si="941"/>
        <v>10</v>
      </c>
      <c r="FT60">
        <f t="shared" si="942"/>
        <v>10</v>
      </c>
      <c r="FU60">
        <f t="shared" si="943"/>
        <v>10</v>
      </c>
      <c r="FV60">
        <f t="shared" si="944"/>
        <v>10</v>
      </c>
      <c r="FW60">
        <f t="shared" si="945"/>
        <v>10</v>
      </c>
      <c r="FX60">
        <f t="shared" si="946"/>
        <v>10</v>
      </c>
      <c r="FY60">
        <f t="shared" si="947"/>
        <v>10</v>
      </c>
      <c r="FZ60">
        <f t="shared" si="948"/>
        <v>10</v>
      </c>
      <c r="GA60">
        <f t="shared" si="949"/>
        <v>10</v>
      </c>
      <c r="GB60">
        <f t="shared" si="950"/>
        <v>10</v>
      </c>
      <c r="GC60">
        <f t="shared" si="951"/>
        <v>10</v>
      </c>
      <c r="GD60">
        <f t="shared" si="952"/>
        <v>10</v>
      </c>
      <c r="GE60">
        <f t="shared" si="953"/>
        <v>10</v>
      </c>
      <c r="GF60">
        <f t="shared" si="954"/>
        <v>10</v>
      </c>
      <c r="GG60">
        <f t="shared" si="955"/>
        <v>10</v>
      </c>
      <c r="GH60">
        <f t="shared" si="956"/>
        <v>10</v>
      </c>
      <c r="GI60">
        <f t="shared" si="957"/>
        <v>10</v>
      </c>
      <c r="GJ60">
        <f t="shared" si="958"/>
        <v>10</v>
      </c>
      <c r="GK60">
        <f t="shared" si="959"/>
        <v>10</v>
      </c>
      <c r="GL60">
        <f t="shared" si="960"/>
        <v>10</v>
      </c>
      <c r="GM60">
        <f t="shared" si="961"/>
        <v>10</v>
      </c>
      <c r="GN60">
        <f t="shared" si="962"/>
        <v>10</v>
      </c>
      <c r="GO60">
        <f t="shared" si="963"/>
        <v>10</v>
      </c>
      <c r="GP60">
        <f t="shared" si="964"/>
        <v>10</v>
      </c>
      <c r="GQ60">
        <f t="shared" si="965"/>
        <v>10</v>
      </c>
      <c r="GR60">
        <f t="shared" si="966"/>
        <v>10</v>
      </c>
      <c r="GS60">
        <f t="shared" si="967"/>
        <v>10</v>
      </c>
      <c r="GT60">
        <f t="shared" si="968"/>
        <v>10</v>
      </c>
      <c r="GU60">
        <f t="shared" si="969"/>
        <v>10</v>
      </c>
      <c r="GV60">
        <f t="shared" si="970"/>
        <v>10</v>
      </c>
      <c r="GW60">
        <f t="shared" si="971"/>
        <v>10</v>
      </c>
      <c r="GX60">
        <f t="shared" si="972"/>
        <v>10</v>
      </c>
      <c r="GY60">
        <f t="shared" si="973"/>
        <v>10</v>
      </c>
      <c r="GZ60">
        <f t="shared" si="974"/>
        <v>10</v>
      </c>
      <c r="HA60">
        <f t="shared" si="975"/>
        <v>10</v>
      </c>
      <c r="HB60">
        <f t="shared" si="976"/>
        <v>10</v>
      </c>
      <c r="HC60">
        <f t="shared" si="977"/>
        <v>10</v>
      </c>
      <c r="HD60">
        <f t="shared" si="978"/>
        <v>10</v>
      </c>
      <c r="HE60">
        <f t="shared" si="979"/>
        <v>10</v>
      </c>
      <c r="HF60">
        <f t="shared" si="980"/>
        <v>10</v>
      </c>
      <c r="HG60">
        <f t="shared" si="981"/>
        <v>10</v>
      </c>
      <c r="HH60">
        <f t="shared" si="982"/>
        <v>10</v>
      </c>
      <c r="HI60">
        <f t="shared" si="983"/>
        <v>10</v>
      </c>
      <c r="HJ60">
        <f t="shared" si="984"/>
        <v>10</v>
      </c>
      <c r="HK60">
        <f t="shared" si="985"/>
        <v>10</v>
      </c>
      <c r="HL60">
        <f t="shared" si="986"/>
        <v>10</v>
      </c>
      <c r="HM60">
        <f t="shared" si="987"/>
        <v>10</v>
      </c>
      <c r="HN60">
        <f t="shared" si="988"/>
        <v>10</v>
      </c>
      <c r="HO60">
        <f t="shared" si="989"/>
        <v>10</v>
      </c>
      <c r="HP60">
        <f t="shared" si="990"/>
        <v>10</v>
      </c>
      <c r="HQ60">
        <f t="shared" si="991"/>
        <v>10</v>
      </c>
      <c r="HR60">
        <f t="shared" si="992"/>
        <v>10</v>
      </c>
      <c r="HS60">
        <f t="shared" si="993"/>
        <v>10</v>
      </c>
      <c r="HT60">
        <f t="shared" si="994"/>
        <v>10</v>
      </c>
      <c r="HU60">
        <f t="shared" si="995"/>
        <v>10</v>
      </c>
      <c r="HV60">
        <f t="shared" si="996"/>
        <v>10</v>
      </c>
      <c r="HW60">
        <f t="shared" si="997"/>
        <v>10</v>
      </c>
      <c r="HX60">
        <f t="shared" si="998"/>
        <v>10</v>
      </c>
      <c r="HY60">
        <f t="shared" si="999"/>
        <v>10</v>
      </c>
      <c r="HZ60">
        <f t="shared" si="1000"/>
        <v>10</v>
      </c>
      <c r="IA60">
        <f t="shared" si="1001"/>
        <v>10</v>
      </c>
      <c r="IB60">
        <f t="shared" si="1002"/>
        <v>10</v>
      </c>
      <c r="IC60">
        <f t="shared" si="1003"/>
        <v>10</v>
      </c>
      <c r="ID60">
        <f t="shared" si="1004"/>
        <v>10</v>
      </c>
      <c r="IE60">
        <f t="shared" si="1005"/>
        <v>10</v>
      </c>
      <c r="IF60">
        <f t="shared" si="1006"/>
        <v>10</v>
      </c>
      <c r="IG60">
        <f t="shared" si="1007"/>
        <v>10</v>
      </c>
      <c r="IH60">
        <f t="shared" si="1008"/>
        <v>10</v>
      </c>
      <c r="II60">
        <f t="shared" si="1009"/>
        <v>10</v>
      </c>
      <c r="IJ60">
        <f t="shared" si="1010"/>
        <v>10</v>
      </c>
      <c r="IK60">
        <f t="shared" si="1011"/>
        <v>10</v>
      </c>
      <c r="IL60">
        <f t="shared" si="1012"/>
        <v>10</v>
      </c>
      <c r="IM60">
        <f t="shared" si="1013"/>
        <v>10</v>
      </c>
      <c r="IN60">
        <f t="shared" si="1014"/>
        <v>10</v>
      </c>
      <c r="IO60">
        <f t="shared" si="1015"/>
        <v>10</v>
      </c>
      <c r="IP60">
        <f t="shared" si="1016"/>
        <v>10</v>
      </c>
      <c r="IQ60">
        <f t="shared" si="1017"/>
        <v>10</v>
      </c>
      <c r="IR60">
        <f t="shared" si="1018"/>
        <v>10</v>
      </c>
      <c r="IS60">
        <f t="shared" si="1019"/>
        <v>10</v>
      </c>
      <c r="IT60">
        <f t="shared" si="1020"/>
        <v>10</v>
      </c>
      <c r="IU60">
        <f t="shared" si="1021"/>
        <v>10</v>
      </c>
      <c r="IV60">
        <f t="shared" si="1022"/>
        <v>10</v>
      </c>
    </row>
    <row r="61" spans="1:256" x14ac:dyDescent="0.2">
      <c r="A61" t="s">
        <v>532</v>
      </c>
      <c r="B61">
        <f t="shared" si="768"/>
        <v>10</v>
      </c>
      <c r="C61">
        <f t="shared" si="769"/>
        <v>10</v>
      </c>
      <c r="D61">
        <f t="shared" si="770"/>
        <v>10</v>
      </c>
      <c r="E61">
        <f t="shared" si="771"/>
        <v>10</v>
      </c>
      <c r="F61">
        <f t="shared" si="772"/>
        <v>10</v>
      </c>
      <c r="G61">
        <f t="shared" si="773"/>
        <v>10</v>
      </c>
      <c r="H61">
        <f t="shared" si="774"/>
        <v>10</v>
      </c>
      <c r="I61">
        <f t="shared" si="775"/>
        <v>10</v>
      </c>
      <c r="J61">
        <f t="shared" si="776"/>
        <v>10</v>
      </c>
      <c r="K61">
        <f t="shared" si="777"/>
        <v>10</v>
      </c>
      <c r="L61">
        <f t="shared" si="778"/>
        <v>10</v>
      </c>
      <c r="M61">
        <f t="shared" si="779"/>
        <v>10</v>
      </c>
      <c r="N61">
        <f t="shared" si="780"/>
        <v>10</v>
      </c>
      <c r="O61">
        <f t="shared" si="781"/>
        <v>10</v>
      </c>
      <c r="P61">
        <f t="shared" si="782"/>
        <v>10</v>
      </c>
      <c r="Q61">
        <f t="shared" si="783"/>
        <v>10</v>
      </c>
      <c r="R61">
        <f t="shared" si="784"/>
        <v>10</v>
      </c>
      <c r="S61">
        <f t="shared" si="785"/>
        <v>10</v>
      </c>
      <c r="T61">
        <f t="shared" si="786"/>
        <v>10</v>
      </c>
      <c r="U61">
        <f t="shared" si="787"/>
        <v>10</v>
      </c>
      <c r="V61">
        <f t="shared" si="788"/>
        <v>10</v>
      </c>
      <c r="W61">
        <f t="shared" si="789"/>
        <v>10</v>
      </c>
      <c r="X61">
        <f t="shared" si="790"/>
        <v>10</v>
      </c>
      <c r="Y61">
        <f t="shared" si="791"/>
        <v>10</v>
      </c>
      <c r="Z61">
        <f t="shared" si="792"/>
        <v>10</v>
      </c>
      <c r="AA61">
        <f t="shared" si="793"/>
        <v>10</v>
      </c>
      <c r="AB61">
        <f t="shared" si="794"/>
        <v>10</v>
      </c>
      <c r="AC61">
        <f t="shared" si="795"/>
        <v>10</v>
      </c>
      <c r="AD61">
        <f t="shared" si="796"/>
        <v>10</v>
      </c>
      <c r="AE61">
        <f t="shared" si="797"/>
        <v>10</v>
      </c>
      <c r="AF61">
        <f t="shared" si="798"/>
        <v>10</v>
      </c>
      <c r="AG61">
        <f t="shared" si="799"/>
        <v>10</v>
      </c>
      <c r="AH61">
        <f t="shared" si="800"/>
        <v>10</v>
      </c>
      <c r="AI61">
        <f t="shared" si="801"/>
        <v>10</v>
      </c>
      <c r="AJ61">
        <f t="shared" si="802"/>
        <v>10</v>
      </c>
      <c r="AK61">
        <f t="shared" si="803"/>
        <v>10</v>
      </c>
      <c r="AL61">
        <f t="shared" si="804"/>
        <v>10</v>
      </c>
      <c r="AM61">
        <f t="shared" si="805"/>
        <v>10</v>
      </c>
      <c r="AN61">
        <f t="shared" si="806"/>
        <v>10</v>
      </c>
      <c r="AO61">
        <f t="shared" si="807"/>
        <v>10</v>
      </c>
      <c r="AP61">
        <f t="shared" si="808"/>
        <v>10</v>
      </c>
      <c r="AQ61">
        <f t="shared" si="809"/>
        <v>10</v>
      </c>
      <c r="AR61">
        <f t="shared" si="810"/>
        <v>10</v>
      </c>
      <c r="AS61">
        <f t="shared" si="811"/>
        <v>10</v>
      </c>
      <c r="AT61">
        <f t="shared" si="812"/>
        <v>10</v>
      </c>
      <c r="AU61">
        <f t="shared" si="813"/>
        <v>10</v>
      </c>
      <c r="AV61">
        <f t="shared" si="814"/>
        <v>10</v>
      </c>
      <c r="AW61">
        <f t="shared" si="815"/>
        <v>10</v>
      </c>
      <c r="AX61">
        <f t="shared" si="816"/>
        <v>10</v>
      </c>
      <c r="AY61">
        <f t="shared" si="817"/>
        <v>10</v>
      </c>
      <c r="AZ61">
        <f t="shared" si="818"/>
        <v>10</v>
      </c>
      <c r="BA61">
        <f t="shared" si="819"/>
        <v>10</v>
      </c>
      <c r="BB61">
        <f t="shared" si="820"/>
        <v>10</v>
      </c>
      <c r="BC61">
        <f t="shared" si="821"/>
        <v>10</v>
      </c>
      <c r="BD61">
        <f t="shared" si="822"/>
        <v>10</v>
      </c>
      <c r="BE61">
        <f t="shared" si="823"/>
        <v>10</v>
      </c>
      <c r="BF61">
        <f t="shared" si="824"/>
        <v>10</v>
      </c>
      <c r="BG61">
        <f t="shared" si="825"/>
        <v>10</v>
      </c>
      <c r="BH61">
        <f t="shared" si="826"/>
        <v>10</v>
      </c>
      <c r="BI61">
        <f t="shared" si="827"/>
        <v>10</v>
      </c>
      <c r="BJ61">
        <f t="shared" si="828"/>
        <v>10</v>
      </c>
      <c r="BK61">
        <f t="shared" si="829"/>
        <v>10</v>
      </c>
      <c r="BL61">
        <f t="shared" si="830"/>
        <v>10</v>
      </c>
      <c r="BM61">
        <f t="shared" si="831"/>
        <v>10</v>
      </c>
      <c r="BN61">
        <f t="shared" si="832"/>
        <v>10</v>
      </c>
      <c r="BO61">
        <f t="shared" si="833"/>
        <v>10</v>
      </c>
      <c r="BP61">
        <f t="shared" si="834"/>
        <v>10</v>
      </c>
      <c r="BQ61">
        <f t="shared" si="835"/>
        <v>10</v>
      </c>
      <c r="BR61">
        <f t="shared" si="836"/>
        <v>10</v>
      </c>
      <c r="BS61">
        <f t="shared" si="837"/>
        <v>10</v>
      </c>
      <c r="BT61">
        <f t="shared" si="838"/>
        <v>10</v>
      </c>
      <c r="BU61">
        <f t="shared" si="839"/>
        <v>10</v>
      </c>
      <c r="BV61">
        <f t="shared" si="840"/>
        <v>10</v>
      </c>
      <c r="BW61">
        <f t="shared" si="841"/>
        <v>10</v>
      </c>
      <c r="BX61">
        <f t="shared" si="842"/>
        <v>10</v>
      </c>
      <c r="BY61">
        <f t="shared" si="843"/>
        <v>10</v>
      </c>
      <c r="BZ61">
        <f t="shared" si="844"/>
        <v>10</v>
      </c>
      <c r="CA61">
        <f t="shared" si="845"/>
        <v>10</v>
      </c>
      <c r="CB61">
        <f t="shared" si="846"/>
        <v>10</v>
      </c>
      <c r="CC61">
        <f t="shared" si="847"/>
        <v>10</v>
      </c>
      <c r="CD61">
        <f t="shared" si="848"/>
        <v>10</v>
      </c>
      <c r="CE61">
        <f t="shared" si="849"/>
        <v>10</v>
      </c>
      <c r="CF61">
        <f t="shared" si="850"/>
        <v>10</v>
      </c>
      <c r="CG61">
        <f t="shared" si="851"/>
        <v>10</v>
      </c>
      <c r="CH61">
        <f t="shared" si="852"/>
        <v>10</v>
      </c>
      <c r="CI61">
        <f t="shared" si="853"/>
        <v>10</v>
      </c>
      <c r="CJ61">
        <f t="shared" si="854"/>
        <v>10</v>
      </c>
      <c r="CK61">
        <f t="shared" si="855"/>
        <v>10</v>
      </c>
      <c r="CL61">
        <f t="shared" si="856"/>
        <v>10</v>
      </c>
      <c r="CM61">
        <f t="shared" si="857"/>
        <v>10</v>
      </c>
      <c r="CN61">
        <f t="shared" si="858"/>
        <v>10</v>
      </c>
      <c r="CO61">
        <f t="shared" si="859"/>
        <v>10</v>
      </c>
      <c r="CP61">
        <f t="shared" si="860"/>
        <v>10</v>
      </c>
      <c r="CQ61">
        <f t="shared" si="861"/>
        <v>10</v>
      </c>
      <c r="CR61">
        <f t="shared" si="862"/>
        <v>10</v>
      </c>
      <c r="CS61">
        <f t="shared" si="863"/>
        <v>10</v>
      </c>
      <c r="CT61">
        <f t="shared" si="864"/>
        <v>10</v>
      </c>
      <c r="CU61">
        <f t="shared" si="865"/>
        <v>10</v>
      </c>
      <c r="CV61">
        <f t="shared" si="866"/>
        <v>10</v>
      </c>
      <c r="CW61">
        <f t="shared" si="867"/>
        <v>10</v>
      </c>
      <c r="CX61">
        <f t="shared" si="868"/>
        <v>10</v>
      </c>
      <c r="CY61">
        <f t="shared" si="869"/>
        <v>10</v>
      </c>
      <c r="CZ61">
        <f t="shared" si="870"/>
        <v>10</v>
      </c>
      <c r="DA61">
        <f t="shared" si="871"/>
        <v>10</v>
      </c>
      <c r="DB61">
        <f t="shared" si="872"/>
        <v>10</v>
      </c>
      <c r="DC61">
        <f t="shared" si="873"/>
        <v>10</v>
      </c>
      <c r="DD61">
        <f t="shared" si="874"/>
        <v>10</v>
      </c>
      <c r="DE61">
        <f t="shared" si="875"/>
        <v>10</v>
      </c>
      <c r="DF61">
        <f t="shared" si="876"/>
        <v>10</v>
      </c>
      <c r="DG61">
        <f t="shared" si="877"/>
        <v>10</v>
      </c>
      <c r="DH61">
        <f t="shared" si="878"/>
        <v>10</v>
      </c>
      <c r="DI61">
        <f t="shared" si="879"/>
        <v>10</v>
      </c>
      <c r="DJ61">
        <f t="shared" si="880"/>
        <v>10</v>
      </c>
      <c r="DK61">
        <f t="shared" si="881"/>
        <v>10</v>
      </c>
      <c r="DL61">
        <f t="shared" si="882"/>
        <v>10</v>
      </c>
      <c r="DM61">
        <f t="shared" si="883"/>
        <v>10</v>
      </c>
      <c r="DN61">
        <f t="shared" si="884"/>
        <v>10</v>
      </c>
      <c r="DO61">
        <f t="shared" si="885"/>
        <v>10</v>
      </c>
      <c r="DP61">
        <f t="shared" si="886"/>
        <v>10</v>
      </c>
      <c r="DQ61">
        <f t="shared" si="887"/>
        <v>10</v>
      </c>
      <c r="DR61">
        <f t="shared" si="888"/>
        <v>10</v>
      </c>
      <c r="DS61">
        <f t="shared" si="889"/>
        <v>10</v>
      </c>
      <c r="DT61">
        <f t="shared" si="890"/>
        <v>10</v>
      </c>
      <c r="DU61">
        <f t="shared" si="891"/>
        <v>10</v>
      </c>
      <c r="DV61">
        <f t="shared" si="892"/>
        <v>10</v>
      </c>
      <c r="DW61">
        <f t="shared" si="893"/>
        <v>10</v>
      </c>
      <c r="DX61">
        <f t="shared" si="894"/>
        <v>10</v>
      </c>
      <c r="DY61">
        <f t="shared" si="895"/>
        <v>10</v>
      </c>
      <c r="DZ61">
        <f t="shared" si="896"/>
        <v>10</v>
      </c>
      <c r="EA61">
        <f t="shared" si="897"/>
        <v>10</v>
      </c>
      <c r="EB61">
        <f t="shared" si="898"/>
        <v>10</v>
      </c>
      <c r="EC61">
        <f t="shared" si="899"/>
        <v>10</v>
      </c>
      <c r="ED61">
        <f t="shared" si="900"/>
        <v>10</v>
      </c>
      <c r="EE61">
        <f t="shared" si="901"/>
        <v>10</v>
      </c>
      <c r="EF61">
        <f t="shared" si="902"/>
        <v>10</v>
      </c>
      <c r="EG61">
        <f t="shared" si="903"/>
        <v>10</v>
      </c>
      <c r="EH61">
        <f t="shared" si="904"/>
        <v>10</v>
      </c>
      <c r="EI61">
        <f t="shared" si="905"/>
        <v>10</v>
      </c>
      <c r="EJ61">
        <f t="shared" si="906"/>
        <v>10</v>
      </c>
      <c r="EK61">
        <f t="shared" si="907"/>
        <v>10</v>
      </c>
      <c r="EL61">
        <f t="shared" si="908"/>
        <v>10</v>
      </c>
      <c r="EM61">
        <f t="shared" si="909"/>
        <v>10</v>
      </c>
      <c r="EN61">
        <f t="shared" si="910"/>
        <v>10</v>
      </c>
      <c r="EO61">
        <f t="shared" si="911"/>
        <v>10</v>
      </c>
      <c r="EP61">
        <f t="shared" si="912"/>
        <v>10</v>
      </c>
      <c r="EQ61">
        <f t="shared" si="913"/>
        <v>10</v>
      </c>
      <c r="ER61">
        <f t="shared" si="914"/>
        <v>10</v>
      </c>
      <c r="ES61">
        <f t="shared" si="915"/>
        <v>10</v>
      </c>
      <c r="ET61">
        <f t="shared" si="916"/>
        <v>10</v>
      </c>
      <c r="EU61">
        <f t="shared" si="917"/>
        <v>10</v>
      </c>
      <c r="EV61">
        <f t="shared" si="918"/>
        <v>10</v>
      </c>
      <c r="EW61">
        <f t="shared" si="919"/>
        <v>10</v>
      </c>
      <c r="EX61">
        <f t="shared" si="920"/>
        <v>10</v>
      </c>
      <c r="EY61">
        <f t="shared" si="921"/>
        <v>10</v>
      </c>
      <c r="EZ61">
        <f t="shared" si="922"/>
        <v>10</v>
      </c>
      <c r="FA61">
        <f t="shared" si="923"/>
        <v>10</v>
      </c>
      <c r="FB61">
        <f t="shared" si="924"/>
        <v>10</v>
      </c>
      <c r="FC61">
        <f t="shared" si="925"/>
        <v>10</v>
      </c>
      <c r="FD61">
        <f t="shared" si="926"/>
        <v>10</v>
      </c>
      <c r="FE61">
        <f t="shared" si="927"/>
        <v>10</v>
      </c>
      <c r="FF61">
        <f t="shared" si="928"/>
        <v>10</v>
      </c>
      <c r="FG61">
        <f t="shared" si="929"/>
        <v>10</v>
      </c>
      <c r="FH61">
        <f t="shared" si="930"/>
        <v>10</v>
      </c>
      <c r="FI61">
        <f t="shared" si="931"/>
        <v>10</v>
      </c>
      <c r="FJ61">
        <f t="shared" si="932"/>
        <v>10</v>
      </c>
      <c r="FK61">
        <f t="shared" si="933"/>
        <v>10</v>
      </c>
      <c r="FL61">
        <f t="shared" si="934"/>
        <v>10</v>
      </c>
      <c r="FM61">
        <f t="shared" si="935"/>
        <v>10</v>
      </c>
      <c r="FN61">
        <f t="shared" si="936"/>
        <v>10</v>
      </c>
      <c r="FO61">
        <f t="shared" si="937"/>
        <v>10</v>
      </c>
      <c r="FP61">
        <f t="shared" si="938"/>
        <v>10</v>
      </c>
      <c r="FQ61">
        <f t="shared" si="939"/>
        <v>10</v>
      </c>
      <c r="FR61">
        <f t="shared" si="940"/>
        <v>10</v>
      </c>
      <c r="FS61">
        <f t="shared" si="941"/>
        <v>10</v>
      </c>
      <c r="FT61">
        <f t="shared" si="942"/>
        <v>10</v>
      </c>
      <c r="FU61">
        <f t="shared" si="943"/>
        <v>10</v>
      </c>
      <c r="FV61">
        <f t="shared" si="944"/>
        <v>10</v>
      </c>
      <c r="FW61">
        <f t="shared" si="945"/>
        <v>10</v>
      </c>
      <c r="FX61">
        <f t="shared" si="946"/>
        <v>10</v>
      </c>
      <c r="FY61">
        <f t="shared" si="947"/>
        <v>10</v>
      </c>
      <c r="FZ61">
        <f t="shared" si="948"/>
        <v>10</v>
      </c>
      <c r="GA61">
        <f t="shared" si="949"/>
        <v>10</v>
      </c>
      <c r="GB61">
        <f t="shared" si="950"/>
        <v>10</v>
      </c>
      <c r="GC61">
        <f t="shared" si="951"/>
        <v>10</v>
      </c>
      <c r="GD61">
        <f t="shared" si="952"/>
        <v>10</v>
      </c>
      <c r="GE61">
        <f t="shared" si="953"/>
        <v>10</v>
      </c>
      <c r="GF61">
        <f t="shared" si="954"/>
        <v>10</v>
      </c>
      <c r="GG61">
        <f t="shared" si="955"/>
        <v>10</v>
      </c>
      <c r="GH61">
        <f t="shared" si="956"/>
        <v>10</v>
      </c>
      <c r="GI61">
        <f t="shared" si="957"/>
        <v>10</v>
      </c>
      <c r="GJ61">
        <f t="shared" si="958"/>
        <v>10</v>
      </c>
      <c r="GK61">
        <f t="shared" si="959"/>
        <v>10</v>
      </c>
      <c r="GL61">
        <f t="shared" si="960"/>
        <v>10</v>
      </c>
      <c r="GM61">
        <f t="shared" si="961"/>
        <v>10</v>
      </c>
      <c r="GN61">
        <f t="shared" si="962"/>
        <v>10</v>
      </c>
      <c r="GO61">
        <f t="shared" si="963"/>
        <v>10</v>
      </c>
      <c r="GP61">
        <f t="shared" si="964"/>
        <v>10</v>
      </c>
      <c r="GQ61">
        <f t="shared" si="965"/>
        <v>10</v>
      </c>
      <c r="GR61">
        <f t="shared" si="966"/>
        <v>10</v>
      </c>
      <c r="GS61">
        <f t="shared" si="967"/>
        <v>10</v>
      </c>
      <c r="GT61">
        <f t="shared" si="968"/>
        <v>10</v>
      </c>
      <c r="GU61">
        <f t="shared" si="969"/>
        <v>10</v>
      </c>
      <c r="GV61">
        <f t="shared" si="970"/>
        <v>10</v>
      </c>
      <c r="GW61">
        <f t="shared" si="971"/>
        <v>10</v>
      </c>
      <c r="GX61">
        <f t="shared" si="972"/>
        <v>10</v>
      </c>
      <c r="GY61">
        <f t="shared" si="973"/>
        <v>10</v>
      </c>
      <c r="GZ61">
        <f t="shared" si="974"/>
        <v>10</v>
      </c>
      <c r="HA61">
        <f t="shared" si="975"/>
        <v>10</v>
      </c>
      <c r="HB61">
        <f t="shared" si="976"/>
        <v>10</v>
      </c>
      <c r="HC61">
        <f t="shared" si="977"/>
        <v>10</v>
      </c>
      <c r="HD61">
        <f t="shared" si="978"/>
        <v>10</v>
      </c>
      <c r="HE61">
        <f t="shared" si="979"/>
        <v>10</v>
      </c>
      <c r="HF61">
        <f t="shared" si="980"/>
        <v>10</v>
      </c>
      <c r="HG61">
        <f t="shared" si="981"/>
        <v>10</v>
      </c>
      <c r="HH61">
        <f t="shared" si="982"/>
        <v>10</v>
      </c>
      <c r="HI61">
        <f t="shared" si="983"/>
        <v>10</v>
      </c>
      <c r="HJ61">
        <f t="shared" si="984"/>
        <v>10</v>
      </c>
      <c r="HK61">
        <f t="shared" si="985"/>
        <v>10</v>
      </c>
      <c r="HL61">
        <f t="shared" si="986"/>
        <v>10</v>
      </c>
      <c r="HM61">
        <f t="shared" si="987"/>
        <v>10</v>
      </c>
      <c r="HN61">
        <f t="shared" si="988"/>
        <v>10</v>
      </c>
      <c r="HO61">
        <f t="shared" si="989"/>
        <v>10</v>
      </c>
      <c r="HP61">
        <f t="shared" si="990"/>
        <v>10</v>
      </c>
      <c r="HQ61">
        <f t="shared" si="991"/>
        <v>10</v>
      </c>
      <c r="HR61">
        <f t="shared" si="992"/>
        <v>10</v>
      </c>
      <c r="HS61">
        <f t="shared" si="993"/>
        <v>10</v>
      </c>
      <c r="HT61">
        <f t="shared" si="994"/>
        <v>10</v>
      </c>
      <c r="HU61">
        <f t="shared" si="995"/>
        <v>10</v>
      </c>
      <c r="HV61">
        <f t="shared" si="996"/>
        <v>10</v>
      </c>
      <c r="HW61">
        <f t="shared" si="997"/>
        <v>10</v>
      </c>
      <c r="HX61">
        <f t="shared" si="998"/>
        <v>10</v>
      </c>
      <c r="HY61">
        <f t="shared" si="999"/>
        <v>10</v>
      </c>
      <c r="HZ61">
        <f t="shared" si="1000"/>
        <v>10</v>
      </c>
      <c r="IA61">
        <f t="shared" si="1001"/>
        <v>10</v>
      </c>
      <c r="IB61">
        <f t="shared" si="1002"/>
        <v>10</v>
      </c>
      <c r="IC61">
        <f t="shared" si="1003"/>
        <v>10</v>
      </c>
      <c r="ID61">
        <f t="shared" si="1004"/>
        <v>10</v>
      </c>
      <c r="IE61">
        <f t="shared" si="1005"/>
        <v>10</v>
      </c>
      <c r="IF61">
        <f t="shared" si="1006"/>
        <v>10</v>
      </c>
      <c r="IG61">
        <f t="shared" si="1007"/>
        <v>10</v>
      </c>
      <c r="IH61">
        <f t="shared" si="1008"/>
        <v>10</v>
      </c>
      <c r="II61">
        <f t="shared" si="1009"/>
        <v>10</v>
      </c>
      <c r="IJ61">
        <f t="shared" si="1010"/>
        <v>10</v>
      </c>
      <c r="IK61">
        <f t="shared" si="1011"/>
        <v>10</v>
      </c>
      <c r="IL61">
        <f t="shared" si="1012"/>
        <v>10</v>
      </c>
      <c r="IM61">
        <f t="shared" si="1013"/>
        <v>10</v>
      </c>
      <c r="IN61">
        <f t="shared" si="1014"/>
        <v>10</v>
      </c>
      <c r="IO61">
        <f t="shared" si="1015"/>
        <v>10</v>
      </c>
      <c r="IP61">
        <f t="shared" si="1016"/>
        <v>10</v>
      </c>
      <c r="IQ61">
        <f t="shared" si="1017"/>
        <v>10</v>
      </c>
      <c r="IR61">
        <f t="shared" si="1018"/>
        <v>10</v>
      </c>
      <c r="IS61">
        <f t="shared" si="1019"/>
        <v>10</v>
      </c>
      <c r="IT61">
        <f t="shared" si="1020"/>
        <v>10</v>
      </c>
      <c r="IU61">
        <f t="shared" si="1021"/>
        <v>10</v>
      </c>
      <c r="IV61">
        <f t="shared" si="1022"/>
        <v>10</v>
      </c>
    </row>
    <row r="62" spans="1:256" x14ac:dyDescent="0.2">
      <c r="A62" t="s">
        <v>533</v>
      </c>
      <c r="B62">
        <f t="shared" si="768"/>
        <v>10</v>
      </c>
      <c r="C62">
        <f t="shared" si="769"/>
        <v>10</v>
      </c>
      <c r="D62">
        <f t="shared" si="770"/>
        <v>10</v>
      </c>
      <c r="E62">
        <f t="shared" si="771"/>
        <v>10</v>
      </c>
      <c r="F62">
        <f t="shared" si="772"/>
        <v>10</v>
      </c>
      <c r="G62">
        <f t="shared" si="773"/>
        <v>10</v>
      </c>
      <c r="H62">
        <f t="shared" si="774"/>
        <v>10</v>
      </c>
      <c r="I62">
        <f t="shared" si="775"/>
        <v>10</v>
      </c>
      <c r="J62">
        <f t="shared" si="776"/>
        <v>10</v>
      </c>
      <c r="K62">
        <f t="shared" si="777"/>
        <v>10</v>
      </c>
      <c r="L62">
        <f t="shared" si="778"/>
        <v>10</v>
      </c>
      <c r="M62">
        <f t="shared" si="779"/>
        <v>10</v>
      </c>
      <c r="N62">
        <f t="shared" si="780"/>
        <v>10</v>
      </c>
      <c r="O62">
        <f t="shared" si="781"/>
        <v>10</v>
      </c>
      <c r="P62">
        <f t="shared" si="782"/>
        <v>10</v>
      </c>
      <c r="Q62">
        <f t="shared" si="783"/>
        <v>10</v>
      </c>
      <c r="R62">
        <f t="shared" si="784"/>
        <v>10</v>
      </c>
      <c r="S62">
        <f t="shared" si="785"/>
        <v>10</v>
      </c>
      <c r="T62">
        <f t="shared" si="786"/>
        <v>10</v>
      </c>
      <c r="U62">
        <f t="shared" si="787"/>
        <v>10</v>
      </c>
      <c r="V62">
        <f t="shared" si="788"/>
        <v>10</v>
      </c>
      <c r="W62">
        <f t="shared" si="789"/>
        <v>10</v>
      </c>
      <c r="X62">
        <f t="shared" si="790"/>
        <v>10</v>
      </c>
      <c r="Y62">
        <f t="shared" si="791"/>
        <v>10</v>
      </c>
      <c r="Z62">
        <f t="shared" si="792"/>
        <v>10</v>
      </c>
      <c r="AA62">
        <f t="shared" si="793"/>
        <v>10</v>
      </c>
      <c r="AB62">
        <f t="shared" si="794"/>
        <v>10</v>
      </c>
      <c r="AC62">
        <f t="shared" si="795"/>
        <v>10</v>
      </c>
      <c r="AD62">
        <f t="shared" si="796"/>
        <v>10</v>
      </c>
      <c r="AE62">
        <f t="shared" si="797"/>
        <v>10</v>
      </c>
      <c r="AF62">
        <f t="shared" si="798"/>
        <v>10</v>
      </c>
      <c r="AG62">
        <f t="shared" si="799"/>
        <v>10</v>
      </c>
      <c r="AH62">
        <f t="shared" si="800"/>
        <v>10</v>
      </c>
      <c r="AI62">
        <f t="shared" si="801"/>
        <v>10</v>
      </c>
      <c r="AJ62">
        <f t="shared" si="802"/>
        <v>10</v>
      </c>
      <c r="AK62">
        <f t="shared" si="803"/>
        <v>10</v>
      </c>
      <c r="AL62">
        <f t="shared" si="804"/>
        <v>10</v>
      </c>
      <c r="AM62">
        <f t="shared" si="805"/>
        <v>10</v>
      </c>
      <c r="AN62">
        <f t="shared" si="806"/>
        <v>10</v>
      </c>
      <c r="AO62">
        <f t="shared" si="807"/>
        <v>10</v>
      </c>
      <c r="AP62">
        <f t="shared" si="808"/>
        <v>10</v>
      </c>
      <c r="AQ62">
        <f t="shared" si="809"/>
        <v>10</v>
      </c>
      <c r="AR62">
        <f t="shared" si="810"/>
        <v>10</v>
      </c>
      <c r="AS62">
        <f t="shared" si="811"/>
        <v>10</v>
      </c>
      <c r="AT62">
        <f t="shared" si="812"/>
        <v>10</v>
      </c>
      <c r="AU62">
        <f t="shared" si="813"/>
        <v>10</v>
      </c>
      <c r="AV62">
        <f t="shared" si="814"/>
        <v>10</v>
      </c>
      <c r="AW62">
        <f t="shared" si="815"/>
        <v>10</v>
      </c>
      <c r="AX62">
        <f t="shared" si="816"/>
        <v>10</v>
      </c>
      <c r="AY62">
        <f t="shared" si="817"/>
        <v>10</v>
      </c>
      <c r="AZ62">
        <f t="shared" si="818"/>
        <v>10</v>
      </c>
      <c r="BA62">
        <f t="shared" si="819"/>
        <v>10</v>
      </c>
      <c r="BB62">
        <f t="shared" si="820"/>
        <v>10</v>
      </c>
      <c r="BC62">
        <f t="shared" si="821"/>
        <v>10</v>
      </c>
      <c r="BD62">
        <f t="shared" si="822"/>
        <v>10</v>
      </c>
      <c r="BE62">
        <f t="shared" si="823"/>
        <v>10</v>
      </c>
      <c r="BF62">
        <f t="shared" si="824"/>
        <v>10</v>
      </c>
      <c r="BG62">
        <f t="shared" si="825"/>
        <v>10</v>
      </c>
      <c r="BH62">
        <f t="shared" si="826"/>
        <v>10</v>
      </c>
      <c r="BI62">
        <f t="shared" si="827"/>
        <v>10</v>
      </c>
      <c r="BJ62">
        <f t="shared" si="828"/>
        <v>10</v>
      </c>
      <c r="BK62">
        <f t="shared" si="829"/>
        <v>10</v>
      </c>
      <c r="BL62">
        <f t="shared" si="830"/>
        <v>10</v>
      </c>
      <c r="BM62">
        <f t="shared" si="831"/>
        <v>10</v>
      </c>
      <c r="BN62">
        <f t="shared" si="832"/>
        <v>10</v>
      </c>
      <c r="BO62">
        <f t="shared" si="833"/>
        <v>10</v>
      </c>
      <c r="BP62">
        <f t="shared" si="834"/>
        <v>10</v>
      </c>
      <c r="BQ62">
        <f t="shared" si="835"/>
        <v>10</v>
      </c>
      <c r="BR62">
        <f t="shared" si="836"/>
        <v>10</v>
      </c>
      <c r="BS62">
        <f t="shared" si="837"/>
        <v>10</v>
      </c>
      <c r="BT62">
        <f t="shared" si="838"/>
        <v>10</v>
      </c>
      <c r="BU62">
        <f t="shared" si="839"/>
        <v>10</v>
      </c>
      <c r="BV62">
        <f t="shared" si="840"/>
        <v>10</v>
      </c>
      <c r="BW62">
        <f t="shared" si="841"/>
        <v>10</v>
      </c>
      <c r="BX62">
        <f t="shared" si="842"/>
        <v>10</v>
      </c>
      <c r="BY62">
        <f t="shared" si="843"/>
        <v>10</v>
      </c>
      <c r="BZ62">
        <f t="shared" si="844"/>
        <v>10</v>
      </c>
      <c r="CA62">
        <f t="shared" si="845"/>
        <v>10</v>
      </c>
      <c r="CB62">
        <f t="shared" si="846"/>
        <v>10</v>
      </c>
      <c r="CC62">
        <f t="shared" si="847"/>
        <v>10</v>
      </c>
      <c r="CD62">
        <f t="shared" si="848"/>
        <v>10</v>
      </c>
      <c r="CE62">
        <f t="shared" si="849"/>
        <v>10</v>
      </c>
      <c r="CF62">
        <f t="shared" si="850"/>
        <v>10</v>
      </c>
      <c r="CG62">
        <f t="shared" si="851"/>
        <v>10</v>
      </c>
      <c r="CH62">
        <f t="shared" si="852"/>
        <v>10</v>
      </c>
      <c r="CI62">
        <f t="shared" si="853"/>
        <v>10</v>
      </c>
      <c r="CJ62">
        <f t="shared" si="854"/>
        <v>10</v>
      </c>
      <c r="CK62">
        <f t="shared" si="855"/>
        <v>10</v>
      </c>
      <c r="CL62">
        <f t="shared" si="856"/>
        <v>10</v>
      </c>
      <c r="CM62">
        <f t="shared" si="857"/>
        <v>10</v>
      </c>
      <c r="CN62">
        <f t="shared" si="858"/>
        <v>10</v>
      </c>
      <c r="CO62">
        <f t="shared" si="859"/>
        <v>10</v>
      </c>
      <c r="CP62">
        <f t="shared" si="860"/>
        <v>10</v>
      </c>
      <c r="CQ62">
        <f t="shared" si="861"/>
        <v>10</v>
      </c>
      <c r="CR62">
        <f t="shared" si="862"/>
        <v>10</v>
      </c>
      <c r="CS62">
        <f t="shared" si="863"/>
        <v>10</v>
      </c>
      <c r="CT62">
        <f t="shared" si="864"/>
        <v>10</v>
      </c>
      <c r="CU62">
        <f t="shared" si="865"/>
        <v>10</v>
      </c>
      <c r="CV62">
        <f t="shared" si="866"/>
        <v>10</v>
      </c>
      <c r="CW62">
        <f t="shared" si="867"/>
        <v>10</v>
      </c>
      <c r="CX62">
        <f t="shared" si="868"/>
        <v>10</v>
      </c>
      <c r="CY62">
        <f t="shared" si="869"/>
        <v>10</v>
      </c>
      <c r="CZ62">
        <f t="shared" si="870"/>
        <v>10</v>
      </c>
      <c r="DA62">
        <f t="shared" si="871"/>
        <v>10</v>
      </c>
      <c r="DB62">
        <f t="shared" si="872"/>
        <v>10</v>
      </c>
      <c r="DC62">
        <f t="shared" si="873"/>
        <v>10</v>
      </c>
      <c r="DD62">
        <f t="shared" si="874"/>
        <v>10</v>
      </c>
      <c r="DE62">
        <f t="shared" si="875"/>
        <v>10</v>
      </c>
      <c r="DF62">
        <f t="shared" si="876"/>
        <v>10</v>
      </c>
      <c r="DG62">
        <f t="shared" si="877"/>
        <v>10</v>
      </c>
      <c r="DH62">
        <f t="shared" si="878"/>
        <v>10</v>
      </c>
      <c r="DI62">
        <f t="shared" si="879"/>
        <v>10</v>
      </c>
      <c r="DJ62">
        <f t="shared" si="880"/>
        <v>10</v>
      </c>
      <c r="DK62">
        <f t="shared" si="881"/>
        <v>10</v>
      </c>
      <c r="DL62">
        <f t="shared" si="882"/>
        <v>10</v>
      </c>
      <c r="DM62">
        <f t="shared" si="883"/>
        <v>10</v>
      </c>
      <c r="DN62">
        <f t="shared" si="884"/>
        <v>10</v>
      </c>
      <c r="DO62">
        <f t="shared" si="885"/>
        <v>10</v>
      </c>
      <c r="DP62">
        <f t="shared" si="886"/>
        <v>10</v>
      </c>
      <c r="DQ62">
        <f t="shared" si="887"/>
        <v>10</v>
      </c>
      <c r="DR62">
        <f t="shared" si="888"/>
        <v>10</v>
      </c>
      <c r="DS62">
        <f t="shared" si="889"/>
        <v>10</v>
      </c>
      <c r="DT62">
        <f t="shared" si="890"/>
        <v>10</v>
      </c>
      <c r="DU62">
        <f t="shared" si="891"/>
        <v>10</v>
      </c>
      <c r="DV62">
        <f t="shared" si="892"/>
        <v>10</v>
      </c>
      <c r="DW62">
        <f t="shared" si="893"/>
        <v>10</v>
      </c>
      <c r="DX62">
        <f t="shared" si="894"/>
        <v>10</v>
      </c>
      <c r="DY62">
        <f t="shared" si="895"/>
        <v>10</v>
      </c>
      <c r="DZ62">
        <f t="shared" si="896"/>
        <v>10</v>
      </c>
      <c r="EA62">
        <f t="shared" si="897"/>
        <v>10</v>
      </c>
      <c r="EB62">
        <f t="shared" si="898"/>
        <v>10</v>
      </c>
      <c r="EC62">
        <f t="shared" si="899"/>
        <v>10</v>
      </c>
      <c r="ED62">
        <f t="shared" si="900"/>
        <v>10</v>
      </c>
      <c r="EE62">
        <f t="shared" si="901"/>
        <v>10</v>
      </c>
      <c r="EF62">
        <f t="shared" si="902"/>
        <v>10</v>
      </c>
      <c r="EG62">
        <f t="shared" si="903"/>
        <v>10</v>
      </c>
      <c r="EH62">
        <f t="shared" si="904"/>
        <v>10</v>
      </c>
      <c r="EI62">
        <f t="shared" si="905"/>
        <v>10</v>
      </c>
      <c r="EJ62">
        <f t="shared" si="906"/>
        <v>10</v>
      </c>
      <c r="EK62">
        <f t="shared" si="907"/>
        <v>10</v>
      </c>
      <c r="EL62">
        <f t="shared" si="908"/>
        <v>10</v>
      </c>
      <c r="EM62">
        <f t="shared" si="909"/>
        <v>10</v>
      </c>
      <c r="EN62">
        <f t="shared" si="910"/>
        <v>10</v>
      </c>
      <c r="EO62">
        <f t="shared" si="911"/>
        <v>10</v>
      </c>
      <c r="EP62">
        <f t="shared" si="912"/>
        <v>10</v>
      </c>
      <c r="EQ62">
        <f t="shared" si="913"/>
        <v>10</v>
      </c>
      <c r="ER62">
        <f t="shared" si="914"/>
        <v>10</v>
      </c>
      <c r="ES62">
        <f t="shared" si="915"/>
        <v>10</v>
      </c>
      <c r="ET62">
        <f t="shared" si="916"/>
        <v>10</v>
      </c>
      <c r="EU62">
        <f t="shared" si="917"/>
        <v>10</v>
      </c>
      <c r="EV62">
        <f t="shared" si="918"/>
        <v>10</v>
      </c>
      <c r="EW62">
        <f t="shared" si="919"/>
        <v>10</v>
      </c>
      <c r="EX62">
        <f t="shared" si="920"/>
        <v>10</v>
      </c>
      <c r="EY62">
        <f t="shared" si="921"/>
        <v>10</v>
      </c>
      <c r="EZ62">
        <f t="shared" si="922"/>
        <v>10</v>
      </c>
      <c r="FA62">
        <f t="shared" si="923"/>
        <v>10</v>
      </c>
      <c r="FB62">
        <f t="shared" si="924"/>
        <v>10</v>
      </c>
      <c r="FC62">
        <f t="shared" si="925"/>
        <v>10</v>
      </c>
      <c r="FD62">
        <f t="shared" si="926"/>
        <v>10</v>
      </c>
      <c r="FE62">
        <f t="shared" si="927"/>
        <v>10</v>
      </c>
      <c r="FF62">
        <f t="shared" si="928"/>
        <v>10</v>
      </c>
      <c r="FG62">
        <f t="shared" si="929"/>
        <v>10</v>
      </c>
      <c r="FH62">
        <f t="shared" si="930"/>
        <v>10</v>
      </c>
      <c r="FI62">
        <f t="shared" si="931"/>
        <v>10</v>
      </c>
      <c r="FJ62">
        <f t="shared" si="932"/>
        <v>10</v>
      </c>
      <c r="FK62">
        <f t="shared" si="933"/>
        <v>10</v>
      </c>
      <c r="FL62">
        <f t="shared" si="934"/>
        <v>10</v>
      </c>
      <c r="FM62">
        <f t="shared" si="935"/>
        <v>10</v>
      </c>
      <c r="FN62">
        <f t="shared" si="936"/>
        <v>10</v>
      </c>
      <c r="FO62">
        <f t="shared" si="937"/>
        <v>10</v>
      </c>
      <c r="FP62">
        <f t="shared" si="938"/>
        <v>10</v>
      </c>
      <c r="FQ62">
        <f t="shared" si="939"/>
        <v>10</v>
      </c>
      <c r="FR62">
        <f t="shared" si="940"/>
        <v>10</v>
      </c>
      <c r="FS62">
        <f t="shared" si="941"/>
        <v>10</v>
      </c>
      <c r="FT62">
        <f t="shared" si="942"/>
        <v>10</v>
      </c>
      <c r="FU62">
        <f t="shared" si="943"/>
        <v>10</v>
      </c>
      <c r="FV62">
        <f t="shared" si="944"/>
        <v>10</v>
      </c>
      <c r="FW62">
        <f t="shared" si="945"/>
        <v>10</v>
      </c>
      <c r="FX62">
        <f t="shared" si="946"/>
        <v>10</v>
      </c>
      <c r="FY62">
        <f t="shared" si="947"/>
        <v>10</v>
      </c>
      <c r="FZ62">
        <f t="shared" si="948"/>
        <v>10</v>
      </c>
      <c r="GA62">
        <f t="shared" si="949"/>
        <v>10</v>
      </c>
      <c r="GB62">
        <f t="shared" si="950"/>
        <v>10</v>
      </c>
      <c r="GC62">
        <f t="shared" si="951"/>
        <v>10</v>
      </c>
      <c r="GD62">
        <f t="shared" si="952"/>
        <v>10</v>
      </c>
      <c r="GE62">
        <f t="shared" si="953"/>
        <v>10</v>
      </c>
      <c r="GF62">
        <f t="shared" si="954"/>
        <v>10</v>
      </c>
      <c r="GG62">
        <f t="shared" si="955"/>
        <v>10</v>
      </c>
      <c r="GH62">
        <f t="shared" si="956"/>
        <v>10</v>
      </c>
      <c r="GI62">
        <f t="shared" si="957"/>
        <v>10</v>
      </c>
      <c r="GJ62">
        <f t="shared" si="958"/>
        <v>10</v>
      </c>
      <c r="GK62">
        <f t="shared" si="959"/>
        <v>10</v>
      </c>
      <c r="GL62">
        <f t="shared" si="960"/>
        <v>10</v>
      </c>
      <c r="GM62">
        <f t="shared" si="961"/>
        <v>10</v>
      </c>
      <c r="GN62">
        <f t="shared" si="962"/>
        <v>10</v>
      </c>
      <c r="GO62">
        <f t="shared" si="963"/>
        <v>10</v>
      </c>
      <c r="GP62">
        <f t="shared" si="964"/>
        <v>10</v>
      </c>
      <c r="GQ62">
        <f t="shared" si="965"/>
        <v>10</v>
      </c>
      <c r="GR62">
        <f t="shared" si="966"/>
        <v>10</v>
      </c>
      <c r="GS62">
        <f t="shared" si="967"/>
        <v>10</v>
      </c>
      <c r="GT62">
        <f t="shared" si="968"/>
        <v>10</v>
      </c>
      <c r="GU62">
        <f t="shared" si="969"/>
        <v>10</v>
      </c>
      <c r="GV62">
        <f t="shared" si="970"/>
        <v>10</v>
      </c>
      <c r="GW62">
        <f t="shared" si="971"/>
        <v>10</v>
      </c>
      <c r="GX62">
        <f t="shared" si="972"/>
        <v>10</v>
      </c>
      <c r="GY62">
        <f t="shared" si="973"/>
        <v>10</v>
      </c>
      <c r="GZ62">
        <f t="shared" si="974"/>
        <v>10</v>
      </c>
      <c r="HA62">
        <f t="shared" si="975"/>
        <v>10</v>
      </c>
      <c r="HB62">
        <f t="shared" si="976"/>
        <v>10</v>
      </c>
      <c r="HC62">
        <f t="shared" si="977"/>
        <v>10</v>
      </c>
      <c r="HD62">
        <f t="shared" si="978"/>
        <v>10</v>
      </c>
      <c r="HE62">
        <f t="shared" si="979"/>
        <v>10</v>
      </c>
      <c r="HF62">
        <f t="shared" si="980"/>
        <v>10</v>
      </c>
      <c r="HG62">
        <f t="shared" si="981"/>
        <v>10</v>
      </c>
      <c r="HH62">
        <f t="shared" si="982"/>
        <v>10</v>
      </c>
      <c r="HI62">
        <f t="shared" si="983"/>
        <v>10</v>
      </c>
      <c r="HJ62">
        <f t="shared" si="984"/>
        <v>10</v>
      </c>
      <c r="HK62">
        <f t="shared" si="985"/>
        <v>10</v>
      </c>
      <c r="HL62">
        <f t="shared" si="986"/>
        <v>10</v>
      </c>
      <c r="HM62">
        <f t="shared" si="987"/>
        <v>10</v>
      </c>
      <c r="HN62">
        <f t="shared" si="988"/>
        <v>10</v>
      </c>
      <c r="HO62">
        <f t="shared" si="989"/>
        <v>10</v>
      </c>
      <c r="HP62">
        <f t="shared" si="990"/>
        <v>10</v>
      </c>
      <c r="HQ62">
        <f t="shared" si="991"/>
        <v>10</v>
      </c>
      <c r="HR62">
        <f t="shared" si="992"/>
        <v>10</v>
      </c>
      <c r="HS62">
        <f t="shared" si="993"/>
        <v>10</v>
      </c>
      <c r="HT62">
        <f t="shared" si="994"/>
        <v>10</v>
      </c>
      <c r="HU62">
        <f t="shared" si="995"/>
        <v>10</v>
      </c>
      <c r="HV62">
        <f t="shared" si="996"/>
        <v>10</v>
      </c>
      <c r="HW62">
        <f t="shared" si="997"/>
        <v>10</v>
      </c>
      <c r="HX62">
        <f t="shared" si="998"/>
        <v>10</v>
      </c>
      <c r="HY62">
        <f t="shared" si="999"/>
        <v>10</v>
      </c>
      <c r="HZ62">
        <f t="shared" si="1000"/>
        <v>10</v>
      </c>
      <c r="IA62">
        <f t="shared" si="1001"/>
        <v>10</v>
      </c>
      <c r="IB62">
        <f t="shared" si="1002"/>
        <v>10</v>
      </c>
      <c r="IC62">
        <f t="shared" si="1003"/>
        <v>10</v>
      </c>
      <c r="ID62">
        <f t="shared" si="1004"/>
        <v>10</v>
      </c>
      <c r="IE62">
        <f t="shared" si="1005"/>
        <v>10</v>
      </c>
      <c r="IF62">
        <f t="shared" si="1006"/>
        <v>10</v>
      </c>
      <c r="IG62">
        <f t="shared" si="1007"/>
        <v>10</v>
      </c>
      <c r="IH62">
        <f t="shared" si="1008"/>
        <v>10</v>
      </c>
      <c r="II62">
        <f t="shared" si="1009"/>
        <v>10</v>
      </c>
      <c r="IJ62">
        <f t="shared" si="1010"/>
        <v>10</v>
      </c>
      <c r="IK62">
        <f t="shared" si="1011"/>
        <v>10</v>
      </c>
      <c r="IL62">
        <f t="shared" si="1012"/>
        <v>10</v>
      </c>
      <c r="IM62">
        <f t="shared" si="1013"/>
        <v>10</v>
      </c>
      <c r="IN62">
        <f t="shared" si="1014"/>
        <v>10</v>
      </c>
      <c r="IO62">
        <f t="shared" si="1015"/>
        <v>10</v>
      </c>
      <c r="IP62">
        <f t="shared" si="1016"/>
        <v>10</v>
      </c>
      <c r="IQ62">
        <f t="shared" si="1017"/>
        <v>10</v>
      </c>
      <c r="IR62">
        <f t="shared" si="1018"/>
        <v>10</v>
      </c>
      <c r="IS62">
        <f t="shared" si="1019"/>
        <v>10</v>
      </c>
      <c r="IT62">
        <f t="shared" si="1020"/>
        <v>10</v>
      </c>
      <c r="IU62">
        <f t="shared" si="1021"/>
        <v>10</v>
      </c>
      <c r="IV62">
        <f t="shared" si="1022"/>
        <v>10</v>
      </c>
    </row>
    <row r="63" spans="1:256" x14ac:dyDescent="0.2">
      <c r="A63" t="s">
        <v>534</v>
      </c>
      <c r="B63">
        <f t="shared" si="768"/>
        <v>10</v>
      </c>
      <c r="C63">
        <f t="shared" si="769"/>
        <v>10</v>
      </c>
      <c r="D63">
        <f t="shared" si="770"/>
        <v>10</v>
      </c>
      <c r="E63">
        <f t="shared" si="771"/>
        <v>10</v>
      </c>
      <c r="F63">
        <f t="shared" si="772"/>
        <v>10</v>
      </c>
      <c r="G63">
        <f t="shared" si="773"/>
        <v>10</v>
      </c>
      <c r="H63">
        <f t="shared" si="774"/>
        <v>10</v>
      </c>
      <c r="I63">
        <f t="shared" si="775"/>
        <v>10</v>
      </c>
      <c r="J63">
        <f t="shared" si="776"/>
        <v>10</v>
      </c>
      <c r="K63">
        <f t="shared" si="777"/>
        <v>10</v>
      </c>
      <c r="L63">
        <f t="shared" si="778"/>
        <v>10</v>
      </c>
      <c r="M63">
        <f t="shared" si="779"/>
        <v>10</v>
      </c>
      <c r="N63">
        <f t="shared" si="780"/>
        <v>10</v>
      </c>
      <c r="O63">
        <f t="shared" si="781"/>
        <v>10</v>
      </c>
      <c r="P63">
        <f t="shared" si="782"/>
        <v>10</v>
      </c>
      <c r="Q63">
        <f t="shared" si="783"/>
        <v>10</v>
      </c>
      <c r="R63">
        <f t="shared" si="784"/>
        <v>10</v>
      </c>
      <c r="S63">
        <f t="shared" si="785"/>
        <v>10</v>
      </c>
      <c r="T63">
        <f t="shared" si="786"/>
        <v>10</v>
      </c>
      <c r="U63">
        <f t="shared" si="787"/>
        <v>10</v>
      </c>
      <c r="V63">
        <f t="shared" si="788"/>
        <v>10</v>
      </c>
      <c r="W63">
        <f t="shared" si="789"/>
        <v>10</v>
      </c>
      <c r="X63">
        <f t="shared" si="790"/>
        <v>10</v>
      </c>
      <c r="Y63">
        <f t="shared" si="791"/>
        <v>10</v>
      </c>
      <c r="Z63">
        <f t="shared" si="792"/>
        <v>10</v>
      </c>
      <c r="AA63">
        <f t="shared" si="793"/>
        <v>10</v>
      </c>
      <c r="AB63">
        <f t="shared" si="794"/>
        <v>10</v>
      </c>
      <c r="AC63">
        <f t="shared" si="795"/>
        <v>10</v>
      </c>
      <c r="AD63">
        <f t="shared" si="796"/>
        <v>10</v>
      </c>
      <c r="AE63">
        <f t="shared" si="797"/>
        <v>10</v>
      </c>
      <c r="AF63">
        <f t="shared" si="798"/>
        <v>10</v>
      </c>
      <c r="AG63">
        <f t="shared" si="799"/>
        <v>10</v>
      </c>
      <c r="AH63">
        <f t="shared" si="800"/>
        <v>10</v>
      </c>
      <c r="AI63">
        <f t="shared" si="801"/>
        <v>10</v>
      </c>
      <c r="AJ63">
        <f t="shared" si="802"/>
        <v>10</v>
      </c>
      <c r="AK63">
        <f t="shared" si="803"/>
        <v>10</v>
      </c>
      <c r="AL63">
        <f t="shared" si="804"/>
        <v>10</v>
      </c>
      <c r="AM63">
        <f t="shared" si="805"/>
        <v>10</v>
      </c>
      <c r="AN63">
        <f t="shared" si="806"/>
        <v>10</v>
      </c>
      <c r="AO63">
        <f t="shared" si="807"/>
        <v>10</v>
      </c>
      <c r="AP63">
        <f t="shared" si="808"/>
        <v>10</v>
      </c>
      <c r="AQ63">
        <f t="shared" si="809"/>
        <v>10</v>
      </c>
      <c r="AR63">
        <f t="shared" si="810"/>
        <v>10</v>
      </c>
      <c r="AS63">
        <f t="shared" si="811"/>
        <v>10</v>
      </c>
      <c r="AT63">
        <f t="shared" si="812"/>
        <v>10</v>
      </c>
      <c r="AU63">
        <f t="shared" si="813"/>
        <v>10</v>
      </c>
      <c r="AV63">
        <f t="shared" si="814"/>
        <v>10</v>
      </c>
      <c r="AW63">
        <f t="shared" si="815"/>
        <v>10</v>
      </c>
      <c r="AX63">
        <f t="shared" si="816"/>
        <v>10</v>
      </c>
      <c r="AY63">
        <f t="shared" si="817"/>
        <v>10</v>
      </c>
      <c r="AZ63">
        <f t="shared" si="818"/>
        <v>10</v>
      </c>
      <c r="BA63">
        <f t="shared" si="819"/>
        <v>10</v>
      </c>
      <c r="BB63">
        <f t="shared" si="820"/>
        <v>10</v>
      </c>
      <c r="BC63">
        <f t="shared" si="821"/>
        <v>10</v>
      </c>
      <c r="BD63">
        <f t="shared" si="822"/>
        <v>10</v>
      </c>
      <c r="BE63">
        <f t="shared" si="823"/>
        <v>10</v>
      </c>
      <c r="BF63">
        <f t="shared" si="824"/>
        <v>10</v>
      </c>
      <c r="BG63">
        <f t="shared" si="825"/>
        <v>10</v>
      </c>
      <c r="BH63">
        <f t="shared" si="826"/>
        <v>10</v>
      </c>
      <c r="BI63">
        <f t="shared" si="827"/>
        <v>10</v>
      </c>
      <c r="BJ63">
        <f t="shared" si="828"/>
        <v>10</v>
      </c>
      <c r="BK63">
        <f t="shared" si="829"/>
        <v>10</v>
      </c>
      <c r="BL63">
        <f t="shared" si="830"/>
        <v>10</v>
      </c>
      <c r="BM63">
        <f t="shared" si="831"/>
        <v>10</v>
      </c>
      <c r="BN63">
        <f t="shared" si="832"/>
        <v>10</v>
      </c>
      <c r="BO63">
        <f t="shared" si="833"/>
        <v>10</v>
      </c>
      <c r="BP63">
        <f t="shared" si="834"/>
        <v>10</v>
      </c>
      <c r="BQ63">
        <f t="shared" si="835"/>
        <v>10</v>
      </c>
      <c r="BR63">
        <f t="shared" si="836"/>
        <v>10</v>
      </c>
      <c r="BS63">
        <f t="shared" si="837"/>
        <v>10</v>
      </c>
      <c r="BT63">
        <f t="shared" si="838"/>
        <v>10</v>
      </c>
      <c r="BU63">
        <f t="shared" si="839"/>
        <v>10</v>
      </c>
      <c r="BV63">
        <f t="shared" si="840"/>
        <v>10</v>
      </c>
      <c r="BW63">
        <f t="shared" si="841"/>
        <v>10</v>
      </c>
      <c r="BX63">
        <f t="shared" si="842"/>
        <v>10</v>
      </c>
      <c r="BY63">
        <f t="shared" si="843"/>
        <v>10</v>
      </c>
      <c r="BZ63">
        <f t="shared" si="844"/>
        <v>10</v>
      </c>
      <c r="CA63">
        <f t="shared" si="845"/>
        <v>10</v>
      </c>
      <c r="CB63">
        <f t="shared" si="846"/>
        <v>10</v>
      </c>
      <c r="CC63">
        <f t="shared" si="847"/>
        <v>10</v>
      </c>
      <c r="CD63">
        <f t="shared" si="848"/>
        <v>10</v>
      </c>
      <c r="CE63">
        <f t="shared" si="849"/>
        <v>10</v>
      </c>
      <c r="CF63">
        <f t="shared" si="850"/>
        <v>10</v>
      </c>
      <c r="CG63">
        <f t="shared" si="851"/>
        <v>10</v>
      </c>
      <c r="CH63">
        <f t="shared" si="852"/>
        <v>10</v>
      </c>
      <c r="CI63">
        <f t="shared" si="853"/>
        <v>10</v>
      </c>
      <c r="CJ63">
        <f t="shared" si="854"/>
        <v>10</v>
      </c>
      <c r="CK63">
        <f t="shared" si="855"/>
        <v>10</v>
      </c>
      <c r="CL63">
        <f t="shared" si="856"/>
        <v>10</v>
      </c>
      <c r="CM63">
        <f t="shared" si="857"/>
        <v>10</v>
      </c>
      <c r="CN63">
        <f t="shared" si="858"/>
        <v>10</v>
      </c>
      <c r="CO63">
        <f t="shared" si="859"/>
        <v>10</v>
      </c>
      <c r="CP63">
        <f t="shared" si="860"/>
        <v>10</v>
      </c>
      <c r="CQ63">
        <f t="shared" si="861"/>
        <v>10</v>
      </c>
      <c r="CR63">
        <f t="shared" si="862"/>
        <v>10</v>
      </c>
      <c r="CS63">
        <f t="shared" si="863"/>
        <v>10</v>
      </c>
      <c r="CT63">
        <f t="shared" si="864"/>
        <v>10</v>
      </c>
      <c r="CU63">
        <f t="shared" si="865"/>
        <v>10</v>
      </c>
      <c r="CV63">
        <f t="shared" si="866"/>
        <v>10</v>
      </c>
      <c r="CW63">
        <f t="shared" si="867"/>
        <v>10</v>
      </c>
      <c r="CX63">
        <f t="shared" si="868"/>
        <v>10</v>
      </c>
      <c r="CY63">
        <f t="shared" si="869"/>
        <v>10</v>
      </c>
      <c r="CZ63">
        <f t="shared" si="870"/>
        <v>10</v>
      </c>
      <c r="DA63">
        <f t="shared" si="871"/>
        <v>10</v>
      </c>
      <c r="DB63">
        <f t="shared" si="872"/>
        <v>10</v>
      </c>
      <c r="DC63">
        <f t="shared" si="873"/>
        <v>10</v>
      </c>
      <c r="DD63">
        <f t="shared" si="874"/>
        <v>10</v>
      </c>
      <c r="DE63">
        <f t="shared" si="875"/>
        <v>10</v>
      </c>
      <c r="DF63">
        <f t="shared" si="876"/>
        <v>10</v>
      </c>
      <c r="DG63">
        <f t="shared" si="877"/>
        <v>10</v>
      </c>
      <c r="DH63">
        <f t="shared" si="878"/>
        <v>10</v>
      </c>
      <c r="DI63">
        <f t="shared" si="879"/>
        <v>10</v>
      </c>
      <c r="DJ63">
        <f t="shared" si="880"/>
        <v>10</v>
      </c>
      <c r="DK63">
        <f t="shared" si="881"/>
        <v>10</v>
      </c>
      <c r="DL63">
        <f t="shared" si="882"/>
        <v>10</v>
      </c>
      <c r="DM63">
        <f t="shared" si="883"/>
        <v>10</v>
      </c>
      <c r="DN63">
        <f t="shared" si="884"/>
        <v>10</v>
      </c>
      <c r="DO63">
        <f t="shared" si="885"/>
        <v>10</v>
      </c>
      <c r="DP63">
        <f t="shared" si="886"/>
        <v>10</v>
      </c>
      <c r="DQ63">
        <f t="shared" si="887"/>
        <v>10</v>
      </c>
      <c r="DR63">
        <f t="shared" si="888"/>
        <v>10</v>
      </c>
      <c r="DS63">
        <f t="shared" si="889"/>
        <v>10</v>
      </c>
      <c r="DT63">
        <f t="shared" si="890"/>
        <v>10</v>
      </c>
      <c r="DU63">
        <f t="shared" si="891"/>
        <v>10</v>
      </c>
      <c r="DV63">
        <f t="shared" si="892"/>
        <v>10</v>
      </c>
      <c r="DW63">
        <f t="shared" si="893"/>
        <v>10</v>
      </c>
      <c r="DX63">
        <f t="shared" si="894"/>
        <v>10</v>
      </c>
      <c r="DY63">
        <f t="shared" si="895"/>
        <v>10</v>
      </c>
      <c r="DZ63">
        <f t="shared" si="896"/>
        <v>10</v>
      </c>
      <c r="EA63">
        <f t="shared" si="897"/>
        <v>10</v>
      </c>
      <c r="EB63">
        <f t="shared" si="898"/>
        <v>10</v>
      </c>
      <c r="EC63">
        <f t="shared" si="899"/>
        <v>10</v>
      </c>
      <c r="ED63">
        <f t="shared" si="900"/>
        <v>10</v>
      </c>
      <c r="EE63">
        <f t="shared" si="901"/>
        <v>10</v>
      </c>
      <c r="EF63">
        <f t="shared" si="902"/>
        <v>10</v>
      </c>
      <c r="EG63">
        <f t="shared" si="903"/>
        <v>10</v>
      </c>
      <c r="EH63">
        <f t="shared" si="904"/>
        <v>10</v>
      </c>
      <c r="EI63">
        <f t="shared" si="905"/>
        <v>10</v>
      </c>
      <c r="EJ63">
        <f t="shared" si="906"/>
        <v>10</v>
      </c>
      <c r="EK63">
        <f t="shared" si="907"/>
        <v>10</v>
      </c>
      <c r="EL63">
        <f t="shared" si="908"/>
        <v>10</v>
      </c>
      <c r="EM63">
        <f t="shared" si="909"/>
        <v>10</v>
      </c>
      <c r="EN63">
        <f t="shared" si="910"/>
        <v>10</v>
      </c>
      <c r="EO63">
        <f t="shared" si="911"/>
        <v>10</v>
      </c>
      <c r="EP63">
        <f t="shared" si="912"/>
        <v>10</v>
      </c>
      <c r="EQ63">
        <f t="shared" si="913"/>
        <v>10</v>
      </c>
      <c r="ER63">
        <f t="shared" si="914"/>
        <v>10</v>
      </c>
      <c r="ES63">
        <f t="shared" si="915"/>
        <v>10</v>
      </c>
      <c r="ET63">
        <f t="shared" si="916"/>
        <v>10</v>
      </c>
      <c r="EU63">
        <f t="shared" si="917"/>
        <v>10</v>
      </c>
      <c r="EV63">
        <f t="shared" si="918"/>
        <v>10</v>
      </c>
      <c r="EW63">
        <f t="shared" si="919"/>
        <v>10</v>
      </c>
      <c r="EX63">
        <f t="shared" si="920"/>
        <v>10</v>
      </c>
      <c r="EY63">
        <f t="shared" si="921"/>
        <v>10</v>
      </c>
      <c r="EZ63">
        <f t="shared" si="922"/>
        <v>10</v>
      </c>
      <c r="FA63">
        <f t="shared" si="923"/>
        <v>10</v>
      </c>
      <c r="FB63">
        <f t="shared" si="924"/>
        <v>10</v>
      </c>
      <c r="FC63">
        <f t="shared" si="925"/>
        <v>10</v>
      </c>
      <c r="FD63">
        <f t="shared" si="926"/>
        <v>10</v>
      </c>
      <c r="FE63">
        <f t="shared" si="927"/>
        <v>10</v>
      </c>
      <c r="FF63">
        <f t="shared" si="928"/>
        <v>10</v>
      </c>
      <c r="FG63">
        <f t="shared" si="929"/>
        <v>10</v>
      </c>
      <c r="FH63">
        <f t="shared" si="930"/>
        <v>10</v>
      </c>
      <c r="FI63">
        <f t="shared" si="931"/>
        <v>10</v>
      </c>
      <c r="FJ63">
        <f t="shared" si="932"/>
        <v>10</v>
      </c>
      <c r="FK63">
        <f t="shared" si="933"/>
        <v>10</v>
      </c>
      <c r="FL63">
        <f t="shared" si="934"/>
        <v>10</v>
      </c>
      <c r="FM63">
        <f t="shared" si="935"/>
        <v>10</v>
      </c>
      <c r="FN63">
        <f t="shared" si="936"/>
        <v>10</v>
      </c>
      <c r="FO63">
        <f t="shared" si="937"/>
        <v>10</v>
      </c>
      <c r="FP63">
        <f t="shared" si="938"/>
        <v>10</v>
      </c>
      <c r="FQ63">
        <f t="shared" si="939"/>
        <v>10</v>
      </c>
      <c r="FR63">
        <f t="shared" si="940"/>
        <v>10</v>
      </c>
      <c r="FS63">
        <f t="shared" si="941"/>
        <v>10</v>
      </c>
      <c r="FT63">
        <f t="shared" si="942"/>
        <v>10</v>
      </c>
      <c r="FU63">
        <f t="shared" si="943"/>
        <v>10</v>
      </c>
      <c r="FV63">
        <f t="shared" si="944"/>
        <v>10</v>
      </c>
      <c r="FW63">
        <f t="shared" si="945"/>
        <v>10</v>
      </c>
      <c r="FX63">
        <f t="shared" si="946"/>
        <v>10</v>
      </c>
      <c r="FY63">
        <f t="shared" si="947"/>
        <v>10</v>
      </c>
      <c r="FZ63">
        <f t="shared" si="948"/>
        <v>10</v>
      </c>
      <c r="GA63">
        <f t="shared" si="949"/>
        <v>10</v>
      </c>
      <c r="GB63">
        <f t="shared" si="950"/>
        <v>10</v>
      </c>
      <c r="GC63">
        <f t="shared" si="951"/>
        <v>10</v>
      </c>
      <c r="GD63">
        <f t="shared" si="952"/>
        <v>10</v>
      </c>
      <c r="GE63">
        <f t="shared" si="953"/>
        <v>10</v>
      </c>
      <c r="GF63">
        <f t="shared" si="954"/>
        <v>10</v>
      </c>
      <c r="GG63">
        <f t="shared" si="955"/>
        <v>10</v>
      </c>
      <c r="GH63">
        <f t="shared" si="956"/>
        <v>10</v>
      </c>
      <c r="GI63">
        <f t="shared" si="957"/>
        <v>10</v>
      </c>
      <c r="GJ63">
        <f t="shared" si="958"/>
        <v>10</v>
      </c>
      <c r="GK63">
        <f t="shared" si="959"/>
        <v>10</v>
      </c>
      <c r="GL63">
        <f t="shared" si="960"/>
        <v>10</v>
      </c>
      <c r="GM63">
        <f t="shared" si="961"/>
        <v>10</v>
      </c>
      <c r="GN63">
        <f t="shared" si="962"/>
        <v>10</v>
      </c>
      <c r="GO63">
        <f t="shared" si="963"/>
        <v>10</v>
      </c>
      <c r="GP63">
        <f t="shared" si="964"/>
        <v>10</v>
      </c>
      <c r="GQ63">
        <f t="shared" si="965"/>
        <v>10</v>
      </c>
      <c r="GR63">
        <f t="shared" si="966"/>
        <v>10</v>
      </c>
      <c r="GS63">
        <f t="shared" si="967"/>
        <v>10</v>
      </c>
      <c r="GT63">
        <f t="shared" si="968"/>
        <v>10</v>
      </c>
      <c r="GU63">
        <f t="shared" si="969"/>
        <v>10</v>
      </c>
      <c r="GV63">
        <f t="shared" si="970"/>
        <v>10</v>
      </c>
      <c r="GW63">
        <f t="shared" si="971"/>
        <v>10</v>
      </c>
      <c r="GX63">
        <f t="shared" si="972"/>
        <v>10</v>
      </c>
      <c r="GY63">
        <f t="shared" si="973"/>
        <v>10</v>
      </c>
      <c r="GZ63">
        <f t="shared" si="974"/>
        <v>10</v>
      </c>
      <c r="HA63">
        <f t="shared" si="975"/>
        <v>10</v>
      </c>
      <c r="HB63">
        <f t="shared" si="976"/>
        <v>10</v>
      </c>
      <c r="HC63">
        <f t="shared" si="977"/>
        <v>10</v>
      </c>
      <c r="HD63">
        <f t="shared" si="978"/>
        <v>10</v>
      </c>
      <c r="HE63">
        <f t="shared" si="979"/>
        <v>10</v>
      </c>
      <c r="HF63">
        <f t="shared" si="980"/>
        <v>10</v>
      </c>
      <c r="HG63">
        <f t="shared" si="981"/>
        <v>10</v>
      </c>
      <c r="HH63">
        <f t="shared" si="982"/>
        <v>10</v>
      </c>
      <c r="HI63">
        <f t="shared" si="983"/>
        <v>10</v>
      </c>
      <c r="HJ63">
        <f t="shared" si="984"/>
        <v>10</v>
      </c>
      <c r="HK63">
        <f t="shared" si="985"/>
        <v>10</v>
      </c>
      <c r="HL63">
        <f t="shared" si="986"/>
        <v>10</v>
      </c>
      <c r="HM63">
        <f t="shared" si="987"/>
        <v>10</v>
      </c>
      <c r="HN63">
        <f t="shared" si="988"/>
        <v>10</v>
      </c>
      <c r="HO63">
        <f t="shared" si="989"/>
        <v>10</v>
      </c>
      <c r="HP63">
        <f t="shared" si="990"/>
        <v>10</v>
      </c>
      <c r="HQ63">
        <f t="shared" si="991"/>
        <v>10</v>
      </c>
      <c r="HR63">
        <f t="shared" si="992"/>
        <v>10</v>
      </c>
      <c r="HS63">
        <f t="shared" si="993"/>
        <v>10</v>
      </c>
      <c r="HT63">
        <f t="shared" si="994"/>
        <v>10</v>
      </c>
      <c r="HU63">
        <f t="shared" si="995"/>
        <v>10</v>
      </c>
      <c r="HV63">
        <f t="shared" si="996"/>
        <v>10</v>
      </c>
      <c r="HW63">
        <f t="shared" si="997"/>
        <v>10</v>
      </c>
      <c r="HX63">
        <f t="shared" si="998"/>
        <v>10</v>
      </c>
      <c r="HY63">
        <f t="shared" si="999"/>
        <v>10</v>
      </c>
      <c r="HZ63">
        <f t="shared" si="1000"/>
        <v>10</v>
      </c>
      <c r="IA63">
        <f t="shared" si="1001"/>
        <v>10</v>
      </c>
      <c r="IB63">
        <f t="shared" si="1002"/>
        <v>10</v>
      </c>
      <c r="IC63">
        <f t="shared" si="1003"/>
        <v>10</v>
      </c>
      <c r="ID63">
        <f t="shared" si="1004"/>
        <v>10</v>
      </c>
      <c r="IE63">
        <f t="shared" si="1005"/>
        <v>10</v>
      </c>
      <c r="IF63">
        <f t="shared" si="1006"/>
        <v>10</v>
      </c>
      <c r="IG63">
        <f t="shared" si="1007"/>
        <v>10</v>
      </c>
      <c r="IH63">
        <f t="shared" si="1008"/>
        <v>10</v>
      </c>
      <c r="II63">
        <f t="shared" si="1009"/>
        <v>10</v>
      </c>
      <c r="IJ63">
        <f t="shared" si="1010"/>
        <v>10</v>
      </c>
      <c r="IK63">
        <f t="shared" si="1011"/>
        <v>10</v>
      </c>
      <c r="IL63">
        <f t="shared" si="1012"/>
        <v>10</v>
      </c>
      <c r="IM63">
        <f t="shared" si="1013"/>
        <v>10</v>
      </c>
      <c r="IN63">
        <f t="shared" si="1014"/>
        <v>10</v>
      </c>
      <c r="IO63">
        <f t="shared" si="1015"/>
        <v>10</v>
      </c>
      <c r="IP63">
        <f t="shared" si="1016"/>
        <v>10</v>
      </c>
      <c r="IQ63">
        <f t="shared" si="1017"/>
        <v>10</v>
      </c>
      <c r="IR63">
        <f t="shared" si="1018"/>
        <v>10</v>
      </c>
      <c r="IS63">
        <f t="shared" si="1019"/>
        <v>10</v>
      </c>
      <c r="IT63">
        <f t="shared" si="1020"/>
        <v>10</v>
      </c>
      <c r="IU63">
        <f t="shared" si="1021"/>
        <v>10</v>
      </c>
      <c r="IV63">
        <f t="shared" si="1022"/>
        <v>10</v>
      </c>
    </row>
    <row r="64" spans="1:256" x14ac:dyDescent="0.2">
      <c r="A64" t="s">
        <v>535</v>
      </c>
      <c r="B64">
        <f t="shared" si="768"/>
        <v>10</v>
      </c>
      <c r="C64">
        <f t="shared" si="769"/>
        <v>10</v>
      </c>
      <c r="D64">
        <f t="shared" si="770"/>
        <v>10</v>
      </c>
      <c r="E64">
        <f t="shared" si="771"/>
        <v>10</v>
      </c>
      <c r="F64">
        <f t="shared" si="772"/>
        <v>10</v>
      </c>
      <c r="G64">
        <f t="shared" si="773"/>
        <v>10</v>
      </c>
      <c r="H64">
        <f t="shared" si="774"/>
        <v>10</v>
      </c>
      <c r="I64">
        <f t="shared" si="775"/>
        <v>10</v>
      </c>
      <c r="J64">
        <f t="shared" si="776"/>
        <v>10</v>
      </c>
      <c r="K64">
        <f t="shared" si="777"/>
        <v>10</v>
      </c>
      <c r="L64">
        <f t="shared" si="778"/>
        <v>10</v>
      </c>
      <c r="M64">
        <f t="shared" si="779"/>
        <v>10</v>
      </c>
      <c r="N64">
        <f t="shared" si="780"/>
        <v>10</v>
      </c>
      <c r="O64">
        <f t="shared" si="781"/>
        <v>10</v>
      </c>
      <c r="P64">
        <f t="shared" si="782"/>
        <v>10</v>
      </c>
      <c r="Q64">
        <f t="shared" si="783"/>
        <v>10</v>
      </c>
      <c r="R64">
        <f t="shared" si="784"/>
        <v>10</v>
      </c>
      <c r="S64">
        <f t="shared" si="785"/>
        <v>10</v>
      </c>
      <c r="T64">
        <f t="shared" si="786"/>
        <v>10</v>
      </c>
      <c r="U64">
        <f t="shared" si="787"/>
        <v>10</v>
      </c>
      <c r="V64">
        <f t="shared" si="788"/>
        <v>10</v>
      </c>
      <c r="W64">
        <f t="shared" si="789"/>
        <v>10</v>
      </c>
      <c r="X64">
        <f t="shared" si="790"/>
        <v>10</v>
      </c>
      <c r="Y64">
        <f t="shared" si="791"/>
        <v>10</v>
      </c>
      <c r="Z64">
        <f t="shared" si="792"/>
        <v>10</v>
      </c>
      <c r="AA64">
        <f t="shared" si="793"/>
        <v>10</v>
      </c>
      <c r="AB64">
        <f t="shared" si="794"/>
        <v>10</v>
      </c>
      <c r="AC64">
        <f t="shared" si="795"/>
        <v>10</v>
      </c>
      <c r="AD64">
        <f t="shared" si="796"/>
        <v>10</v>
      </c>
      <c r="AE64">
        <f t="shared" si="797"/>
        <v>10</v>
      </c>
      <c r="AF64">
        <f t="shared" si="798"/>
        <v>10</v>
      </c>
      <c r="AG64">
        <f t="shared" si="799"/>
        <v>10</v>
      </c>
      <c r="AH64">
        <f t="shared" si="800"/>
        <v>10</v>
      </c>
      <c r="AI64">
        <f t="shared" si="801"/>
        <v>10</v>
      </c>
      <c r="AJ64">
        <f t="shared" si="802"/>
        <v>10</v>
      </c>
      <c r="AK64">
        <f t="shared" si="803"/>
        <v>10</v>
      </c>
      <c r="AL64">
        <f t="shared" si="804"/>
        <v>10</v>
      </c>
      <c r="AM64">
        <f t="shared" si="805"/>
        <v>10</v>
      </c>
      <c r="AN64">
        <f t="shared" si="806"/>
        <v>10</v>
      </c>
      <c r="AO64">
        <f t="shared" si="807"/>
        <v>10</v>
      </c>
      <c r="AP64">
        <f t="shared" si="808"/>
        <v>10</v>
      </c>
      <c r="AQ64">
        <f t="shared" si="809"/>
        <v>10</v>
      </c>
      <c r="AR64">
        <f t="shared" si="810"/>
        <v>10</v>
      </c>
      <c r="AS64">
        <f t="shared" si="811"/>
        <v>10</v>
      </c>
      <c r="AT64">
        <f t="shared" si="812"/>
        <v>10</v>
      </c>
      <c r="AU64">
        <f t="shared" si="813"/>
        <v>10</v>
      </c>
      <c r="AV64">
        <f t="shared" si="814"/>
        <v>10</v>
      </c>
      <c r="AW64">
        <f t="shared" si="815"/>
        <v>10</v>
      </c>
      <c r="AX64">
        <f t="shared" si="816"/>
        <v>10</v>
      </c>
      <c r="AY64">
        <f t="shared" si="817"/>
        <v>10</v>
      </c>
      <c r="AZ64">
        <f t="shared" si="818"/>
        <v>10</v>
      </c>
      <c r="BA64">
        <f t="shared" si="819"/>
        <v>10</v>
      </c>
      <c r="BB64">
        <f t="shared" si="820"/>
        <v>10</v>
      </c>
      <c r="BC64">
        <f t="shared" si="821"/>
        <v>10</v>
      </c>
      <c r="BD64">
        <f t="shared" si="822"/>
        <v>10</v>
      </c>
      <c r="BE64">
        <f t="shared" si="823"/>
        <v>10</v>
      </c>
      <c r="BF64">
        <f t="shared" si="824"/>
        <v>10</v>
      </c>
      <c r="BG64">
        <f t="shared" si="825"/>
        <v>10</v>
      </c>
      <c r="BH64">
        <f t="shared" si="826"/>
        <v>10</v>
      </c>
      <c r="BI64">
        <f t="shared" si="827"/>
        <v>10</v>
      </c>
      <c r="BJ64">
        <f t="shared" si="828"/>
        <v>10</v>
      </c>
      <c r="BK64">
        <f t="shared" si="829"/>
        <v>10</v>
      </c>
      <c r="BL64">
        <f t="shared" si="830"/>
        <v>10</v>
      </c>
      <c r="BM64">
        <f t="shared" si="831"/>
        <v>10</v>
      </c>
      <c r="BN64">
        <f t="shared" si="832"/>
        <v>10</v>
      </c>
      <c r="BO64">
        <f t="shared" si="833"/>
        <v>10</v>
      </c>
      <c r="BP64">
        <f t="shared" si="834"/>
        <v>10</v>
      </c>
      <c r="BQ64">
        <f t="shared" si="835"/>
        <v>10</v>
      </c>
      <c r="BR64">
        <f t="shared" si="836"/>
        <v>10</v>
      </c>
      <c r="BS64">
        <f t="shared" si="837"/>
        <v>10</v>
      </c>
      <c r="BT64">
        <f t="shared" si="838"/>
        <v>10</v>
      </c>
      <c r="BU64">
        <f t="shared" si="839"/>
        <v>10</v>
      </c>
      <c r="BV64">
        <f t="shared" si="840"/>
        <v>10</v>
      </c>
      <c r="BW64">
        <f t="shared" si="841"/>
        <v>10</v>
      </c>
      <c r="BX64">
        <f t="shared" si="842"/>
        <v>10</v>
      </c>
      <c r="BY64">
        <f t="shared" si="843"/>
        <v>10</v>
      </c>
      <c r="BZ64">
        <f t="shared" si="844"/>
        <v>10</v>
      </c>
      <c r="CA64">
        <f t="shared" si="845"/>
        <v>10</v>
      </c>
      <c r="CB64">
        <f t="shared" si="846"/>
        <v>10</v>
      </c>
      <c r="CC64">
        <f t="shared" si="847"/>
        <v>10</v>
      </c>
      <c r="CD64">
        <f t="shared" si="848"/>
        <v>10</v>
      </c>
      <c r="CE64">
        <f t="shared" si="849"/>
        <v>10</v>
      </c>
      <c r="CF64">
        <f t="shared" si="850"/>
        <v>10</v>
      </c>
      <c r="CG64">
        <f t="shared" si="851"/>
        <v>10</v>
      </c>
      <c r="CH64">
        <f t="shared" si="852"/>
        <v>10</v>
      </c>
      <c r="CI64">
        <f t="shared" si="853"/>
        <v>10</v>
      </c>
      <c r="CJ64">
        <f t="shared" si="854"/>
        <v>10</v>
      </c>
      <c r="CK64">
        <f t="shared" si="855"/>
        <v>10</v>
      </c>
      <c r="CL64">
        <f t="shared" si="856"/>
        <v>10</v>
      </c>
      <c r="CM64">
        <f t="shared" si="857"/>
        <v>10</v>
      </c>
      <c r="CN64">
        <f t="shared" si="858"/>
        <v>10</v>
      </c>
      <c r="CO64">
        <f t="shared" si="859"/>
        <v>10</v>
      </c>
      <c r="CP64">
        <f t="shared" si="860"/>
        <v>10</v>
      </c>
      <c r="CQ64">
        <f t="shared" si="861"/>
        <v>10</v>
      </c>
      <c r="CR64">
        <f t="shared" si="862"/>
        <v>10</v>
      </c>
      <c r="CS64">
        <f t="shared" si="863"/>
        <v>10</v>
      </c>
      <c r="CT64">
        <f t="shared" si="864"/>
        <v>10</v>
      </c>
      <c r="CU64">
        <f t="shared" si="865"/>
        <v>10</v>
      </c>
      <c r="CV64">
        <f t="shared" si="866"/>
        <v>10</v>
      </c>
      <c r="CW64">
        <f t="shared" si="867"/>
        <v>10</v>
      </c>
      <c r="CX64">
        <f t="shared" si="868"/>
        <v>10</v>
      </c>
      <c r="CY64">
        <f t="shared" si="869"/>
        <v>10</v>
      </c>
      <c r="CZ64">
        <f t="shared" si="870"/>
        <v>10</v>
      </c>
      <c r="DA64">
        <f t="shared" si="871"/>
        <v>10</v>
      </c>
      <c r="DB64">
        <f t="shared" si="872"/>
        <v>10</v>
      </c>
      <c r="DC64">
        <f t="shared" si="873"/>
        <v>10</v>
      </c>
      <c r="DD64">
        <f t="shared" si="874"/>
        <v>10</v>
      </c>
      <c r="DE64">
        <f t="shared" si="875"/>
        <v>10</v>
      </c>
      <c r="DF64">
        <f t="shared" si="876"/>
        <v>10</v>
      </c>
      <c r="DG64">
        <f t="shared" si="877"/>
        <v>10</v>
      </c>
      <c r="DH64">
        <f t="shared" si="878"/>
        <v>10</v>
      </c>
      <c r="DI64">
        <f t="shared" si="879"/>
        <v>10</v>
      </c>
      <c r="DJ64">
        <f t="shared" si="880"/>
        <v>10</v>
      </c>
      <c r="DK64">
        <f t="shared" si="881"/>
        <v>10</v>
      </c>
      <c r="DL64">
        <f t="shared" si="882"/>
        <v>10</v>
      </c>
      <c r="DM64">
        <f t="shared" si="883"/>
        <v>10</v>
      </c>
      <c r="DN64">
        <f t="shared" si="884"/>
        <v>10</v>
      </c>
      <c r="DO64">
        <f t="shared" si="885"/>
        <v>10</v>
      </c>
      <c r="DP64">
        <f t="shared" si="886"/>
        <v>10</v>
      </c>
      <c r="DQ64">
        <f t="shared" si="887"/>
        <v>10</v>
      </c>
      <c r="DR64">
        <f t="shared" si="888"/>
        <v>10</v>
      </c>
      <c r="DS64">
        <f t="shared" si="889"/>
        <v>10</v>
      </c>
      <c r="DT64">
        <f t="shared" si="890"/>
        <v>10</v>
      </c>
      <c r="DU64">
        <f t="shared" si="891"/>
        <v>10</v>
      </c>
      <c r="DV64">
        <f t="shared" si="892"/>
        <v>10</v>
      </c>
      <c r="DW64">
        <f t="shared" si="893"/>
        <v>10</v>
      </c>
      <c r="DX64">
        <f t="shared" si="894"/>
        <v>10</v>
      </c>
      <c r="DY64">
        <f t="shared" si="895"/>
        <v>10</v>
      </c>
      <c r="DZ64">
        <f t="shared" si="896"/>
        <v>10</v>
      </c>
      <c r="EA64">
        <f t="shared" si="897"/>
        <v>10</v>
      </c>
      <c r="EB64">
        <f t="shared" si="898"/>
        <v>10</v>
      </c>
      <c r="EC64">
        <f t="shared" si="899"/>
        <v>10</v>
      </c>
      <c r="ED64">
        <f t="shared" si="900"/>
        <v>10</v>
      </c>
      <c r="EE64">
        <f t="shared" si="901"/>
        <v>10</v>
      </c>
      <c r="EF64">
        <f t="shared" si="902"/>
        <v>10</v>
      </c>
      <c r="EG64">
        <f t="shared" si="903"/>
        <v>10</v>
      </c>
      <c r="EH64">
        <f t="shared" si="904"/>
        <v>10</v>
      </c>
      <c r="EI64">
        <f t="shared" si="905"/>
        <v>10</v>
      </c>
      <c r="EJ64">
        <f t="shared" si="906"/>
        <v>10</v>
      </c>
      <c r="EK64">
        <f t="shared" si="907"/>
        <v>10</v>
      </c>
      <c r="EL64">
        <f t="shared" si="908"/>
        <v>10</v>
      </c>
      <c r="EM64">
        <f t="shared" si="909"/>
        <v>10</v>
      </c>
      <c r="EN64">
        <f t="shared" si="910"/>
        <v>10</v>
      </c>
      <c r="EO64">
        <f t="shared" si="911"/>
        <v>10</v>
      </c>
      <c r="EP64">
        <f t="shared" si="912"/>
        <v>10</v>
      </c>
      <c r="EQ64">
        <f t="shared" si="913"/>
        <v>10</v>
      </c>
      <c r="ER64">
        <f t="shared" si="914"/>
        <v>10</v>
      </c>
      <c r="ES64">
        <f t="shared" si="915"/>
        <v>10</v>
      </c>
      <c r="ET64">
        <f t="shared" si="916"/>
        <v>10</v>
      </c>
      <c r="EU64">
        <f t="shared" si="917"/>
        <v>10</v>
      </c>
      <c r="EV64">
        <f t="shared" si="918"/>
        <v>10</v>
      </c>
      <c r="EW64">
        <f t="shared" si="919"/>
        <v>10</v>
      </c>
      <c r="EX64">
        <f t="shared" si="920"/>
        <v>10</v>
      </c>
      <c r="EY64">
        <f t="shared" si="921"/>
        <v>10</v>
      </c>
      <c r="EZ64">
        <f t="shared" si="922"/>
        <v>10</v>
      </c>
      <c r="FA64">
        <f t="shared" si="923"/>
        <v>10</v>
      </c>
      <c r="FB64">
        <f t="shared" si="924"/>
        <v>10</v>
      </c>
      <c r="FC64">
        <f t="shared" si="925"/>
        <v>10</v>
      </c>
      <c r="FD64">
        <f t="shared" si="926"/>
        <v>10</v>
      </c>
      <c r="FE64">
        <f t="shared" si="927"/>
        <v>10</v>
      </c>
      <c r="FF64">
        <f t="shared" si="928"/>
        <v>10</v>
      </c>
      <c r="FG64">
        <f t="shared" si="929"/>
        <v>10</v>
      </c>
      <c r="FH64">
        <f t="shared" si="930"/>
        <v>10</v>
      </c>
      <c r="FI64">
        <f t="shared" si="931"/>
        <v>10</v>
      </c>
      <c r="FJ64">
        <f t="shared" si="932"/>
        <v>10</v>
      </c>
      <c r="FK64">
        <f t="shared" si="933"/>
        <v>10</v>
      </c>
      <c r="FL64">
        <f t="shared" si="934"/>
        <v>10</v>
      </c>
      <c r="FM64">
        <f t="shared" si="935"/>
        <v>10</v>
      </c>
      <c r="FN64">
        <f t="shared" si="936"/>
        <v>10</v>
      </c>
      <c r="FO64">
        <f t="shared" si="937"/>
        <v>10</v>
      </c>
      <c r="FP64">
        <f t="shared" si="938"/>
        <v>10</v>
      </c>
      <c r="FQ64">
        <f t="shared" si="939"/>
        <v>10</v>
      </c>
      <c r="FR64">
        <f t="shared" si="940"/>
        <v>10</v>
      </c>
      <c r="FS64">
        <f t="shared" si="941"/>
        <v>10</v>
      </c>
      <c r="FT64">
        <f t="shared" si="942"/>
        <v>10</v>
      </c>
      <c r="FU64">
        <f t="shared" si="943"/>
        <v>10</v>
      </c>
      <c r="FV64">
        <f t="shared" si="944"/>
        <v>10</v>
      </c>
      <c r="FW64">
        <f t="shared" si="945"/>
        <v>10</v>
      </c>
      <c r="FX64">
        <f t="shared" si="946"/>
        <v>10</v>
      </c>
      <c r="FY64">
        <f t="shared" si="947"/>
        <v>10</v>
      </c>
      <c r="FZ64">
        <f t="shared" si="948"/>
        <v>10</v>
      </c>
      <c r="GA64">
        <f t="shared" si="949"/>
        <v>10</v>
      </c>
      <c r="GB64">
        <f t="shared" si="950"/>
        <v>10</v>
      </c>
      <c r="GC64">
        <f t="shared" si="951"/>
        <v>10</v>
      </c>
      <c r="GD64">
        <f t="shared" si="952"/>
        <v>10</v>
      </c>
      <c r="GE64">
        <f t="shared" si="953"/>
        <v>10</v>
      </c>
      <c r="GF64">
        <f t="shared" si="954"/>
        <v>10</v>
      </c>
      <c r="GG64">
        <f t="shared" si="955"/>
        <v>10</v>
      </c>
      <c r="GH64">
        <f t="shared" si="956"/>
        <v>10</v>
      </c>
      <c r="GI64">
        <f t="shared" si="957"/>
        <v>10</v>
      </c>
      <c r="GJ64">
        <f t="shared" si="958"/>
        <v>10</v>
      </c>
      <c r="GK64">
        <f t="shared" si="959"/>
        <v>10</v>
      </c>
      <c r="GL64">
        <f t="shared" si="960"/>
        <v>10</v>
      </c>
      <c r="GM64">
        <f t="shared" si="961"/>
        <v>10</v>
      </c>
      <c r="GN64">
        <f t="shared" si="962"/>
        <v>10</v>
      </c>
      <c r="GO64">
        <f t="shared" si="963"/>
        <v>10</v>
      </c>
      <c r="GP64">
        <f t="shared" si="964"/>
        <v>10</v>
      </c>
      <c r="GQ64">
        <f t="shared" si="965"/>
        <v>10</v>
      </c>
      <c r="GR64">
        <f t="shared" si="966"/>
        <v>10</v>
      </c>
      <c r="GS64">
        <f t="shared" si="967"/>
        <v>10</v>
      </c>
      <c r="GT64">
        <f t="shared" si="968"/>
        <v>10</v>
      </c>
      <c r="GU64">
        <f t="shared" si="969"/>
        <v>10</v>
      </c>
      <c r="GV64">
        <f t="shared" si="970"/>
        <v>10</v>
      </c>
      <c r="GW64">
        <f t="shared" si="971"/>
        <v>10</v>
      </c>
      <c r="GX64">
        <f t="shared" si="972"/>
        <v>10</v>
      </c>
      <c r="GY64">
        <f t="shared" si="973"/>
        <v>10</v>
      </c>
      <c r="GZ64">
        <f t="shared" si="974"/>
        <v>10</v>
      </c>
      <c r="HA64">
        <f t="shared" si="975"/>
        <v>10</v>
      </c>
      <c r="HB64">
        <f t="shared" si="976"/>
        <v>10</v>
      </c>
      <c r="HC64">
        <f t="shared" si="977"/>
        <v>10</v>
      </c>
      <c r="HD64">
        <f t="shared" si="978"/>
        <v>10</v>
      </c>
      <c r="HE64">
        <f t="shared" si="979"/>
        <v>10</v>
      </c>
      <c r="HF64">
        <f t="shared" si="980"/>
        <v>10</v>
      </c>
      <c r="HG64">
        <f t="shared" si="981"/>
        <v>10</v>
      </c>
      <c r="HH64">
        <f t="shared" si="982"/>
        <v>10</v>
      </c>
      <c r="HI64">
        <f t="shared" si="983"/>
        <v>10</v>
      </c>
      <c r="HJ64">
        <f t="shared" si="984"/>
        <v>10</v>
      </c>
      <c r="HK64">
        <f t="shared" si="985"/>
        <v>10</v>
      </c>
      <c r="HL64">
        <f t="shared" si="986"/>
        <v>10</v>
      </c>
      <c r="HM64">
        <f t="shared" si="987"/>
        <v>10</v>
      </c>
      <c r="HN64">
        <f t="shared" si="988"/>
        <v>10</v>
      </c>
      <c r="HO64">
        <f t="shared" si="989"/>
        <v>10</v>
      </c>
      <c r="HP64">
        <f t="shared" si="990"/>
        <v>10</v>
      </c>
      <c r="HQ64">
        <f t="shared" si="991"/>
        <v>10</v>
      </c>
      <c r="HR64">
        <f t="shared" si="992"/>
        <v>10</v>
      </c>
      <c r="HS64">
        <f t="shared" si="993"/>
        <v>10</v>
      </c>
      <c r="HT64">
        <f t="shared" si="994"/>
        <v>10</v>
      </c>
      <c r="HU64">
        <f t="shared" si="995"/>
        <v>10</v>
      </c>
      <c r="HV64">
        <f t="shared" si="996"/>
        <v>10</v>
      </c>
      <c r="HW64">
        <f t="shared" si="997"/>
        <v>10</v>
      </c>
      <c r="HX64">
        <f t="shared" si="998"/>
        <v>10</v>
      </c>
      <c r="HY64">
        <f t="shared" si="999"/>
        <v>10</v>
      </c>
      <c r="HZ64">
        <f t="shared" si="1000"/>
        <v>10</v>
      </c>
      <c r="IA64">
        <f t="shared" si="1001"/>
        <v>10</v>
      </c>
      <c r="IB64">
        <f t="shared" si="1002"/>
        <v>10</v>
      </c>
      <c r="IC64">
        <f t="shared" si="1003"/>
        <v>10</v>
      </c>
      <c r="ID64">
        <f t="shared" si="1004"/>
        <v>10</v>
      </c>
      <c r="IE64">
        <f t="shared" si="1005"/>
        <v>10</v>
      </c>
      <c r="IF64">
        <f t="shared" si="1006"/>
        <v>10</v>
      </c>
      <c r="IG64">
        <f t="shared" si="1007"/>
        <v>10</v>
      </c>
      <c r="IH64">
        <f t="shared" si="1008"/>
        <v>10</v>
      </c>
      <c r="II64">
        <f t="shared" si="1009"/>
        <v>10</v>
      </c>
      <c r="IJ64">
        <f t="shared" si="1010"/>
        <v>10</v>
      </c>
      <c r="IK64">
        <f t="shared" si="1011"/>
        <v>10</v>
      </c>
      <c r="IL64">
        <f t="shared" si="1012"/>
        <v>10</v>
      </c>
      <c r="IM64">
        <f t="shared" si="1013"/>
        <v>10</v>
      </c>
      <c r="IN64">
        <f t="shared" si="1014"/>
        <v>10</v>
      </c>
      <c r="IO64">
        <f t="shared" si="1015"/>
        <v>10</v>
      </c>
      <c r="IP64">
        <f t="shared" si="1016"/>
        <v>10</v>
      </c>
      <c r="IQ64">
        <f t="shared" si="1017"/>
        <v>10</v>
      </c>
      <c r="IR64">
        <f t="shared" si="1018"/>
        <v>10</v>
      </c>
      <c r="IS64">
        <f t="shared" si="1019"/>
        <v>10</v>
      </c>
      <c r="IT64">
        <f t="shared" si="1020"/>
        <v>10</v>
      </c>
      <c r="IU64">
        <f t="shared" si="1021"/>
        <v>10</v>
      </c>
      <c r="IV64">
        <f t="shared" si="1022"/>
        <v>10</v>
      </c>
    </row>
    <row r="65" spans="1:256" x14ac:dyDescent="0.2">
      <c r="A65" t="s">
        <v>536</v>
      </c>
      <c r="B65">
        <f t="shared" si="768"/>
        <v>10</v>
      </c>
      <c r="C65">
        <f t="shared" si="769"/>
        <v>10</v>
      </c>
      <c r="D65">
        <f t="shared" si="770"/>
        <v>10</v>
      </c>
      <c r="E65">
        <f t="shared" si="771"/>
        <v>10</v>
      </c>
      <c r="F65">
        <f t="shared" si="772"/>
        <v>10</v>
      </c>
      <c r="G65">
        <f t="shared" si="773"/>
        <v>10</v>
      </c>
      <c r="H65">
        <f t="shared" si="774"/>
        <v>10</v>
      </c>
      <c r="I65">
        <f t="shared" si="775"/>
        <v>10</v>
      </c>
      <c r="J65">
        <f t="shared" si="776"/>
        <v>10</v>
      </c>
      <c r="K65">
        <f t="shared" si="777"/>
        <v>10</v>
      </c>
      <c r="L65">
        <f t="shared" si="778"/>
        <v>10</v>
      </c>
      <c r="M65">
        <f t="shared" si="779"/>
        <v>10</v>
      </c>
      <c r="N65">
        <f t="shared" si="780"/>
        <v>10</v>
      </c>
      <c r="O65">
        <f t="shared" si="781"/>
        <v>10</v>
      </c>
      <c r="P65">
        <f t="shared" si="782"/>
        <v>10</v>
      </c>
      <c r="Q65">
        <f t="shared" si="783"/>
        <v>10</v>
      </c>
      <c r="R65">
        <f t="shared" si="784"/>
        <v>10</v>
      </c>
      <c r="S65">
        <f t="shared" si="785"/>
        <v>10</v>
      </c>
      <c r="T65">
        <f t="shared" si="786"/>
        <v>10</v>
      </c>
      <c r="U65">
        <f t="shared" si="787"/>
        <v>10</v>
      </c>
      <c r="V65">
        <f t="shared" si="788"/>
        <v>10</v>
      </c>
      <c r="W65">
        <f t="shared" si="789"/>
        <v>10</v>
      </c>
      <c r="X65">
        <f t="shared" si="790"/>
        <v>10</v>
      </c>
      <c r="Y65">
        <f t="shared" si="791"/>
        <v>10</v>
      </c>
      <c r="Z65">
        <f t="shared" si="792"/>
        <v>10</v>
      </c>
      <c r="AA65">
        <f t="shared" si="793"/>
        <v>10</v>
      </c>
      <c r="AB65">
        <f t="shared" si="794"/>
        <v>10</v>
      </c>
      <c r="AC65">
        <f t="shared" si="795"/>
        <v>10</v>
      </c>
      <c r="AD65">
        <f t="shared" si="796"/>
        <v>10</v>
      </c>
      <c r="AE65">
        <f t="shared" si="797"/>
        <v>10</v>
      </c>
      <c r="AF65">
        <f t="shared" si="798"/>
        <v>10</v>
      </c>
      <c r="AG65">
        <f t="shared" si="799"/>
        <v>10</v>
      </c>
      <c r="AH65">
        <f t="shared" si="800"/>
        <v>10</v>
      </c>
      <c r="AI65">
        <f t="shared" si="801"/>
        <v>10</v>
      </c>
      <c r="AJ65">
        <f t="shared" si="802"/>
        <v>10</v>
      </c>
      <c r="AK65">
        <f t="shared" si="803"/>
        <v>10</v>
      </c>
      <c r="AL65">
        <f t="shared" si="804"/>
        <v>10</v>
      </c>
      <c r="AM65">
        <f t="shared" si="805"/>
        <v>10</v>
      </c>
      <c r="AN65">
        <f t="shared" si="806"/>
        <v>10</v>
      </c>
      <c r="AO65">
        <f t="shared" si="807"/>
        <v>10</v>
      </c>
      <c r="AP65">
        <f t="shared" si="808"/>
        <v>10</v>
      </c>
      <c r="AQ65">
        <f t="shared" si="809"/>
        <v>10</v>
      </c>
      <c r="AR65">
        <f t="shared" si="810"/>
        <v>10</v>
      </c>
      <c r="AS65">
        <f t="shared" si="811"/>
        <v>10</v>
      </c>
      <c r="AT65">
        <f t="shared" si="812"/>
        <v>10</v>
      </c>
      <c r="AU65">
        <f t="shared" si="813"/>
        <v>10</v>
      </c>
      <c r="AV65">
        <f t="shared" si="814"/>
        <v>10</v>
      </c>
      <c r="AW65">
        <f t="shared" si="815"/>
        <v>10</v>
      </c>
      <c r="AX65">
        <f t="shared" si="816"/>
        <v>10</v>
      </c>
      <c r="AY65">
        <f t="shared" si="817"/>
        <v>10</v>
      </c>
      <c r="AZ65">
        <f t="shared" si="818"/>
        <v>10</v>
      </c>
      <c r="BA65">
        <f t="shared" si="819"/>
        <v>10</v>
      </c>
      <c r="BB65">
        <f t="shared" si="820"/>
        <v>10</v>
      </c>
      <c r="BC65">
        <f t="shared" si="821"/>
        <v>10</v>
      </c>
      <c r="BD65">
        <f t="shared" si="822"/>
        <v>10</v>
      </c>
      <c r="BE65">
        <f t="shared" si="823"/>
        <v>10</v>
      </c>
      <c r="BF65">
        <f t="shared" si="824"/>
        <v>10</v>
      </c>
      <c r="BG65">
        <f t="shared" si="825"/>
        <v>10</v>
      </c>
      <c r="BH65">
        <f t="shared" si="826"/>
        <v>10</v>
      </c>
      <c r="BI65">
        <f t="shared" si="827"/>
        <v>10</v>
      </c>
      <c r="BJ65">
        <f t="shared" si="828"/>
        <v>10</v>
      </c>
      <c r="BK65">
        <f t="shared" si="829"/>
        <v>10</v>
      </c>
      <c r="BL65">
        <f t="shared" si="830"/>
        <v>10</v>
      </c>
      <c r="BM65">
        <f t="shared" si="831"/>
        <v>10</v>
      </c>
      <c r="BN65">
        <f t="shared" si="832"/>
        <v>10</v>
      </c>
      <c r="BO65">
        <f t="shared" si="833"/>
        <v>10</v>
      </c>
      <c r="BP65">
        <f t="shared" si="834"/>
        <v>10</v>
      </c>
      <c r="BQ65">
        <f t="shared" si="835"/>
        <v>10</v>
      </c>
      <c r="BR65">
        <f t="shared" si="836"/>
        <v>10</v>
      </c>
      <c r="BS65">
        <f t="shared" si="837"/>
        <v>10</v>
      </c>
      <c r="BT65">
        <f t="shared" si="838"/>
        <v>10</v>
      </c>
      <c r="BU65">
        <f t="shared" si="839"/>
        <v>10</v>
      </c>
      <c r="BV65">
        <f t="shared" si="840"/>
        <v>10</v>
      </c>
      <c r="BW65">
        <f t="shared" si="841"/>
        <v>10</v>
      </c>
      <c r="BX65">
        <f t="shared" si="842"/>
        <v>10</v>
      </c>
      <c r="BY65">
        <f t="shared" si="843"/>
        <v>10</v>
      </c>
      <c r="BZ65">
        <f t="shared" si="844"/>
        <v>10</v>
      </c>
      <c r="CA65">
        <f t="shared" si="845"/>
        <v>10</v>
      </c>
      <c r="CB65">
        <f t="shared" si="846"/>
        <v>10</v>
      </c>
      <c r="CC65">
        <f t="shared" si="847"/>
        <v>10</v>
      </c>
      <c r="CD65">
        <f t="shared" si="848"/>
        <v>10</v>
      </c>
      <c r="CE65">
        <f t="shared" si="849"/>
        <v>10</v>
      </c>
      <c r="CF65">
        <f t="shared" si="850"/>
        <v>10</v>
      </c>
      <c r="CG65">
        <f t="shared" si="851"/>
        <v>10</v>
      </c>
      <c r="CH65">
        <f t="shared" si="852"/>
        <v>10</v>
      </c>
      <c r="CI65">
        <f t="shared" si="853"/>
        <v>10</v>
      </c>
      <c r="CJ65">
        <f t="shared" si="854"/>
        <v>10</v>
      </c>
      <c r="CK65">
        <f t="shared" si="855"/>
        <v>10</v>
      </c>
      <c r="CL65">
        <f t="shared" si="856"/>
        <v>10</v>
      </c>
      <c r="CM65">
        <f t="shared" si="857"/>
        <v>10</v>
      </c>
      <c r="CN65">
        <f t="shared" si="858"/>
        <v>10</v>
      </c>
      <c r="CO65">
        <f t="shared" si="859"/>
        <v>10</v>
      </c>
      <c r="CP65">
        <f t="shared" si="860"/>
        <v>10</v>
      </c>
      <c r="CQ65">
        <f t="shared" si="861"/>
        <v>10</v>
      </c>
      <c r="CR65">
        <f t="shared" si="862"/>
        <v>10</v>
      </c>
      <c r="CS65">
        <f t="shared" si="863"/>
        <v>10</v>
      </c>
      <c r="CT65">
        <f t="shared" si="864"/>
        <v>10</v>
      </c>
      <c r="CU65">
        <f t="shared" si="865"/>
        <v>10</v>
      </c>
      <c r="CV65">
        <f t="shared" si="866"/>
        <v>10</v>
      </c>
      <c r="CW65">
        <f t="shared" si="867"/>
        <v>10</v>
      </c>
      <c r="CX65">
        <f t="shared" si="868"/>
        <v>10</v>
      </c>
      <c r="CY65">
        <f t="shared" si="869"/>
        <v>10</v>
      </c>
      <c r="CZ65">
        <f t="shared" si="870"/>
        <v>10</v>
      </c>
      <c r="DA65">
        <f t="shared" si="871"/>
        <v>10</v>
      </c>
      <c r="DB65">
        <f t="shared" si="872"/>
        <v>10</v>
      </c>
      <c r="DC65">
        <f t="shared" si="873"/>
        <v>10</v>
      </c>
      <c r="DD65">
        <f t="shared" si="874"/>
        <v>10</v>
      </c>
      <c r="DE65">
        <f t="shared" si="875"/>
        <v>10</v>
      </c>
      <c r="DF65">
        <f t="shared" si="876"/>
        <v>10</v>
      </c>
      <c r="DG65">
        <f t="shared" si="877"/>
        <v>10</v>
      </c>
      <c r="DH65">
        <f t="shared" si="878"/>
        <v>10</v>
      </c>
      <c r="DI65">
        <f t="shared" si="879"/>
        <v>10</v>
      </c>
      <c r="DJ65">
        <f t="shared" si="880"/>
        <v>10</v>
      </c>
      <c r="DK65">
        <f t="shared" si="881"/>
        <v>10</v>
      </c>
      <c r="DL65">
        <f t="shared" si="882"/>
        <v>10</v>
      </c>
      <c r="DM65">
        <f t="shared" si="883"/>
        <v>10</v>
      </c>
      <c r="DN65">
        <f t="shared" si="884"/>
        <v>10</v>
      </c>
      <c r="DO65">
        <f t="shared" si="885"/>
        <v>10</v>
      </c>
      <c r="DP65">
        <f t="shared" si="886"/>
        <v>10</v>
      </c>
      <c r="DQ65">
        <f t="shared" si="887"/>
        <v>10</v>
      </c>
      <c r="DR65">
        <f t="shared" si="888"/>
        <v>10</v>
      </c>
      <c r="DS65">
        <f t="shared" si="889"/>
        <v>10</v>
      </c>
      <c r="DT65">
        <f t="shared" si="890"/>
        <v>10</v>
      </c>
      <c r="DU65">
        <f t="shared" si="891"/>
        <v>10</v>
      </c>
      <c r="DV65">
        <f t="shared" si="892"/>
        <v>10</v>
      </c>
      <c r="DW65">
        <f t="shared" si="893"/>
        <v>10</v>
      </c>
      <c r="DX65">
        <f t="shared" si="894"/>
        <v>10</v>
      </c>
      <c r="DY65">
        <f t="shared" si="895"/>
        <v>10</v>
      </c>
      <c r="DZ65">
        <f t="shared" si="896"/>
        <v>10</v>
      </c>
      <c r="EA65">
        <f t="shared" si="897"/>
        <v>10</v>
      </c>
      <c r="EB65">
        <f t="shared" si="898"/>
        <v>10</v>
      </c>
      <c r="EC65">
        <f t="shared" si="899"/>
        <v>10</v>
      </c>
      <c r="ED65">
        <f t="shared" si="900"/>
        <v>10</v>
      </c>
      <c r="EE65">
        <f t="shared" si="901"/>
        <v>10</v>
      </c>
      <c r="EF65">
        <f t="shared" si="902"/>
        <v>10</v>
      </c>
      <c r="EG65">
        <f t="shared" si="903"/>
        <v>10</v>
      </c>
      <c r="EH65">
        <f t="shared" si="904"/>
        <v>10</v>
      </c>
      <c r="EI65">
        <f t="shared" si="905"/>
        <v>10</v>
      </c>
      <c r="EJ65">
        <f t="shared" si="906"/>
        <v>10</v>
      </c>
      <c r="EK65">
        <f t="shared" si="907"/>
        <v>10</v>
      </c>
      <c r="EL65">
        <f t="shared" si="908"/>
        <v>10</v>
      </c>
      <c r="EM65">
        <f t="shared" si="909"/>
        <v>10</v>
      </c>
      <c r="EN65">
        <f t="shared" si="910"/>
        <v>10</v>
      </c>
      <c r="EO65">
        <f t="shared" si="911"/>
        <v>10</v>
      </c>
      <c r="EP65">
        <f t="shared" si="912"/>
        <v>10</v>
      </c>
      <c r="EQ65">
        <f t="shared" si="913"/>
        <v>10</v>
      </c>
      <c r="ER65">
        <f t="shared" si="914"/>
        <v>10</v>
      </c>
      <c r="ES65">
        <f t="shared" si="915"/>
        <v>10</v>
      </c>
      <c r="ET65">
        <f t="shared" si="916"/>
        <v>10</v>
      </c>
      <c r="EU65">
        <f t="shared" si="917"/>
        <v>10</v>
      </c>
      <c r="EV65">
        <f t="shared" si="918"/>
        <v>10</v>
      </c>
      <c r="EW65">
        <f t="shared" si="919"/>
        <v>10</v>
      </c>
      <c r="EX65">
        <f t="shared" si="920"/>
        <v>10</v>
      </c>
      <c r="EY65">
        <f t="shared" si="921"/>
        <v>10</v>
      </c>
      <c r="EZ65">
        <f t="shared" si="922"/>
        <v>10</v>
      </c>
      <c r="FA65">
        <f t="shared" si="923"/>
        <v>10</v>
      </c>
      <c r="FB65">
        <f t="shared" si="924"/>
        <v>10</v>
      </c>
      <c r="FC65">
        <f t="shared" si="925"/>
        <v>10</v>
      </c>
      <c r="FD65">
        <f t="shared" si="926"/>
        <v>10</v>
      </c>
      <c r="FE65">
        <f t="shared" si="927"/>
        <v>10</v>
      </c>
      <c r="FF65">
        <f t="shared" si="928"/>
        <v>10</v>
      </c>
      <c r="FG65">
        <f t="shared" si="929"/>
        <v>10</v>
      </c>
      <c r="FH65">
        <f t="shared" si="930"/>
        <v>10</v>
      </c>
      <c r="FI65">
        <f t="shared" si="931"/>
        <v>10</v>
      </c>
      <c r="FJ65">
        <f t="shared" si="932"/>
        <v>10</v>
      </c>
      <c r="FK65">
        <f t="shared" si="933"/>
        <v>10</v>
      </c>
      <c r="FL65">
        <f t="shared" si="934"/>
        <v>10</v>
      </c>
      <c r="FM65">
        <f t="shared" si="935"/>
        <v>10</v>
      </c>
      <c r="FN65">
        <f t="shared" si="936"/>
        <v>10</v>
      </c>
      <c r="FO65">
        <f t="shared" si="937"/>
        <v>10</v>
      </c>
      <c r="FP65">
        <f t="shared" si="938"/>
        <v>10</v>
      </c>
      <c r="FQ65">
        <f t="shared" si="939"/>
        <v>10</v>
      </c>
      <c r="FR65">
        <f t="shared" si="940"/>
        <v>10</v>
      </c>
      <c r="FS65">
        <f t="shared" si="941"/>
        <v>10</v>
      </c>
      <c r="FT65">
        <f t="shared" si="942"/>
        <v>10</v>
      </c>
      <c r="FU65">
        <f t="shared" si="943"/>
        <v>10</v>
      </c>
      <c r="FV65">
        <f t="shared" si="944"/>
        <v>10</v>
      </c>
      <c r="FW65">
        <f t="shared" si="945"/>
        <v>10</v>
      </c>
      <c r="FX65">
        <f t="shared" si="946"/>
        <v>10</v>
      </c>
      <c r="FY65">
        <f t="shared" si="947"/>
        <v>10</v>
      </c>
      <c r="FZ65">
        <f t="shared" si="948"/>
        <v>10</v>
      </c>
      <c r="GA65">
        <f t="shared" si="949"/>
        <v>10</v>
      </c>
      <c r="GB65">
        <f t="shared" si="950"/>
        <v>10</v>
      </c>
      <c r="GC65">
        <f t="shared" si="951"/>
        <v>10</v>
      </c>
      <c r="GD65">
        <f t="shared" si="952"/>
        <v>10</v>
      </c>
      <c r="GE65">
        <f t="shared" si="953"/>
        <v>10</v>
      </c>
      <c r="GF65">
        <f t="shared" si="954"/>
        <v>10</v>
      </c>
      <c r="GG65">
        <f t="shared" si="955"/>
        <v>10</v>
      </c>
      <c r="GH65">
        <f t="shared" si="956"/>
        <v>10</v>
      </c>
      <c r="GI65">
        <f t="shared" si="957"/>
        <v>10</v>
      </c>
      <c r="GJ65">
        <f t="shared" si="958"/>
        <v>10</v>
      </c>
      <c r="GK65">
        <f t="shared" si="959"/>
        <v>10</v>
      </c>
      <c r="GL65">
        <f t="shared" si="960"/>
        <v>10</v>
      </c>
      <c r="GM65">
        <f t="shared" si="961"/>
        <v>10</v>
      </c>
      <c r="GN65">
        <f t="shared" si="962"/>
        <v>10</v>
      </c>
      <c r="GO65">
        <f t="shared" si="963"/>
        <v>10</v>
      </c>
      <c r="GP65">
        <f t="shared" si="964"/>
        <v>10</v>
      </c>
      <c r="GQ65">
        <f t="shared" si="965"/>
        <v>10</v>
      </c>
      <c r="GR65">
        <f t="shared" si="966"/>
        <v>10</v>
      </c>
      <c r="GS65">
        <f t="shared" si="967"/>
        <v>10</v>
      </c>
      <c r="GT65">
        <f t="shared" si="968"/>
        <v>10</v>
      </c>
      <c r="GU65">
        <f t="shared" si="969"/>
        <v>10</v>
      </c>
      <c r="GV65">
        <f t="shared" si="970"/>
        <v>10</v>
      </c>
      <c r="GW65">
        <f t="shared" si="971"/>
        <v>10</v>
      </c>
      <c r="GX65">
        <f t="shared" si="972"/>
        <v>10</v>
      </c>
      <c r="GY65">
        <f t="shared" si="973"/>
        <v>10</v>
      </c>
      <c r="GZ65">
        <f t="shared" si="974"/>
        <v>10</v>
      </c>
      <c r="HA65">
        <f t="shared" si="975"/>
        <v>10</v>
      </c>
      <c r="HB65">
        <f t="shared" si="976"/>
        <v>10</v>
      </c>
      <c r="HC65">
        <f t="shared" si="977"/>
        <v>10</v>
      </c>
      <c r="HD65">
        <f t="shared" si="978"/>
        <v>10</v>
      </c>
      <c r="HE65">
        <f t="shared" si="979"/>
        <v>10</v>
      </c>
      <c r="HF65">
        <f t="shared" si="980"/>
        <v>10</v>
      </c>
      <c r="HG65">
        <f t="shared" si="981"/>
        <v>10</v>
      </c>
      <c r="HH65">
        <f t="shared" si="982"/>
        <v>10</v>
      </c>
      <c r="HI65">
        <f t="shared" si="983"/>
        <v>10</v>
      </c>
      <c r="HJ65">
        <f t="shared" si="984"/>
        <v>10</v>
      </c>
      <c r="HK65">
        <f t="shared" si="985"/>
        <v>10</v>
      </c>
      <c r="HL65">
        <f t="shared" si="986"/>
        <v>10</v>
      </c>
      <c r="HM65">
        <f t="shared" si="987"/>
        <v>10</v>
      </c>
      <c r="HN65">
        <f t="shared" si="988"/>
        <v>10</v>
      </c>
      <c r="HO65">
        <f t="shared" si="989"/>
        <v>10</v>
      </c>
      <c r="HP65">
        <f t="shared" si="990"/>
        <v>10</v>
      </c>
      <c r="HQ65">
        <f t="shared" si="991"/>
        <v>10</v>
      </c>
      <c r="HR65">
        <f t="shared" si="992"/>
        <v>10</v>
      </c>
      <c r="HS65">
        <f t="shared" si="993"/>
        <v>10</v>
      </c>
      <c r="HT65">
        <f t="shared" si="994"/>
        <v>10</v>
      </c>
      <c r="HU65">
        <f t="shared" si="995"/>
        <v>10</v>
      </c>
      <c r="HV65">
        <f t="shared" si="996"/>
        <v>10</v>
      </c>
      <c r="HW65">
        <f t="shared" si="997"/>
        <v>10</v>
      </c>
      <c r="HX65">
        <f t="shared" si="998"/>
        <v>10</v>
      </c>
      <c r="HY65">
        <f t="shared" si="999"/>
        <v>10</v>
      </c>
      <c r="HZ65">
        <f t="shared" si="1000"/>
        <v>10</v>
      </c>
      <c r="IA65">
        <f t="shared" si="1001"/>
        <v>10</v>
      </c>
      <c r="IB65">
        <f t="shared" si="1002"/>
        <v>10</v>
      </c>
      <c r="IC65">
        <f t="shared" si="1003"/>
        <v>10</v>
      </c>
      <c r="ID65">
        <f t="shared" si="1004"/>
        <v>10</v>
      </c>
      <c r="IE65">
        <f t="shared" si="1005"/>
        <v>10</v>
      </c>
      <c r="IF65">
        <f t="shared" si="1006"/>
        <v>10</v>
      </c>
      <c r="IG65">
        <f t="shared" si="1007"/>
        <v>10</v>
      </c>
      <c r="IH65">
        <f t="shared" si="1008"/>
        <v>10</v>
      </c>
      <c r="II65">
        <f t="shared" si="1009"/>
        <v>10</v>
      </c>
      <c r="IJ65">
        <f t="shared" si="1010"/>
        <v>10</v>
      </c>
      <c r="IK65">
        <f t="shared" si="1011"/>
        <v>10</v>
      </c>
      <c r="IL65">
        <f t="shared" si="1012"/>
        <v>10</v>
      </c>
      <c r="IM65">
        <f t="shared" si="1013"/>
        <v>10</v>
      </c>
      <c r="IN65">
        <f t="shared" si="1014"/>
        <v>10</v>
      </c>
      <c r="IO65">
        <f t="shared" si="1015"/>
        <v>10</v>
      </c>
      <c r="IP65">
        <f t="shared" si="1016"/>
        <v>10</v>
      </c>
      <c r="IQ65">
        <f t="shared" si="1017"/>
        <v>10</v>
      </c>
      <c r="IR65">
        <f t="shared" si="1018"/>
        <v>10</v>
      </c>
      <c r="IS65">
        <f t="shared" si="1019"/>
        <v>10</v>
      </c>
      <c r="IT65">
        <f t="shared" si="1020"/>
        <v>10</v>
      </c>
      <c r="IU65">
        <f t="shared" si="1021"/>
        <v>10</v>
      </c>
      <c r="IV65">
        <f t="shared" si="1022"/>
        <v>10</v>
      </c>
    </row>
    <row r="66" spans="1:256" x14ac:dyDescent="0.2">
      <c r="A66" t="s">
        <v>537</v>
      </c>
      <c r="B66">
        <f t="shared" si="768"/>
        <v>10</v>
      </c>
      <c r="C66">
        <f t="shared" si="769"/>
        <v>10</v>
      </c>
      <c r="D66">
        <f t="shared" si="770"/>
        <v>10</v>
      </c>
      <c r="E66">
        <f t="shared" si="771"/>
        <v>10</v>
      </c>
      <c r="F66">
        <f t="shared" si="772"/>
        <v>10</v>
      </c>
      <c r="G66">
        <f t="shared" si="773"/>
        <v>10</v>
      </c>
      <c r="H66">
        <f t="shared" si="774"/>
        <v>10</v>
      </c>
      <c r="I66">
        <f t="shared" si="775"/>
        <v>10</v>
      </c>
      <c r="J66">
        <f t="shared" si="776"/>
        <v>10</v>
      </c>
      <c r="K66">
        <f t="shared" si="777"/>
        <v>10</v>
      </c>
      <c r="L66">
        <f t="shared" si="778"/>
        <v>10</v>
      </c>
      <c r="M66">
        <f t="shared" si="779"/>
        <v>10</v>
      </c>
      <c r="N66">
        <f t="shared" si="780"/>
        <v>10</v>
      </c>
      <c r="O66">
        <f t="shared" si="781"/>
        <v>10</v>
      </c>
      <c r="P66">
        <f t="shared" si="782"/>
        <v>10</v>
      </c>
      <c r="Q66">
        <f t="shared" si="783"/>
        <v>10</v>
      </c>
      <c r="R66">
        <f t="shared" si="784"/>
        <v>10</v>
      </c>
      <c r="S66">
        <f t="shared" si="785"/>
        <v>10</v>
      </c>
      <c r="T66">
        <f t="shared" si="786"/>
        <v>10</v>
      </c>
      <c r="U66">
        <f t="shared" si="787"/>
        <v>10</v>
      </c>
      <c r="V66">
        <f t="shared" si="788"/>
        <v>10</v>
      </c>
      <c r="W66">
        <f t="shared" si="789"/>
        <v>10</v>
      </c>
      <c r="X66">
        <f t="shared" si="790"/>
        <v>10</v>
      </c>
      <c r="Y66">
        <f t="shared" si="791"/>
        <v>10</v>
      </c>
      <c r="Z66">
        <f t="shared" si="792"/>
        <v>10</v>
      </c>
      <c r="AA66">
        <f t="shared" si="793"/>
        <v>10</v>
      </c>
      <c r="AB66">
        <f t="shared" si="794"/>
        <v>10</v>
      </c>
      <c r="AC66">
        <f t="shared" si="795"/>
        <v>10</v>
      </c>
      <c r="AD66">
        <f t="shared" si="796"/>
        <v>10</v>
      </c>
      <c r="AE66">
        <f t="shared" si="797"/>
        <v>10</v>
      </c>
      <c r="AF66">
        <f t="shared" si="798"/>
        <v>10</v>
      </c>
      <c r="AG66">
        <f t="shared" si="799"/>
        <v>10</v>
      </c>
      <c r="AH66">
        <f t="shared" si="800"/>
        <v>10</v>
      </c>
      <c r="AI66">
        <f t="shared" si="801"/>
        <v>10</v>
      </c>
      <c r="AJ66">
        <f t="shared" si="802"/>
        <v>10</v>
      </c>
      <c r="AK66">
        <f t="shared" si="803"/>
        <v>10</v>
      </c>
      <c r="AL66">
        <f t="shared" si="804"/>
        <v>10</v>
      </c>
      <c r="AM66">
        <f t="shared" si="805"/>
        <v>10</v>
      </c>
      <c r="AN66">
        <f t="shared" si="806"/>
        <v>10</v>
      </c>
      <c r="AO66">
        <f t="shared" si="807"/>
        <v>10</v>
      </c>
      <c r="AP66">
        <f t="shared" si="808"/>
        <v>10</v>
      </c>
      <c r="AQ66">
        <f t="shared" si="809"/>
        <v>10</v>
      </c>
      <c r="AR66">
        <f t="shared" si="810"/>
        <v>10</v>
      </c>
      <c r="AS66">
        <f t="shared" si="811"/>
        <v>10</v>
      </c>
      <c r="AT66">
        <f t="shared" si="812"/>
        <v>10</v>
      </c>
      <c r="AU66">
        <f t="shared" si="813"/>
        <v>10</v>
      </c>
      <c r="AV66">
        <f t="shared" si="814"/>
        <v>10</v>
      </c>
      <c r="AW66">
        <f t="shared" si="815"/>
        <v>10</v>
      </c>
      <c r="AX66">
        <f t="shared" si="816"/>
        <v>10</v>
      </c>
      <c r="AY66">
        <f t="shared" si="817"/>
        <v>10</v>
      </c>
      <c r="AZ66">
        <f t="shared" si="818"/>
        <v>10</v>
      </c>
      <c r="BA66">
        <f t="shared" si="819"/>
        <v>10</v>
      </c>
      <c r="BB66">
        <f t="shared" si="820"/>
        <v>10</v>
      </c>
      <c r="BC66">
        <f t="shared" si="821"/>
        <v>10</v>
      </c>
      <c r="BD66">
        <f t="shared" si="822"/>
        <v>10</v>
      </c>
      <c r="BE66">
        <f t="shared" si="823"/>
        <v>10</v>
      </c>
      <c r="BF66">
        <f t="shared" si="824"/>
        <v>10</v>
      </c>
      <c r="BG66">
        <f t="shared" si="825"/>
        <v>10</v>
      </c>
      <c r="BH66">
        <f t="shared" si="826"/>
        <v>10</v>
      </c>
      <c r="BI66">
        <f t="shared" si="827"/>
        <v>10</v>
      </c>
      <c r="BJ66">
        <f t="shared" si="828"/>
        <v>10</v>
      </c>
      <c r="BK66">
        <f t="shared" si="829"/>
        <v>10</v>
      </c>
      <c r="BL66">
        <f t="shared" si="830"/>
        <v>10</v>
      </c>
      <c r="BM66">
        <f t="shared" si="831"/>
        <v>10</v>
      </c>
      <c r="BN66">
        <f t="shared" si="832"/>
        <v>10</v>
      </c>
      <c r="BO66">
        <f t="shared" si="833"/>
        <v>10</v>
      </c>
      <c r="BP66">
        <f t="shared" si="834"/>
        <v>10</v>
      </c>
      <c r="BQ66">
        <f t="shared" si="835"/>
        <v>10</v>
      </c>
      <c r="BR66">
        <f t="shared" si="836"/>
        <v>10</v>
      </c>
      <c r="BS66">
        <f t="shared" si="837"/>
        <v>10</v>
      </c>
      <c r="BT66">
        <f t="shared" si="838"/>
        <v>10</v>
      </c>
      <c r="BU66">
        <f t="shared" si="839"/>
        <v>10</v>
      </c>
      <c r="BV66">
        <f t="shared" si="840"/>
        <v>10</v>
      </c>
      <c r="BW66">
        <f t="shared" si="841"/>
        <v>10</v>
      </c>
      <c r="BX66">
        <f t="shared" si="842"/>
        <v>10</v>
      </c>
      <c r="BY66">
        <f t="shared" si="843"/>
        <v>10</v>
      </c>
      <c r="BZ66">
        <f t="shared" si="844"/>
        <v>10</v>
      </c>
      <c r="CA66">
        <f t="shared" si="845"/>
        <v>10</v>
      </c>
      <c r="CB66">
        <f t="shared" si="846"/>
        <v>10</v>
      </c>
      <c r="CC66">
        <f t="shared" si="847"/>
        <v>10</v>
      </c>
      <c r="CD66">
        <f t="shared" si="848"/>
        <v>10</v>
      </c>
      <c r="CE66">
        <f t="shared" si="849"/>
        <v>10</v>
      </c>
      <c r="CF66">
        <f t="shared" si="850"/>
        <v>10</v>
      </c>
      <c r="CG66">
        <f t="shared" si="851"/>
        <v>10</v>
      </c>
      <c r="CH66">
        <f t="shared" si="852"/>
        <v>10</v>
      </c>
      <c r="CI66">
        <f t="shared" si="853"/>
        <v>10</v>
      </c>
      <c r="CJ66">
        <f t="shared" si="854"/>
        <v>10</v>
      </c>
      <c r="CK66">
        <f t="shared" si="855"/>
        <v>10</v>
      </c>
      <c r="CL66">
        <f t="shared" si="856"/>
        <v>10</v>
      </c>
      <c r="CM66">
        <f t="shared" si="857"/>
        <v>10</v>
      </c>
      <c r="CN66">
        <f t="shared" si="858"/>
        <v>10</v>
      </c>
      <c r="CO66">
        <f t="shared" si="859"/>
        <v>10</v>
      </c>
      <c r="CP66">
        <f t="shared" si="860"/>
        <v>10</v>
      </c>
      <c r="CQ66">
        <f t="shared" si="861"/>
        <v>10</v>
      </c>
      <c r="CR66">
        <f t="shared" si="862"/>
        <v>10</v>
      </c>
      <c r="CS66">
        <f t="shared" si="863"/>
        <v>10</v>
      </c>
      <c r="CT66">
        <f t="shared" si="864"/>
        <v>10</v>
      </c>
      <c r="CU66">
        <f t="shared" si="865"/>
        <v>10</v>
      </c>
      <c r="CV66">
        <f t="shared" si="866"/>
        <v>10</v>
      </c>
      <c r="CW66">
        <f t="shared" si="867"/>
        <v>10</v>
      </c>
      <c r="CX66">
        <f t="shared" si="868"/>
        <v>10</v>
      </c>
      <c r="CY66">
        <f t="shared" si="869"/>
        <v>10</v>
      </c>
      <c r="CZ66">
        <f t="shared" si="870"/>
        <v>10</v>
      </c>
      <c r="DA66">
        <f t="shared" si="871"/>
        <v>10</v>
      </c>
      <c r="DB66">
        <f t="shared" si="872"/>
        <v>10</v>
      </c>
      <c r="DC66">
        <f t="shared" si="873"/>
        <v>10</v>
      </c>
      <c r="DD66">
        <f t="shared" si="874"/>
        <v>10</v>
      </c>
      <c r="DE66">
        <f t="shared" si="875"/>
        <v>10</v>
      </c>
      <c r="DF66">
        <f t="shared" si="876"/>
        <v>10</v>
      </c>
      <c r="DG66">
        <f t="shared" si="877"/>
        <v>10</v>
      </c>
      <c r="DH66">
        <f t="shared" si="878"/>
        <v>10</v>
      </c>
      <c r="DI66">
        <f t="shared" si="879"/>
        <v>10</v>
      </c>
      <c r="DJ66">
        <f t="shared" si="880"/>
        <v>10</v>
      </c>
      <c r="DK66">
        <f t="shared" si="881"/>
        <v>10</v>
      </c>
      <c r="DL66">
        <f t="shared" si="882"/>
        <v>10</v>
      </c>
      <c r="DM66">
        <f t="shared" si="883"/>
        <v>10</v>
      </c>
      <c r="DN66">
        <f t="shared" si="884"/>
        <v>10</v>
      </c>
      <c r="DO66">
        <f t="shared" si="885"/>
        <v>10</v>
      </c>
      <c r="DP66">
        <f t="shared" si="886"/>
        <v>10</v>
      </c>
      <c r="DQ66">
        <f t="shared" si="887"/>
        <v>10</v>
      </c>
      <c r="DR66">
        <f t="shared" si="888"/>
        <v>10</v>
      </c>
      <c r="DS66">
        <f t="shared" si="889"/>
        <v>10</v>
      </c>
      <c r="DT66">
        <f t="shared" si="890"/>
        <v>10</v>
      </c>
      <c r="DU66">
        <f t="shared" si="891"/>
        <v>10</v>
      </c>
      <c r="DV66">
        <f t="shared" si="892"/>
        <v>10</v>
      </c>
      <c r="DW66">
        <f t="shared" si="893"/>
        <v>10</v>
      </c>
      <c r="DX66">
        <f t="shared" si="894"/>
        <v>10</v>
      </c>
      <c r="DY66">
        <f t="shared" si="895"/>
        <v>10</v>
      </c>
      <c r="DZ66">
        <f t="shared" si="896"/>
        <v>10</v>
      </c>
      <c r="EA66">
        <f t="shared" si="897"/>
        <v>10</v>
      </c>
      <c r="EB66">
        <f t="shared" si="898"/>
        <v>10</v>
      </c>
      <c r="EC66">
        <f t="shared" si="899"/>
        <v>10</v>
      </c>
      <c r="ED66">
        <f t="shared" si="900"/>
        <v>10</v>
      </c>
      <c r="EE66">
        <f t="shared" si="901"/>
        <v>10</v>
      </c>
      <c r="EF66">
        <f t="shared" si="902"/>
        <v>10</v>
      </c>
      <c r="EG66">
        <f t="shared" si="903"/>
        <v>10</v>
      </c>
      <c r="EH66">
        <f t="shared" si="904"/>
        <v>10</v>
      </c>
      <c r="EI66">
        <f t="shared" si="905"/>
        <v>10</v>
      </c>
      <c r="EJ66">
        <f t="shared" si="906"/>
        <v>10</v>
      </c>
      <c r="EK66">
        <f t="shared" si="907"/>
        <v>10</v>
      </c>
      <c r="EL66">
        <f t="shared" si="908"/>
        <v>10</v>
      </c>
      <c r="EM66">
        <f t="shared" si="909"/>
        <v>10</v>
      </c>
      <c r="EN66">
        <f t="shared" si="910"/>
        <v>10</v>
      </c>
      <c r="EO66">
        <f t="shared" si="911"/>
        <v>10</v>
      </c>
      <c r="EP66">
        <f t="shared" si="912"/>
        <v>10</v>
      </c>
      <c r="EQ66">
        <f t="shared" si="913"/>
        <v>10</v>
      </c>
      <c r="ER66">
        <f t="shared" si="914"/>
        <v>10</v>
      </c>
      <c r="ES66">
        <f t="shared" si="915"/>
        <v>10</v>
      </c>
      <c r="ET66">
        <f t="shared" si="916"/>
        <v>10</v>
      </c>
      <c r="EU66">
        <f t="shared" si="917"/>
        <v>10</v>
      </c>
      <c r="EV66">
        <f t="shared" si="918"/>
        <v>10</v>
      </c>
      <c r="EW66">
        <f t="shared" si="919"/>
        <v>10</v>
      </c>
      <c r="EX66">
        <f t="shared" si="920"/>
        <v>10</v>
      </c>
      <c r="EY66">
        <f t="shared" si="921"/>
        <v>10</v>
      </c>
      <c r="EZ66">
        <f t="shared" si="922"/>
        <v>10</v>
      </c>
      <c r="FA66">
        <f t="shared" si="923"/>
        <v>10</v>
      </c>
      <c r="FB66">
        <f t="shared" si="924"/>
        <v>10</v>
      </c>
      <c r="FC66">
        <f t="shared" si="925"/>
        <v>10</v>
      </c>
      <c r="FD66">
        <f t="shared" si="926"/>
        <v>10</v>
      </c>
      <c r="FE66">
        <f t="shared" si="927"/>
        <v>10</v>
      </c>
      <c r="FF66">
        <f t="shared" si="928"/>
        <v>10</v>
      </c>
      <c r="FG66">
        <f t="shared" si="929"/>
        <v>10</v>
      </c>
      <c r="FH66">
        <f t="shared" si="930"/>
        <v>10</v>
      </c>
      <c r="FI66">
        <f t="shared" si="931"/>
        <v>10</v>
      </c>
      <c r="FJ66">
        <f t="shared" si="932"/>
        <v>10</v>
      </c>
      <c r="FK66">
        <f t="shared" si="933"/>
        <v>10</v>
      </c>
      <c r="FL66">
        <f t="shared" si="934"/>
        <v>10</v>
      </c>
      <c r="FM66">
        <f t="shared" si="935"/>
        <v>10</v>
      </c>
      <c r="FN66">
        <f t="shared" si="936"/>
        <v>10</v>
      </c>
      <c r="FO66">
        <f t="shared" si="937"/>
        <v>10</v>
      </c>
      <c r="FP66">
        <f t="shared" si="938"/>
        <v>10</v>
      </c>
      <c r="FQ66">
        <f t="shared" si="939"/>
        <v>10</v>
      </c>
      <c r="FR66">
        <f t="shared" si="940"/>
        <v>10</v>
      </c>
      <c r="FS66">
        <f t="shared" si="941"/>
        <v>10</v>
      </c>
      <c r="FT66">
        <f t="shared" si="942"/>
        <v>10</v>
      </c>
      <c r="FU66">
        <f t="shared" si="943"/>
        <v>10</v>
      </c>
      <c r="FV66">
        <f t="shared" si="944"/>
        <v>10</v>
      </c>
      <c r="FW66">
        <f t="shared" si="945"/>
        <v>10</v>
      </c>
      <c r="FX66">
        <f t="shared" si="946"/>
        <v>10</v>
      </c>
      <c r="FY66">
        <f t="shared" si="947"/>
        <v>10</v>
      </c>
      <c r="FZ66">
        <f t="shared" si="948"/>
        <v>10</v>
      </c>
      <c r="GA66">
        <f t="shared" si="949"/>
        <v>10</v>
      </c>
      <c r="GB66">
        <f t="shared" si="950"/>
        <v>10</v>
      </c>
      <c r="GC66">
        <f t="shared" si="951"/>
        <v>10</v>
      </c>
      <c r="GD66">
        <f t="shared" si="952"/>
        <v>10</v>
      </c>
      <c r="GE66">
        <f t="shared" si="953"/>
        <v>10</v>
      </c>
      <c r="GF66">
        <f t="shared" si="954"/>
        <v>10</v>
      </c>
      <c r="GG66">
        <f t="shared" si="955"/>
        <v>10</v>
      </c>
      <c r="GH66">
        <f t="shared" si="956"/>
        <v>10</v>
      </c>
      <c r="GI66">
        <f t="shared" si="957"/>
        <v>10</v>
      </c>
      <c r="GJ66">
        <f t="shared" si="958"/>
        <v>10</v>
      </c>
      <c r="GK66">
        <f t="shared" si="959"/>
        <v>10</v>
      </c>
      <c r="GL66">
        <f t="shared" si="960"/>
        <v>10</v>
      </c>
      <c r="GM66">
        <f t="shared" si="961"/>
        <v>10</v>
      </c>
      <c r="GN66">
        <f t="shared" si="962"/>
        <v>10</v>
      </c>
      <c r="GO66">
        <f t="shared" si="963"/>
        <v>10</v>
      </c>
      <c r="GP66">
        <f t="shared" si="964"/>
        <v>10</v>
      </c>
      <c r="GQ66">
        <f t="shared" si="965"/>
        <v>10</v>
      </c>
      <c r="GR66">
        <f t="shared" si="966"/>
        <v>10</v>
      </c>
      <c r="GS66">
        <f t="shared" si="967"/>
        <v>10</v>
      </c>
      <c r="GT66">
        <f t="shared" si="968"/>
        <v>10</v>
      </c>
      <c r="GU66">
        <f t="shared" si="969"/>
        <v>10</v>
      </c>
      <c r="GV66">
        <f t="shared" si="970"/>
        <v>10</v>
      </c>
      <c r="GW66">
        <f t="shared" si="971"/>
        <v>10</v>
      </c>
      <c r="GX66">
        <f t="shared" si="972"/>
        <v>10</v>
      </c>
      <c r="GY66">
        <f t="shared" si="973"/>
        <v>10</v>
      </c>
      <c r="GZ66">
        <f t="shared" si="974"/>
        <v>10</v>
      </c>
      <c r="HA66">
        <f t="shared" si="975"/>
        <v>10</v>
      </c>
      <c r="HB66">
        <f t="shared" si="976"/>
        <v>10</v>
      </c>
      <c r="HC66">
        <f t="shared" si="977"/>
        <v>10</v>
      </c>
      <c r="HD66">
        <f t="shared" si="978"/>
        <v>10</v>
      </c>
      <c r="HE66">
        <f t="shared" si="979"/>
        <v>10</v>
      </c>
      <c r="HF66">
        <f t="shared" si="980"/>
        <v>10</v>
      </c>
      <c r="HG66">
        <f t="shared" si="981"/>
        <v>10</v>
      </c>
      <c r="HH66">
        <f t="shared" si="982"/>
        <v>10</v>
      </c>
      <c r="HI66">
        <f t="shared" si="983"/>
        <v>10</v>
      </c>
      <c r="HJ66">
        <f t="shared" si="984"/>
        <v>10</v>
      </c>
      <c r="HK66">
        <f t="shared" si="985"/>
        <v>10</v>
      </c>
      <c r="HL66">
        <f t="shared" si="986"/>
        <v>10</v>
      </c>
      <c r="HM66">
        <f t="shared" si="987"/>
        <v>10</v>
      </c>
      <c r="HN66">
        <f t="shared" si="988"/>
        <v>10</v>
      </c>
      <c r="HO66">
        <f t="shared" si="989"/>
        <v>10</v>
      </c>
      <c r="HP66">
        <f t="shared" si="990"/>
        <v>10</v>
      </c>
      <c r="HQ66">
        <f t="shared" si="991"/>
        <v>10</v>
      </c>
      <c r="HR66">
        <f t="shared" si="992"/>
        <v>10</v>
      </c>
      <c r="HS66">
        <f t="shared" si="993"/>
        <v>10</v>
      </c>
      <c r="HT66">
        <f t="shared" si="994"/>
        <v>10</v>
      </c>
      <c r="HU66">
        <f t="shared" si="995"/>
        <v>10</v>
      </c>
      <c r="HV66">
        <f t="shared" si="996"/>
        <v>10</v>
      </c>
      <c r="HW66">
        <f t="shared" si="997"/>
        <v>10</v>
      </c>
      <c r="HX66">
        <f t="shared" si="998"/>
        <v>10</v>
      </c>
      <c r="HY66">
        <f t="shared" si="999"/>
        <v>10</v>
      </c>
      <c r="HZ66">
        <f t="shared" si="1000"/>
        <v>10</v>
      </c>
      <c r="IA66">
        <f t="shared" si="1001"/>
        <v>10</v>
      </c>
      <c r="IB66">
        <f t="shared" si="1002"/>
        <v>10</v>
      </c>
      <c r="IC66">
        <f t="shared" si="1003"/>
        <v>10</v>
      </c>
      <c r="ID66">
        <f t="shared" si="1004"/>
        <v>10</v>
      </c>
      <c r="IE66">
        <f t="shared" si="1005"/>
        <v>10</v>
      </c>
      <c r="IF66">
        <f t="shared" si="1006"/>
        <v>10</v>
      </c>
      <c r="IG66">
        <f t="shared" si="1007"/>
        <v>10</v>
      </c>
      <c r="IH66">
        <f t="shared" si="1008"/>
        <v>10</v>
      </c>
      <c r="II66">
        <f t="shared" si="1009"/>
        <v>10</v>
      </c>
      <c r="IJ66">
        <f t="shared" si="1010"/>
        <v>10</v>
      </c>
      <c r="IK66">
        <f t="shared" si="1011"/>
        <v>10</v>
      </c>
      <c r="IL66">
        <f t="shared" si="1012"/>
        <v>10</v>
      </c>
      <c r="IM66">
        <f t="shared" si="1013"/>
        <v>10</v>
      </c>
      <c r="IN66">
        <f t="shared" si="1014"/>
        <v>10</v>
      </c>
      <c r="IO66">
        <f t="shared" si="1015"/>
        <v>10</v>
      </c>
      <c r="IP66">
        <f t="shared" si="1016"/>
        <v>10</v>
      </c>
      <c r="IQ66">
        <f t="shared" si="1017"/>
        <v>10</v>
      </c>
      <c r="IR66">
        <f t="shared" si="1018"/>
        <v>10</v>
      </c>
      <c r="IS66">
        <f t="shared" si="1019"/>
        <v>10</v>
      </c>
      <c r="IT66">
        <f t="shared" si="1020"/>
        <v>10</v>
      </c>
      <c r="IU66">
        <f t="shared" si="1021"/>
        <v>10</v>
      </c>
      <c r="IV66">
        <f t="shared" si="1022"/>
        <v>10</v>
      </c>
    </row>
    <row r="67" spans="1:256" x14ac:dyDescent="0.2">
      <c r="A67" t="s">
        <v>538</v>
      </c>
      <c r="B67">
        <f t="shared" si="768"/>
        <v>10</v>
      </c>
      <c r="C67">
        <f t="shared" si="769"/>
        <v>10</v>
      </c>
      <c r="D67">
        <f t="shared" si="770"/>
        <v>10</v>
      </c>
      <c r="E67">
        <f t="shared" si="771"/>
        <v>10</v>
      </c>
      <c r="F67">
        <f t="shared" si="772"/>
        <v>10</v>
      </c>
      <c r="G67">
        <f t="shared" si="773"/>
        <v>10</v>
      </c>
      <c r="H67">
        <f t="shared" si="774"/>
        <v>10</v>
      </c>
      <c r="I67">
        <f t="shared" si="775"/>
        <v>10</v>
      </c>
      <c r="J67">
        <f t="shared" si="776"/>
        <v>10</v>
      </c>
      <c r="K67">
        <f t="shared" si="777"/>
        <v>10</v>
      </c>
      <c r="L67">
        <f t="shared" si="778"/>
        <v>10</v>
      </c>
      <c r="M67">
        <f t="shared" si="779"/>
        <v>10</v>
      </c>
      <c r="N67">
        <f t="shared" si="780"/>
        <v>10</v>
      </c>
      <c r="O67">
        <f t="shared" si="781"/>
        <v>10</v>
      </c>
      <c r="P67">
        <f t="shared" si="782"/>
        <v>10</v>
      </c>
      <c r="Q67">
        <f t="shared" si="783"/>
        <v>10</v>
      </c>
      <c r="R67">
        <f t="shared" si="784"/>
        <v>10</v>
      </c>
      <c r="S67">
        <f t="shared" si="785"/>
        <v>10</v>
      </c>
      <c r="T67">
        <f t="shared" si="786"/>
        <v>10</v>
      </c>
      <c r="U67">
        <f t="shared" si="787"/>
        <v>10</v>
      </c>
      <c r="V67">
        <f t="shared" si="788"/>
        <v>10</v>
      </c>
      <c r="W67">
        <f t="shared" si="789"/>
        <v>10</v>
      </c>
      <c r="X67">
        <f t="shared" si="790"/>
        <v>10</v>
      </c>
      <c r="Y67">
        <f t="shared" si="791"/>
        <v>10</v>
      </c>
      <c r="Z67">
        <f t="shared" si="792"/>
        <v>10</v>
      </c>
      <c r="AA67">
        <f t="shared" si="793"/>
        <v>10</v>
      </c>
      <c r="AB67">
        <f t="shared" si="794"/>
        <v>10</v>
      </c>
      <c r="AC67">
        <f t="shared" si="795"/>
        <v>10</v>
      </c>
      <c r="AD67">
        <f t="shared" si="796"/>
        <v>10</v>
      </c>
      <c r="AE67">
        <f t="shared" si="797"/>
        <v>10</v>
      </c>
      <c r="AF67">
        <f t="shared" si="798"/>
        <v>10</v>
      </c>
      <c r="AG67">
        <f t="shared" si="799"/>
        <v>10</v>
      </c>
      <c r="AH67">
        <f t="shared" si="800"/>
        <v>10</v>
      </c>
      <c r="AI67">
        <f t="shared" si="801"/>
        <v>10</v>
      </c>
      <c r="AJ67">
        <f t="shared" si="802"/>
        <v>10</v>
      </c>
      <c r="AK67">
        <f t="shared" si="803"/>
        <v>10</v>
      </c>
      <c r="AL67">
        <f t="shared" si="804"/>
        <v>10</v>
      </c>
      <c r="AM67">
        <f t="shared" si="805"/>
        <v>10</v>
      </c>
      <c r="AN67">
        <f t="shared" si="806"/>
        <v>10</v>
      </c>
      <c r="AO67">
        <f t="shared" si="807"/>
        <v>10</v>
      </c>
      <c r="AP67">
        <f t="shared" si="808"/>
        <v>10</v>
      </c>
      <c r="AQ67">
        <f t="shared" si="809"/>
        <v>10</v>
      </c>
      <c r="AR67">
        <f t="shared" si="810"/>
        <v>10</v>
      </c>
      <c r="AS67">
        <f t="shared" si="811"/>
        <v>10</v>
      </c>
      <c r="AT67">
        <f t="shared" si="812"/>
        <v>10</v>
      </c>
      <c r="AU67">
        <f t="shared" si="813"/>
        <v>10</v>
      </c>
      <c r="AV67">
        <f t="shared" si="814"/>
        <v>10</v>
      </c>
      <c r="AW67">
        <f t="shared" si="815"/>
        <v>10</v>
      </c>
      <c r="AX67">
        <f t="shared" si="816"/>
        <v>10</v>
      </c>
      <c r="AY67">
        <f t="shared" si="817"/>
        <v>10</v>
      </c>
      <c r="AZ67">
        <f t="shared" si="818"/>
        <v>10</v>
      </c>
      <c r="BA67">
        <f t="shared" si="819"/>
        <v>10</v>
      </c>
      <c r="BB67">
        <f t="shared" si="820"/>
        <v>10</v>
      </c>
      <c r="BC67">
        <f t="shared" si="821"/>
        <v>10</v>
      </c>
      <c r="BD67">
        <f t="shared" si="822"/>
        <v>10</v>
      </c>
      <c r="BE67">
        <f t="shared" si="823"/>
        <v>10</v>
      </c>
      <c r="BF67">
        <f t="shared" si="824"/>
        <v>10</v>
      </c>
      <c r="BG67">
        <f t="shared" si="825"/>
        <v>10</v>
      </c>
      <c r="BH67">
        <f t="shared" si="826"/>
        <v>10</v>
      </c>
      <c r="BI67">
        <f t="shared" si="827"/>
        <v>10</v>
      </c>
      <c r="BJ67">
        <f t="shared" si="828"/>
        <v>10</v>
      </c>
      <c r="BK67">
        <f t="shared" si="829"/>
        <v>10</v>
      </c>
      <c r="BL67">
        <f t="shared" si="830"/>
        <v>10</v>
      </c>
      <c r="BM67">
        <f t="shared" si="831"/>
        <v>10</v>
      </c>
      <c r="BN67">
        <f t="shared" si="832"/>
        <v>10</v>
      </c>
      <c r="BO67">
        <f t="shared" si="833"/>
        <v>10</v>
      </c>
      <c r="BP67">
        <f t="shared" si="834"/>
        <v>10</v>
      </c>
      <c r="BQ67">
        <f t="shared" si="835"/>
        <v>10</v>
      </c>
      <c r="BR67">
        <f t="shared" si="836"/>
        <v>10</v>
      </c>
      <c r="BS67">
        <f t="shared" si="837"/>
        <v>10</v>
      </c>
      <c r="BT67">
        <f t="shared" si="838"/>
        <v>10</v>
      </c>
      <c r="BU67">
        <f t="shared" si="839"/>
        <v>10</v>
      </c>
      <c r="BV67">
        <f t="shared" si="840"/>
        <v>10</v>
      </c>
      <c r="BW67">
        <f t="shared" si="841"/>
        <v>10</v>
      </c>
      <c r="BX67">
        <f t="shared" si="842"/>
        <v>10</v>
      </c>
      <c r="BY67">
        <f t="shared" si="843"/>
        <v>10</v>
      </c>
      <c r="BZ67">
        <f t="shared" si="844"/>
        <v>10</v>
      </c>
      <c r="CA67">
        <f t="shared" si="845"/>
        <v>10</v>
      </c>
      <c r="CB67">
        <f t="shared" si="846"/>
        <v>10</v>
      </c>
      <c r="CC67">
        <f t="shared" si="847"/>
        <v>10</v>
      </c>
      <c r="CD67">
        <f t="shared" si="848"/>
        <v>10</v>
      </c>
      <c r="CE67">
        <f t="shared" si="849"/>
        <v>10</v>
      </c>
      <c r="CF67">
        <f t="shared" si="850"/>
        <v>10</v>
      </c>
      <c r="CG67">
        <f t="shared" si="851"/>
        <v>10</v>
      </c>
      <c r="CH67">
        <f t="shared" si="852"/>
        <v>10</v>
      </c>
      <c r="CI67">
        <f t="shared" si="853"/>
        <v>10</v>
      </c>
      <c r="CJ67">
        <f t="shared" si="854"/>
        <v>10</v>
      </c>
      <c r="CK67">
        <f t="shared" si="855"/>
        <v>10</v>
      </c>
      <c r="CL67">
        <f t="shared" si="856"/>
        <v>10</v>
      </c>
      <c r="CM67">
        <f t="shared" si="857"/>
        <v>10</v>
      </c>
      <c r="CN67">
        <f t="shared" si="858"/>
        <v>10</v>
      </c>
      <c r="CO67">
        <f t="shared" si="859"/>
        <v>10</v>
      </c>
      <c r="CP67">
        <f t="shared" si="860"/>
        <v>10</v>
      </c>
      <c r="CQ67">
        <f t="shared" si="861"/>
        <v>10</v>
      </c>
      <c r="CR67">
        <f t="shared" si="862"/>
        <v>10</v>
      </c>
      <c r="CS67">
        <f t="shared" si="863"/>
        <v>10</v>
      </c>
      <c r="CT67">
        <f t="shared" si="864"/>
        <v>10</v>
      </c>
      <c r="CU67">
        <f t="shared" si="865"/>
        <v>10</v>
      </c>
      <c r="CV67">
        <f t="shared" si="866"/>
        <v>10</v>
      </c>
      <c r="CW67">
        <f t="shared" si="867"/>
        <v>10</v>
      </c>
      <c r="CX67">
        <f t="shared" si="868"/>
        <v>10</v>
      </c>
      <c r="CY67">
        <f t="shared" si="869"/>
        <v>10</v>
      </c>
      <c r="CZ67">
        <f t="shared" si="870"/>
        <v>10</v>
      </c>
      <c r="DA67">
        <f t="shared" si="871"/>
        <v>10</v>
      </c>
      <c r="DB67">
        <f t="shared" si="872"/>
        <v>10</v>
      </c>
      <c r="DC67">
        <f t="shared" si="873"/>
        <v>10</v>
      </c>
      <c r="DD67">
        <f t="shared" si="874"/>
        <v>10</v>
      </c>
      <c r="DE67">
        <f t="shared" si="875"/>
        <v>10</v>
      </c>
      <c r="DF67">
        <f t="shared" si="876"/>
        <v>10</v>
      </c>
      <c r="DG67">
        <f t="shared" si="877"/>
        <v>10</v>
      </c>
      <c r="DH67">
        <f t="shared" si="878"/>
        <v>10</v>
      </c>
      <c r="DI67">
        <f t="shared" si="879"/>
        <v>10</v>
      </c>
      <c r="DJ67">
        <f t="shared" si="880"/>
        <v>10</v>
      </c>
      <c r="DK67">
        <f t="shared" si="881"/>
        <v>10</v>
      </c>
      <c r="DL67">
        <f t="shared" si="882"/>
        <v>10</v>
      </c>
      <c r="DM67">
        <f t="shared" si="883"/>
        <v>10</v>
      </c>
      <c r="DN67">
        <f t="shared" si="884"/>
        <v>10</v>
      </c>
      <c r="DO67">
        <f t="shared" si="885"/>
        <v>10</v>
      </c>
      <c r="DP67">
        <f t="shared" si="886"/>
        <v>10</v>
      </c>
      <c r="DQ67">
        <f t="shared" si="887"/>
        <v>10</v>
      </c>
      <c r="DR67">
        <f t="shared" si="888"/>
        <v>10</v>
      </c>
      <c r="DS67">
        <f t="shared" si="889"/>
        <v>10</v>
      </c>
      <c r="DT67">
        <f t="shared" si="890"/>
        <v>10</v>
      </c>
      <c r="DU67">
        <f t="shared" si="891"/>
        <v>10</v>
      </c>
      <c r="DV67">
        <f t="shared" si="892"/>
        <v>10</v>
      </c>
      <c r="DW67">
        <f t="shared" si="893"/>
        <v>10</v>
      </c>
      <c r="DX67">
        <f t="shared" si="894"/>
        <v>10</v>
      </c>
      <c r="DY67">
        <f t="shared" si="895"/>
        <v>10</v>
      </c>
      <c r="DZ67">
        <f t="shared" si="896"/>
        <v>10</v>
      </c>
      <c r="EA67">
        <f t="shared" si="897"/>
        <v>10</v>
      </c>
      <c r="EB67">
        <f t="shared" si="898"/>
        <v>10</v>
      </c>
      <c r="EC67">
        <f t="shared" si="899"/>
        <v>10</v>
      </c>
      <c r="ED67">
        <f t="shared" si="900"/>
        <v>10</v>
      </c>
      <c r="EE67">
        <f t="shared" si="901"/>
        <v>10</v>
      </c>
      <c r="EF67">
        <f t="shared" si="902"/>
        <v>10</v>
      </c>
      <c r="EG67">
        <f t="shared" si="903"/>
        <v>10</v>
      </c>
      <c r="EH67">
        <f t="shared" si="904"/>
        <v>10</v>
      </c>
      <c r="EI67">
        <f t="shared" si="905"/>
        <v>10</v>
      </c>
      <c r="EJ67">
        <f t="shared" si="906"/>
        <v>10</v>
      </c>
      <c r="EK67">
        <f t="shared" si="907"/>
        <v>10</v>
      </c>
      <c r="EL67">
        <f t="shared" si="908"/>
        <v>10</v>
      </c>
      <c r="EM67">
        <f t="shared" si="909"/>
        <v>10</v>
      </c>
      <c r="EN67">
        <f t="shared" si="910"/>
        <v>10</v>
      </c>
      <c r="EO67">
        <f t="shared" si="911"/>
        <v>10</v>
      </c>
      <c r="EP67">
        <f t="shared" si="912"/>
        <v>10</v>
      </c>
      <c r="EQ67">
        <f t="shared" si="913"/>
        <v>10</v>
      </c>
      <c r="ER67">
        <f t="shared" si="914"/>
        <v>10</v>
      </c>
      <c r="ES67">
        <f t="shared" si="915"/>
        <v>10</v>
      </c>
      <c r="ET67">
        <f t="shared" si="916"/>
        <v>10</v>
      </c>
      <c r="EU67">
        <f t="shared" si="917"/>
        <v>10</v>
      </c>
      <c r="EV67">
        <f t="shared" si="918"/>
        <v>10</v>
      </c>
      <c r="EW67">
        <f t="shared" si="919"/>
        <v>10</v>
      </c>
      <c r="EX67">
        <f t="shared" si="920"/>
        <v>10</v>
      </c>
      <c r="EY67">
        <f t="shared" si="921"/>
        <v>10</v>
      </c>
      <c r="EZ67">
        <f t="shared" si="922"/>
        <v>10</v>
      </c>
      <c r="FA67">
        <f t="shared" si="923"/>
        <v>10</v>
      </c>
      <c r="FB67">
        <f t="shared" si="924"/>
        <v>10</v>
      </c>
      <c r="FC67">
        <f t="shared" si="925"/>
        <v>10</v>
      </c>
      <c r="FD67">
        <f t="shared" si="926"/>
        <v>10</v>
      </c>
      <c r="FE67">
        <f t="shared" si="927"/>
        <v>10</v>
      </c>
      <c r="FF67">
        <f t="shared" si="928"/>
        <v>10</v>
      </c>
      <c r="FG67">
        <f t="shared" si="929"/>
        <v>10</v>
      </c>
      <c r="FH67">
        <f t="shared" si="930"/>
        <v>10</v>
      </c>
      <c r="FI67">
        <f t="shared" si="931"/>
        <v>10</v>
      </c>
      <c r="FJ67">
        <f t="shared" si="932"/>
        <v>10</v>
      </c>
      <c r="FK67">
        <f t="shared" si="933"/>
        <v>10</v>
      </c>
      <c r="FL67">
        <f t="shared" si="934"/>
        <v>10</v>
      </c>
      <c r="FM67">
        <f t="shared" si="935"/>
        <v>10</v>
      </c>
      <c r="FN67">
        <f t="shared" si="936"/>
        <v>10</v>
      </c>
      <c r="FO67">
        <f t="shared" si="937"/>
        <v>10</v>
      </c>
      <c r="FP67">
        <f t="shared" si="938"/>
        <v>10</v>
      </c>
      <c r="FQ67">
        <f t="shared" si="939"/>
        <v>10</v>
      </c>
      <c r="FR67">
        <f t="shared" si="940"/>
        <v>10</v>
      </c>
      <c r="FS67">
        <f t="shared" si="941"/>
        <v>10</v>
      </c>
      <c r="FT67">
        <f t="shared" si="942"/>
        <v>10</v>
      </c>
      <c r="FU67">
        <f t="shared" si="943"/>
        <v>10</v>
      </c>
      <c r="FV67">
        <f t="shared" si="944"/>
        <v>10</v>
      </c>
      <c r="FW67">
        <f t="shared" si="945"/>
        <v>10</v>
      </c>
      <c r="FX67">
        <f t="shared" si="946"/>
        <v>10</v>
      </c>
      <c r="FY67">
        <f t="shared" si="947"/>
        <v>10</v>
      </c>
      <c r="FZ67">
        <f t="shared" si="948"/>
        <v>10</v>
      </c>
      <c r="GA67">
        <f t="shared" si="949"/>
        <v>10</v>
      </c>
      <c r="GB67">
        <f t="shared" si="950"/>
        <v>10</v>
      </c>
      <c r="GC67">
        <f t="shared" si="951"/>
        <v>10</v>
      </c>
      <c r="GD67">
        <f t="shared" si="952"/>
        <v>10</v>
      </c>
      <c r="GE67">
        <f t="shared" si="953"/>
        <v>10</v>
      </c>
      <c r="GF67">
        <f t="shared" si="954"/>
        <v>10</v>
      </c>
      <c r="GG67">
        <f t="shared" si="955"/>
        <v>10</v>
      </c>
      <c r="GH67">
        <f t="shared" si="956"/>
        <v>10</v>
      </c>
      <c r="GI67">
        <f t="shared" si="957"/>
        <v>10</v>
      </c>
      <c r="GJ67">
        <f t="shared" si="958"/>
        <v>10</v>
      </c>
      <c r="GK67">
        <f t="shared" si="959"/>
        <v>10</v>
      </c>
      <c r="GL67">
        <f t="shared" si="960"/>
        <v>10</v>
      </c>
      <c r="GM67">
        <f t="shared" si="961"/>
        <v>10</v>
      </c>
      <c r="GN67">
        <f t="shared" si="962"/>
        <v>10</v>
      </c>
      <c r="GO67">
        <f t="shared" si="963"/>
        <v>10</v>
      </c>
      <c r="GP67">
        <f t="shared" si="964"/>
        <v>10</v>
      </c>
      <c r="GQ67">
        <f t="shared" si="965"/>
        <v>10</v>
      </c>
      <c r="GR67">
        <f t="shared" si="966"/>
        <v>10</v>
      </c>
      <c r="GS67">
        <f t="shared" si="967"/>
        <v>10</v>
      </c>
      <c r="GT67">
        <f t="shared" si="968"/>
        <v>10</v>
      </c>
      <c r="GU67">
        <f t="shared" si="969"/>
        <v>10</v>
      </c>
      <c r="GV67">
        <f t="shared" si="970"/>
        <v>10</v>
      </c>
      <c r="GW67">
        <f t="shared" si="971"/>
        <v>10</v>
      </c>
      <c r="GX67">
        <f t="shared" si="972"/>
        <v>10</v>
      </c>
      <c r="GY67">
        <f t="shared" si="973"/>
        <v>10</v>
      </c>
      <c r="GZ67">
        <f t="shared" si="974"/>
        <v>10</v>
      </c>
      <c r="HA67">
        <f t="shared" si="975"/>
        <v>10</v>
      </c>
      <c r="HB67">
        <f t="shared" si="976"/>
        <v>10</v>
      </c>
      <c r="HC67">
        <f t="shared" si="977"/>
        <v>10</v>
      </c>
      <c r="HD67">
        <f t="shared" si="978"/>
        <v>10</v>
      </c>
      <c r="HE67">
        <f t="shared" si="979"/>
        <v>10</v>
      </c>
      <c r="HF67">
        <f t="shared" si="980"/>
        <v>10</v>
      </c>
      <c r="HG67">
        <f t="shared" si="981"/>
        <v>10</v>
      </c>
      <c r="HH67">
        <f t="shared" si="982"/>
        <v>10</v>
      </c>
      <c r="HI67">
        <f t="shared" si="983"/>
        <v>10</v>
      </c>
      <c r="HJ67">
        <f t="shared" si="984"/>
        <v>10</v>
      </c>
      <c r="HK67">
        <f t="shared" si="985"/>
        <v>10</v>
      </c>
      <c r="HL67">
        <f t="shared" si="986"/>
        <v>10</v>
      </c>
      <c r="HM67">
        <f t="shared" si="987"/>
        <v>10</v>
      </c>
      <c r="HN67">
        <f t="shared" si="988"/>
        <v>10</v>
      </c>
      <c r="HO67">
        <f t="shared" si="989"/>
        <v>10</v>
      </c>
      <c r="HP67">
        <f t="shared" si="990"/>
        <v>10</v>
      </c>
      <c r="HQ67">
        <f t="shared" si="991"/>
        <v>10</v>
      </c>
      <c r="HR67">
        <f t="shared" si="992"/>
        <v>10</v>
      </c>
      <c r="HS67">
        <f t="shared" si="993"/>
        <v>10</v>
      </c>
      <c r="HT67">
        <f t="shared" si="994"/>
        <v>10</v>
      </c>
      <c r="HU67">
        <f t="shared" si="995"/>
        <v>10</v>
      </c>
      <c r="HV67">
        <f t="shared" si="996"/>
        <v>10</v>
      </c>
      <c r="HW67">
        <f t="shared" si="997"/>
        <v>10</v>
      </c>
      <c r="HX67">
        <f t="shared" si="998"/>
        <v>10</v>
      </c>
      <c r="HY67">
        <f t="shared" si="999"/>
        <v>10</v>
      </c>
      <c r="HZ67">
        <f t="shared" si="1000"/>
        <v>10</v>
      </c>
      <c r="IA67">
        <f t="shared" si="1001"/>
        <v>10</v>
      </c>
      <c r="IB67">
        <f t="shared" si="1002"/>
        <v>10</v>
      </c>
      <c r="IC67">
        <f t="shared" si="1003"/>
        <v>10</v>
      </c>
      <c r="ID67">
        <f t="shared" si="1004"/>
        <v>10</v>
      </c>
      <c r="IE67">
        <f t="shared" si="1005"/>
        <v>10</v>
      </c>
      <c r="IF67">
        <f t="shared" si="1006"/>
        <v>10</v>
      </c>
      <c r="IG67">
        <f t="shared" si="1007"/>
        <v>10</v>
      </c>
      <c r="IH67">
        <f t="shared" si="1008"/>
        <v>10</v>
      </c>
      <c r="II67">
        <f t="shared" si="1009"/>
        <v>10</v>
      </c>
      <c r="IJ67">
        <f t="shared" si="1010"/>
        <v>10</v>
      </c>
      <c r="IK67">
        <f t="shared" si="1011"/>
        <v>10</v>
      </c>
      <c r="IL67">
        <f t="shared" si="1012"/>
        <v>10</v>
      </c>
      <c r="IM67">
        <f t="shared" si="1013"/>
        <v>10</v>
      </c>
      <c r="IN67">
        <f t="shared" si="1014"/>
        <v>10</v>
      </c>
      <c r="IO67">
        <f t="shared" si="1015"/>
        <v>10</v>
      </c>
      <c r="IP67">
        <f t="shared" si="1016"/>
        <v>10</v>
      </c>
      <c r="IQ67">
        <f t="shared" si="1017"/>
        <v>10</v>
      </c>
      <c r="IR67">
        <f t="shared" si="1018"/>
        <v>10</v>
      </c>
      <c r="IS67">
        <f t="shared" si="1019"/>
        <v>10</v>
      </c>
      <c r="IT67">
        <f t="shared" si="1020"/>
        <v>10</v>
      </c>
      <c r="IU67">
        <f t="shared" si="1021"/>
        <v>10</v>
      </c>
      <c r="IV67">
        <f t="shared" si="1022"/>
        <v>10</v>
      </c>
    </row>
    <row r="68" spans="1:256" x14ac:dyDescent="0.2">
      <c r="A68" t="s">
        <v>539</v>
      </c>
      <c r="B68">
        <f t="shared" si="768"/>
        <v>10</v>
      </c>
      <c r="C68">
        <f t="shared" si="769"/>
        <v>10</v>
      </c>
      <c r="D68">
        <f t="shared" si="770"/>
        <v>10</v>
      </c>
      <c r="E68">
        <f t="shared" si="771"/>
        <v>10</v>
      </c>
      <c r="F68">
        <f t="shared" si="772"/>
        <v>10</v>
      </c>
      <c r="G68">
        <f t="shared" si="773"/>
        <v>10</v>
      </c>
      <c r="H68">
        <f t="shared" si="774"/>
        <v>10</v>
      </c>
      <c r="I68">
        <f t="shared" si="775"/>
        <v>10</v>
      </c>
      <c r="J68">
        <f t="shared" si="776"/>
        <v>10</v>
      </c>
      <c r="K68">
        <f t="shared" si="777"/>
        <v>10</v>
      </c>
      <c r="L68">
        <f t="shared" si="778"/>
        <v>10</v>
      </c>
      <c r="M68">
        <f t="shared" si="779"/>
        <v>10</v>
      </c>
      <c r="N68">
        <f t="shared" si="780"/>
        <v>10</v>
      </c>
      <c r="O68">
        <f t="shared" si="781"/>
        <v>10</v>
      </c>
      <c r="P68">
        <f t="shared" si="782"/>
        <v>10</v>
      </c>
      <c r="Q68">
        <f t="shared" si="783"/>
        <v>10</v>
      </c>
      <c r="R68">
        <f t="shared" si="784"/>
        <v>10</v>
      </c>
      <c r="S68">
        <f t="shared" si="785"/>
        <v>10</v>
      </c>
      <c r="T68">
        <f t="shared" si="786"/>
        <v>10</v>
      </c>
      <c r="U68">
        <f t="shared" si="787"/>
        <v>10</v>
      </c>
      <c r="V68">
        <f t="shared" si="788"/>
        <v>10</v>
      </c>
      <c r="W68">
        <f t="shared" si="789"/>
        <v>10</v>
      </c>
      <c r="X68">
        <f t="shared" si="790"/>
        <v>10</v>
      </c>
      <c r="Y68">
        <f t="shared" si="791"/>
        <v>10</v>
      </c>
      <c r="Z68">
        <f t="shared" si="792"/>
        <v>10</v>
      </c>
      <c r="AA68">
        <f t="shared" si="793"/>
        <v>10</v>
      </c>
      <c r="AB68">
        <f t="shared" si="794"/>
        <v>10</v>
      </c>
      <c r="AC68">
        <f t="shared" si="795"/>
        <v>10</v>
      </c>
      <c r="AD68">
        <f t="shared" si="796"/>
        <v>10</v>
      </c>
      <c r="AE68">
        <f t="shared" si="797"/>
        <v>10</v>
      </c>
      <c r="AF68">
        <f t="shared" si="798"/>
        <v>10</v>
      </c>
      <c r="AG68">
        <f t="shared" si="799"/>
        <v>10</v>
      </c>
      <c r="AH68">
        <f t="shared" si="800"/>
        <v>10</v>
      </c>
      <c r="AI68">
        <f t="shared" si="801"/>
        <v>10</v>
      </c>
      <c r="AJ68">
        <f t="shared" si="802"/>
        <v>10</v>
      </c>
      <c r="AK68">
        <f t="shared" si="803"/>
        <v>10</v>
      </c>
      <c r="AL68">
        <f t="shared" si="804"/>
        <v>10</v>
      </c>
      <c r="AM68">
        <f t="shared" si="805"/>
        <v>10</v>
      </c>
      <c r="AN68">
        <f t="shared" si="806"/>
        <v>10</v>
      </c>
      <c r="AO68">
        <f t="shared" si="807"/>
        <v>10</v>
      </c>
      <c r="AP68">
        <f t="shared" si="808"/>
        <v>10</v>
      </c>
      <c r="AQ68">
        <f t="shared" si="809"/>
        <v>10</v>
      </c>
      <c r="AR68">
        <f t="shared" si="810"/>
        <v>10</v>
      </c>
      <c r="AS68">
        <f t="shared" si="811"/>
        <v>10</v>
      </c>
      <c r="AT68">
        <f t="shared" si="812"/>
        <v>10</v>
      </c>
      <c r="AU68">
        <f t="shared" si="813"/>
        <v>10</v>
      </c>
      <c r="AV68">
        <f t="shared" si="814"/>
        <v>10</v>
      </c>
      <c r="AW68">
        <f t="shared" si="815"/>
        <v>10</v>
      </c>
      <c r="AX68">
        <f t="shared" si="816"/>
        <v>10</v>
      </c>
      <c r="AY68">
        <f t="shared" si="817"/>
        <v>10</v>
      </c>
      <c r="AZ68">
        <f t="shared" si="818"/>
        <v>10</v>
      </c>
      <c r="BA68">
        <f t="shared" si="819"/>
        <v>10</v>
      </c>
      <c r="BB68">
        <f t="shared" si="820"/>
        <v>10</v>
      </c>
      <c r="BC68">
        <f t="shared" si="821"/>
        <v>10</v>
      </c>
      <c r="BD68">
        <f t="shared" si="822"/>
        <v>10</v>
      </c>
      <c r="BE68">
        <f t="shared" si="823"/>
        <v>10</v>
      </c>
      <c r="BF68">
        <f t="shared" si="824"/>
        <v>10</v>
      </c>
      <c r="BG68">
        <f t="shared" si="825"/>
        <v>10</v>
      </c>
      <c r="BH68">
        <f t="shared" si="826"/>
        <v>10</v>
      </c>
      <c r="BI68">
        <f t="shared" si="827"/>
        <v>10</v>
      </c>
      <c r="BJ68">
        <f t="shared" si="828"/>
        <v>10</v>
      </c>
      <c r="BK68">
        <f t="shared" si="829"/>
        <v>10</v>
      </c>
      <c r="BL68">
        <f t="shared" si="830"/>
        <v>10</v>
      </c>
      <c r="BM68">
        <f t="shared" si="831"/>
        <v>10</v>
      </c>
      <c r="BN68">
        <f t="shared" si="832"/>
        <v>10</v>
      </c>
      <c r="BO68">
        <f t="shared" si="833"/>
        <v>10</v>
      </c>
      <c r="BP68">
        <f t="shared" si="834"/>
        <v>10</v>
      </c>
      <c r="BQ68">
        <f t="shared" si="835"/>
        <v>10</v>
      </c>
      <c r="BR68">
        <f t="shared" si="836"/>
        <v>10</v>
      </c>
      <c r="BS68">
        <f t="shared" si="837"/>
        <v>10</v>
      </c>
      <c r="BT68">
        <f t="shared" si="838"/>
        <v>10</v>
      </c>
      <c r="BU68">
        <f t="shared" si="839"/>
        <v>10</v>
      </c>
      <c r="BV68">
        <f t="shared" si="840"/>
        <v>10</v>
      </c>
      <c r="BW68">
        <f t="shared" si="841"/>
        <v>10</v>
      </c>
      <c r="BX68">
        <f t="shared" si="842"/>
        <v>10</v>
      </c>
      <c r="BY68">
        <f t="shared" si="843"/>
        <v>10</v>
      </c>
      <c r="BZ68">
        <f t="shared" si="844"/>
        <v>10</v>
      </c>
      <c r="CA68">
        <f t="shared" si="845"/>
        <v>10</v>
      </c>
      <c r="CB68">
        <f t="shared" si="846"/>
        <v>10</v>
      </c>
      <c r="CC68">
        <f t="shared" si="847"/>
        <v>10</v>
      </c>
      <c r="CD68">
        <f t="shared" si="848"/>
        <v>10</v>
      </c>
      <c r="CE68">
        <f t="shared" si="849"/>
        <v>10</v>
      </c>
      <c r="CF68">
        <f t="shared" si="850"/>
        <v>10</v>
      </c>
      <c r="CG68">
        <f t="shared" si="851"/>
        <v>10</v>
      </c>
      <c r="CH68">
        <f t="shared" si="852"/>
        <v>10</v>
      </c>
      <c r="CI68">
        <f t="shared" si="853"/>
        <v>10</v>
      </c>
      <c r="CJ68">
        <f t="shared" si="854"/>
        <v>10</v>
      </c>
      <c r="CK68">
        <f t="shared" si="855"/>
        <v>10</v>
      </c>
      <c r="CL68">
        <f t="shared" si="856"/>
        <v>10</v>
      </c>
      <c r="CM68">
        <f t="shared" si="857"/>
        <v>10</v>
      </c>
      <c r="CN68">
        <f t="shared" si="858"/>
        <v>10</v>
      </c>
      <c r="CO68">
        <f t="shared" si="859"/>
        <v>10</v>
      </c>
      <c r="CP68">
        <f t="shared" si="860"/>
        <v>10</v>
      </c>
      <c r="CQ68">
        <f t="shared" si="861"/>
        <v>10</v>
      </c>
      <c r="CR68">
        <f t="shared" si="862"/>
        <v>10</v>
      </c>
      <c r="CS68">
        <f t="shared" si="863"/>
        <v>10</v>
      </c>
      <c r="CT68">
        <f t="shared" si="864"/>
        <v>10</v>
      </c>
      <c r="CU68">
        <f t="shared" si="865"/>
        <v>10</v>
      </c>
      <c r="CV68">
        <f t="shared" si="866"/>
        <v>10</v>
      </c>
      <c r="CW68">
        <f t="shared" si="867"/>
        <v>10</v>
      </c>
      <c r="CX68">
        <f t="shared" si="868"/>
        <v>10</v>
      </c>
      <c r="CY68">
        <f t="shared" si="869"/>
        <v>10</v>
      </c>
      <c r="CZ68">
        <f t="shared" si="870"/>
        <v>10</v>
      </c>
      <c r="DA68">
        <f t="shared" si="871"/>
        <v>10</v>
      </c>
      <c r="DB68">
        <f t="shared" si="872"/>
        <v>10</v>
      </c>
      <c r="DC68">
        <f t="shared" si="873"/>
        <v>10</v>
      </c>
      <c r="DD68">
        <f t="shared" si="874"/>
        <v>10</v>
      </c>
      <c r="DE68">
        <f t="shared" si="875"/>
        <v>10</v>
      </c>
      <c r="DF68">
        <f t="shared" si="876"/>
        <v>10</v>
      </c>
      <c r="DG68">
        <f t="shared" si="877"/>
        <v>10</v>
      </c>
      <c r="DH68">
        <f t="shared" si="878"/>
        <v>10</v>
      </c>
      <c r="DI68">
        <f t="shared" si="879"/>
        <v>10</v>
      </c>
      <c r="DJ68">
        <f t="shared" si="880"/>
        <v>10</v>
      </c>
      <c r="DK68">
        <f t="shared" si="881"/>
        <v>10</v>
      </c>
      <c r="DL68">
        <f t="shared" si="882"/>
        <v>10</v>
      </c>
      <c r="DM68">
        <f t="shared" si="883"/>
        <v>10</v>
      </c>
      <c r="DN68">
        <f t="shared" si="884"/>
        <v>10</v>
      </c>
      <c r="DO68">
        <f t="shared" si="885"/>
        <v>10</v>
      </c>
      <c r="DP68">
        <f t="shared" si="886"/>
        <v>10</v>
      </c>
      <c r="DQ68">
        <f t="shared" si="887"/>
        <v>10</v>
      </c>
      <c r="DR68">
        <f t="shared" si="888"/>
        <v>10</v>
      </c>
      <c r="DS68">
        <f t="shared" si="889"/>
        <v>10</v>
      </c>
      <c r="DT68">
        <f t="shared" si="890"/>
        <v>10</v>
      </c>
      <c r="DU68">
        <f t="shared" si="891"/>
        <v>10</v>
      </c>
      <c r="DV68">
        <f t="shared" si="892"/>
        <v>10</v>
      </c>
      <c r="DW68">
        <f t="shared" si="893"/>
        <v>10</v>
      </c>
      <c r="DX68">
        <f t="shared" si="894"/>
        <v>10</v>
      </c>
      <c r="DY68">
        <f t="shared" si="895"/>
        <v>10</v>
      </c>
      <c r="DZ68">
        <f t="shared" si="896"/>
        <v>10</v>
      </c>
      <c r="EA68">
        <f t="shared" si="897"/>
        <v>10</v>
      </c>
      <c r="EB68">
        <f t="shared" si="898"/>
        <v>10</v>
      </c>
      <c r="EC68">
        <f t="shared" si="899"/>
        <v>10</v>
      </c>
      <c r="ED68">
        <f t="shared" si="900"/>
        <v>10</v>
      </c>
      <c r="EE68">
        <f t="shared" si="901"/>
        <v>10</v>
      </c>
      <c r="EF68">
        <f t="shared" si="902"/>
        <v>10</v>
      </c>
      <c r="EG68">
        <f t="shared" si="903"/>
        <v>10</v>
      </c>
      <c r="EH68">
        <f t="shared" si="904"/>
        <v>10</v>
      </c>
      <c r="EI68">
        <f t="shared" si="905"/>
        <v>10</v>
      </c>
      <c r="EJ68">
        <f t="shared" si="906"/>
        <v>10</v>
      </c>
      <c r="EK68">
        <f t="shared" si="907"/>
        <v>10</v>
      </c>
      <c r="EL68">
        <f t="shared" si="908"/>
        <v>10</v>
      </c>
      <c r="EM68">
        <f t="shared" si="909"/>
        <v>10</v>
      </c>
      <c r="EN68">
        <f t="shared" si="910"/>
        <v>10</v>
      </c>
      <c r="EO68">
        <f t="shared" si="911"/>
        <v>10</v>
      </c>
      <c r="EP68">
        <f t="shared" si="912"/>
        <v>10</v>
      </c>
      <c r="EQ68">
        <f t="shared" si="913"/>
        <v>10</v>
      </c>
      <c r="ER68">
        <f t="shared" si="914"/>
        <v>10</v>
      </c>
      <c r="ES68">
        <f t="shared" si="915"/>
        <v>10</v>
      </c>
      <c r="ET68">
        <f t="shared" si="916"/>
        <v>10</v>
      </c>
      <c r="EU68">
        <f t="shared" si="917"/>
        <v>10</v>
      </c>
      <c r="EV68">
        <f t="shared" si="918"/>
        <v>10</v>
      </c>
      <c r="EW68">
        <f t="shared" si="919"/>
        <v>10</v>
      </c>
      <c r="EX68">
        <f t="shared" si="920"/>
        <v>10</v>
      </c>
      <c r="EY68">
        <f t="shared" si="921"/>
        <v>10</v>
      </c>
      <c r="EZ68">
        <f t="shared" si="922"/>
        <v>10</v>
      </c>
      <c r="FA68">
        <f t="shared" si="923"/>
        <v>10</v>
      </c>
      <c r="FB68">
        <f t="shared" si="924"/>
        <v>10</v>
      </c>
      <c r="FC68">
        <f t="shared" si="925"/>
        <v>10</v>
      </c>
      <c r="FD68">
        <f t="shared" si="926"/>
        <v>10</v>
      </c>
      <c r="FE68">
        <f t="shared" si="927"/>
        <v>10</v>
      </c>
      <c r="FF68">
        <f t="shared" si="928"/>
        <v>10</v>
      </c>
      <c r="FG68">
        <f t="shared" si="929"/>
        <v>10</v>
      </c>
      <c r="FH68">
        <f t="shared" si="930"/>
        <v>10</v>
      </c>
      <c r="FI68">
        <f t="shared" si="931"/>
        <v>10</v>
      </c>
      <c r="FJ68">
        <f t="shared" si="932"/>
        <v>10</v>
      </c>
      <c r="FK68">
        <f t="shared" si="933"/>
        <v>10</v>
      </c>
      <c r="FL68">
        <f t="shared" si="934"/>
        <v>10</v>
      </c>
      <c r="FM68">
        <f t="shared" si="935"/>
        <v>10</v>
      </c>
      <c r="FN68">
        <f t="shared" si="936"/>
        <v>10</v>
      </c>
      <c r="FO68">
        <f t="shared" si="937"/>
        <v>10</v>
      </c>
      <c r="FP68">
        <f t="shared" si="938"/>
        <v>10</v>
      </c>
      <c r="FQ68">
        <f t="shared" si="939"/>
        <v>10</v>
      </c>
      <c r="FR68">
        <f t="shared" si="940"/>
        <v>10</v>
      </c>
      <c r="FS68">
        <f t="shared" si="941"/>
        <v>10</v>
      </c>
      <c r="FT68">
        <f t="shared" si="942"/>
        <v>10</v>
      </c>
      <c r="FU68">
        <f t="shared" si="943"/>
        <v>10</v>
      </c>
      <c r="FV68">
        <f t="shared" si="944"/>
        <v>10</v>
      </c>
      <c r="FW68">
        <f t="shared" si="945"/>
        <v>10</v>
      </c>
      <c r="FX68">
        <f t="shared" si="946"/>
        <v>10</v>
      </c>
      <c r="FY68">
        <f t="shared" si="947"/>
        <v>10</v>
      </c>
      <c r="FZ68">
        <f t="shared" si="948"/>
        <v>10</v>
      </c>
      <c r="GA68">
        <f t="shared" si="949"/>
        <v>10</v>
      </c>
      <c r="GB68">
        <f t="shared" si="950"/>
        <v>10</v>
      </c>
      <c r="GC68">
        <f t="shared" si="951"/>
        <v>10</v>
      </c>
      <c r="GD68">
        <f t="shared" si="952"/>
        <v>10</v>
      </c>
      <c r="GE68">
        <f t="shared" si="953"/>
        <v>10</v>
      </c>
      <c r="GF68">
        <f t="shared" si="954"/>
        <v>10</v>
      </c>
      <c r="GG68">
        <f t="shared" si="955"/>
        <v>10</v>
      </c>
      <c r="GH68">
        <f t="shared" si="956"/>
        <v>10</v>
      </c>
      <c r="GI68">
        <f t="shared" si="957"/>
        <v>10</v>
      </c>
      <c r="GJ68">
        <f t="shared" si="958"/>
        <v>10</v>
      </c>
      <c r="GK68">
        <f t="shared" si="959"/>
        <v>10</v>
      </c>
      <c r="GL68">
        <f t="shared" si="960"/>
        <v>10</v>
      </c>
      <c r="GM68">
        <f t="shared" si="961"/>
        <v>10</v>
      </c>
      <c r="GN68">
        <f t="shared" si="962"/>
        <v>10</v>
      </c>
      <c r="GO68">
        <f t="shared" si="963"/>
        <v>10</v>
      </c>
      <c r="GP68">
        <f t="shared" si="964"/>
        <v>10</v>
      </c>
      <c r="GQ68">
        <f t="shared" si="965"/>
        <v>10</v>
      </c>
      <c r="GR68">
        <f t="shared" si="966"/>
        <v>10</v>
      </c>
      <c r="GS68">
        <f t="shared" si="967"/>
        <v>10</v>
      </c>
      <c r="GT68">
        <f t="shared" si="968"/>
        <v>10</v>
      </c>
      <c r="GU68">
        <f t="shared" si="969"/>
        <v>10</v>
      </c>
      <c r="GV68">
        <f t="shared" si="970"/>
        <v>10</v>
      </c>
      <c r="GW68">
        <f t="shared" si="971"/>
        <v>10</v>
      </c>
      <c r="GX68">
        <f t="shared" si="972"/>
        <v>10</v>
      </c>
      <c r="GY68">
        <f t="shared" si="973"/>
        <v>10</v>
      </c>
      <c r="GZ68">
        <f t="shared" si="974"/>
        <v>10</v>
      </c>
      <c r="HA68">
        <f t="shared" si="975"/>
        <v>10</v>
      </c>
      <c r="HB68">
        <f t="shared" si="976"/>
        <v>10</v>
      </c>
      <c r="HC68">
        <f t="shared" si="977"/>
        <v>10</v>
      </c>
      <c r="HD68">
        <f t="shared" si="978"/>
        <v>10</v>
      </c>
      <c r="HE68">
        <f t="shared" si="979"/>
        <v>10</v>
      </c>
      <c r="HF68">
        <f t="shared" si="980"/>
        <v>10</v>
      </c>
      <c r="HG68">
        <f t="shared" si="981"/>
        <v>10</v>
      </c>
      <c r="HH68">
        <f t="shared" si="982"/>
        <v>10</v>
      </c>
      <c r="HI68">
        <f t="shared" si="983"/>
        <v>10</v>
      </c>
      <c r="HJ68">
        <f t="shared" si="984"/>
        <v>10</v>
      </c>
      <c r="HK68">
        <f t="shared" si="985"/>
        <v>10</v>
      </c>
      <c r="HL68">
        <f t="shared" si="986"/>
        <v>10</v>
      </c>
      <c r="HM68">
        <f t="shared" si="987"/>
        <v>10</v>
      </c>
      <c r="HN68">
        <f t="shared" si="988"/>
        <v>10</v>
      </c>
      <c r="HO68">
        <f t="shared" si="989"/>
        <v>10</v>
      </c>
      <c r="HP68">
        <f t="shared" si="990"/>
        <v>10</v>
      </c>
      <c r="HQ68">
        <f t="shared" si="991"/>
        <v>10</v>
      </c>
      <c r="HR68">
        <f t="shared" si="992"/>
        <v>10</v>
      </c>
      <c r="HS68">
        <f t="shared" si="993"/>
        <v>10</v>
      </c>
      <c r="HT68">
        <f t="shared" si="994"/>
        <v>10</v>
      </c>
      <c r="HU68">
        <f t="shared" si="995"/>
        <v>10</v>
      </c>
      <c r="HV68">
        <f t="shared" si="996"/>
        <v>10</v>
      </c>
      <c r="HW68">
        <f t="shared" si="997"/>
        <v>10</v>
      </c>
      <c r="HX68">
        <f t="shared" si="998"/>
        <v>10</v>
      </c>
      <c r="HY68">
        <f t="shared" si="999"/>
        <v>10</v>
      </c>
      <c r="HZ68">
        <f t="shared" si="1000"/>
        <v>10</v>
      </c>
      <c r="IA68">
        <f t="shared" si="1001"/>
        <v>10</v>
      </c>
      <c r="IB68">
        <f t="shared" si="1002"/>
        <v>10</v>
      </c>
      <c r="IC68">
        <f t="shared" si="1003"/>
        <v>10</v>
      </c>
      <c r="ID68">
        <f t="shared" si="1004"/>
        <v>10</v>
      </c>
      <c r="IE68">
        <f t="shared" si="1005"/>
        <v>10</v>
      </c>
      <c r="IF68">
        <f t="shared" si="1006"/>
        <v>10</v>
      </c>
      <c r="IG68">
        <f t="shared" si="1007"/>
        <v>10</v>
      </c>
      <c r="IH68">
        <f t="shared" si="1008"/>
        <v>10</v>
      </c>
      <c r="II68">
        <f t="shared" si="1009"/>
        <v>10</v>
      </c>
      <c r="IJ68">
        <f t="shared" si="1010"/>
        <v>10</v>
      </c>
      <c r="IK68">
        <f t="shared" si="1011"/>
        <v>10</v>
      </c>
      <c r="IL68">
        <f t="shared" si="1012"/>
        <v>10</v>
      </c>
      <c r="IM68">
        <f t="shared" si="1013"/>
        <v>10</v>
      </c>
      <c r="IN68">
        <f t="shared" si="1014"/>
        <v>10</v>
      </c>
      <c r="IO68">
        <f t="shared" si="1015"/>
        <v>10</v>
      </c>
      <c r="IP68">
        <f t="shared" si="1016"/>
        <v>10</v>
      </c>
      <c r="IQ68">
        <f t="shared" si="1017"/>
        <v>10</v>
      </c>
      <c r="IR68">
        <f t="shared" si="1018"/>
        <v>10</v>
      </c>
      <c r="IS68">
        <f t="shared" si="1019"/>
        <v>10</v>
      </c>
      <c r="IT68">
        <f t="shared" si="1020"/>
        <v>10</v>
      </c>
      <c r="IU68">
        <f t="shared" si="1021"/>
        <v>10</v>
      </c>
      <c r="IV68">
        <f t="shared" si="1022"/>
        <v>10</v>
      </c>
    </row>
    <row r="69" spans="1:256" x14ac:dyDescent="0.2">
      <c r="A69" t="s">
        <v>540</v>
      </c>
      <c r="B69">
        <f t="shared" si="768"/>
        <v>10</v>
      </c>
      <c r="C69">
        <f t="shared" si="769"/>
        <v>10</v>
      </c>
      <c r="D69">
        <f t="shared" si="770"/>
        <v>10</v>
      </c>
      <c r="E69">
        <f t="shared" si="771"/>
        <v>10</v>
      </c>
      <c r="F69">
        <f t="shared" si="772"/>
        <v>10</v>
      </c>
      <c r="G69">
        <f t="shared" si="773"/>
        <v>10</v>
      </c>
      <c r="H69">
        <f t="shared" si="774"/>
        <v>10</v>
      </c>
      <c r="I69">
        <f t="shared" si="775"/>
        <v>10</v>
      </c>
      <c r="J69">
        <f t="shared" si="776"/>
        <v>10</v>
      </c>
      <c r="K69">
        <f t="shared" si="777"/>
        <v>10</v>
      </c>
      <c r="L69">
        <f t="shared" si="778"/>
        <v>10</v>
      </c>
      <c r="M69">
        <f t="shared" si="779"/>
        <v>10</v>
      </c>
      <c r="N69">
        <f t="shared" si="780"/>
        <v>10</v>
      </c>
      <c r="O69">
        <f t="shared" si="781"/>
        <v>10</v>
      </c>
      <c r="P69">
        <f t="shared" si="782"/>
        <v>10</v>
      </c>
      <c r="Q69">
        <f t="shared" si="783"/>
        <v>10</v>
      </c>
      <c r="R69">
        <f t="shared" si="784"/>
        <v>10</v>
      </c>
      <c r="S69">
        <f t="shared" si="785"/>
        <v>10</v>
      </c>
      <c r="T69">
        <f t="shared" si="786"/>
        <v>10</v>
      </c>
      <c r="U69">
        <f t="shared" si="787"/>
        <v>10</v>
      </c>
      <c r="V69">
        <f t="shared" si="788"/>
        <v>10</v>
      </c>
      <c r="W69">
        <f t="shared" si="789"/>
        <v>10</v>
      </c>
      <c r="X69">
        <f t="shared" si="790"/>
        <v>10</v>
      </c>
      <c r="Y69">
        <f t="shared" si="791"/>
        <v>10</v>
      </c>
      <c r="Z69">
        <f t="shared" si="792"/>
        <v>10</v>
      </c>
      <c r="AA69">
        <f t="shared" si="793"/>
        <v>10</v>
      </c>
      <c r="AB69">
        <f t="shared" si="794"/>
        <v>10</v>
      </c>
      <c r="AC69">
        <f t="shared" si="795"/>
        <v>10</v>
      </c>
      <c r="AD69">
        <f t="shared" si="796"/>
        <v>10</v>
      </c>
      <c r="AE69">
        <f t="shared" si="797"/>
        <v>10</v>
      </c>
      <c r="AF69">
        <f t="shared" si="798"/>
        <v>10</v>
      </c>
      <c r="AG69">
        <f t="shared" si="799"/>
        <v>10</v>
      </c>
      <c r="AH69">
        <f t="shared" si="800"/>
        <v>10</v>
      </c>
      <c r="AI69">
        <f t="shared" si="801"/>
        <v>10</v>
      </c>
      <c r="AJ69">
        <f t="shared" si="802"/>
        <v>10</v>
      </c>
      <c r="AK69">
        <f t="shared" si="803"/>
        <v>10</v>
      </c>
      <c r="AL69">
        <f t="shared" si="804"/>
        <v>10</v>
      </c>
      <c r="AM69">
        <f t="shared" si="805"/>
        <v>10</v>
      </c>
      <c r="AN69">
        <f t="shared" si="806"/>
        <v>10</v>
      </c>
      <c r="AO69">
        <f t="shared" si="807"/>
        <v>10</v>
      </c>
      <c r="AP69">
        <f t="shared" si="808"/>
        <v>10</v>
      </c>
      <c r="AQ69">
        <f t="shared" si="809"/>
        <v>10</v>
      </c>
      <c r="AR69">
        <f t="shared" si="810"/>
        <v>10</v>
      </c>
      <c r="AS69">
        <f t="shared" si="811"/>
        <v>10</v>
      </c>
      <c r="AT69">
        <f t="shared" si="812"/>
        <v>10</v>
      </c>
      <c r="AU69">
        <f t="shared" si="813"/>
        <v>10</v>
      </c>
      <c r="AV69">
        <f t="shared" si="814"/>
        <v>10</v>
      </c>
      <c r="AW69">
        <f t="shared" si="815"/>
        <v>10</v>
      </c>
      <c r="AX69">
        <f t="shared" si="816"/>
        <v>10</v>
      </c>
      <c r="AY69">
        <f t="shared" si="817"/>
        <v>10</v>
      </c>
      <c r="AZ69">
        <f t="shared" si="818"/>
        <v>10</v>
      </c>
      <c r="BA69">
        <f t="shared" si="819"/>
        <v>10</v>
      </c>
      <c r="BB69">
        <f t="shared" si="820"/>
        <v>10</v>
      </c>
      <c r="BC69">
        <f t="shared" si="821"/>
        <v>10</v>
      </c>
      <c r="BD69">
        <f t="shared" si="822"/>
        <v>10</v>
      </c>
      <c r="BE69">
        <f t="shared" si="823"/>
        <v>10</v>
      </c>
      <c r="BF69">
        <f t="shared" si="824"/>
        <v>10</v>
      </c>
      <c r="BG69">
        <f t="shared" si="825"/>
        <v>10</v>
      </c>
      <c r="BH69">
        <f t="shared" si="826"/>
        <v>10</v>
      </c>
      <c r="BI69">
        <f t="shared" si="827"/>
        <v>10</v>
      </c>
      <c r="BJ69">
        <f t="shared" si="828"/>
        <v>10</v>
      </c>
      <c r="BK69">
        <f t="shared" si="829"/>
        <v>10</v>
      </c>
      <c r="BL69">
        <f t="shared" si="830"/>
        <v>10</v>
      </c>
      <c r="BM69">
        <f t="shared" si="831"/>
        <v>10</v>
      </c>
      <c r="BN69">
        <f t="shared" si="832"/>
        <v>10</v>
      </c>
      <c r="BO69">
        <f t="shared" si="833"/>
        <v>10</v>
      </c>
      <c r="BP69">
        <f t="shared" si="834"/>
        <v>10</v>
      </c>
      <c r="BQ69">
        <f t="shared" si="835"/>
        <v>10</v>
      </c>
      <c r="BR69">
        <f t="shared" si="836"/>
        <v>10</v>
      </c>
      <c r="BS69">
        <f t="shared" si="837"/>
        <v>10</v>
      </c>
      <c r="BT69">
        <f t="shared" si="838"/>
        <v>10</v>
      </c>
      <c r="BU69">
        <f t="shared" si="839"/>
        <v>10</v>
      </c>
      <c r="BV69">
        <f t="shared" si="840"/>
        <v>10</v>
      </c>
      <c r="BW69">
        <f t="shared" si="841"/>
        <v>10</v>
      </c>
      <c r="BX69">
        <f t="shared" si="842"/>
        <v>10</v>
      </c>
      <c r="BY69">
        <f t="shared" si="843"/>
        <v>10</v>
      </c>
      <c r="BZ69">
        <f t="shared" si="844"/>
        <v>10</v>
      </c>
      <c r="CA69">
        <f t="shared" si="845"/>
        <v>10</v>
      </c>
      <c r="CB69">
        <f t="shared" si="846"/>
        <v>10</v>
      </c>
      <c r="CC69">
        <f t="shared" si="847"/>
        <v>10</v>
      </c>
      <c r="CD69">
        <f t="shared" si="848"/>
        <v>10</v>
      </c>
      <c r="CE69">
        <f t="shared" si="849"/>
        <v>10</v>
      </c>
      <c r="CF69">
        <f t="shared" si="850"/>
        <v>10</v>
      </c>
      <c r="CG69">
        <f t="shared" si="851"/>
        <v>10</v>
      </c>
      <c r="CH69">
        <f t="shared" si="852"/>
        <v>10</v>
      </c>
      <c r="CI69">
        <f t="shared" si="853"/>
        <v>10</v>
      </c>
      <c r="CJ69">
        <f t="shared" si="854"/>
        <v>10</v>
      </c>
      <c r="CK69">
        <f t="shared" si="855"/>
        <v>10</v>
      </c>
      <c r="CL69">
        <f t="shared" si="856"/>
        <v>10</v>
      </c>
      <c r="CM69">
        <f t="shared" si="857"/>
        <v>10</v>
      </c>
      <c r="CN69">
        <f t="shared" si="858"/>
        <v>10</v>
      </c>
      <c r="CO69">
        <f t="shared" si="859"/>
        <v>10</v>
      </c>
      <c r="CP69">
        <f t="shared" si="860"/>
        <v>10</v>
      </c>
      <c r="CQ69">
        <f t="shared" si="861"/>
        <v>10</v>
      </c>
      <c r="CR69">
        <f t="shared" si="862"/>
        <v>10</v>
      </c>
      <c r="CS69">
        <f t="shared" si="863"/>
        <v>10</v>
      </c>
      <c r="CT69">
        <f t="shared" si="864"/>
        <v>10</v>
      </c>
      <c r="CU69">
        <f t="shared" si="865"/>
        <v>10</v>
      </c>
      <c r="CV69">
        <f t="shared" si="866"/>
        <v>10</v>
      </c>
      <c r="CW69">
        <f t="shared" si="867"/>
        <v>10</v>
      </c>
      <c r="CX69">
        <f t="shared" si="868"/>
        <v>10</v>
      </c>
      <c r="CY69">
        <f t="shared" si="869"/>
        <v>10</v>
      </c>
      <c r="CZ69">
        <f t="shared" si="870"/>
        <v>10</v>
      </c>
      <c r="DA69">
        <f t="shared" si="871"/>
        <v>10</v>
      </c>
      <c r="DB69">
        <f t="shared" si="872"/>
        <v>10</v>
      </c>
      <c r="DC69">
        <f t="shared" si="873"/>
        <v>10</v>
      </c>
      <c r="DD69">
        <f t="shared" si="874"/>
        <v>10</v>
      </c>
      <c r="DE69">
        <f t="shared" si="875"/>
        <v>10</v>
      </c>
      <c r="DF69">
        <f t="shared" si="876"/>
        <v>10</v>
      </c>
      <c r="DG69">
        <f t="shared" si="877"/>
        <v>10</v>
      </c>
      <c r="DH69">
        <f t="shared" si="878"/>
        <v>10</v>
      </c>
      <c r="DI69">
        <f t="shared" si="879"/>
        <v>10</v>
      </c>
      <c r="DJ69">
        <f t="shared" si="880"/>
        <v>10</v>
      </c>
      <c r="DK69">
        <f t="shared" si="881"/>
        <v>10</v>
      </c>
      <c r="DL69">
        <f t="shared" si="882"/>
        <v>10</v>
      </c>
      <c r="DM69">
        <f t="shared" si="883"/>
        <v>10</v>
      </c>
      <c r="DN69">
        <f t="shared" si="884"/>
        <v>10</v>
      </c>
      <c r="DO69">
        <f t="shared" si="885"/>
        <v>10</v>
      </c>
      <c r="DP69">
        <f t="shared" si="886"/>
        <v>10</v>
      </c>
      <c r="DQ69">
        <f t="shared" si="887"/>
        <v>10</v>
      </c>
      <c r="DR69">
        <f t="shared" si="888"/>
        <v>10</v>
      </c>
      <c r="DS69">
        <f t="shared" si="889"/>
        <v>10</v>
      </c>
      <c r="DT69">
        <f t="shared" si="890"/>
        <v>10</v>
      </c>
      <c r="DU69">
        <f t="shared" si="891"/>
        <v>10</v>
      </c>
      <c r="DV69">
        <f t="shared" si="892"/>
        <v>10</v>
      </c>
      <c r="DW69">
        <f t="shared" si="893"/>
        <v>10</v>
      </c>
      <c r="DX69">
        <f t="shared" si="894"/>
        <v>10</v>
      </c>
      <c r="DY69">
        <f t="shared" si="895"/>
        <v>10</v>
      </c>
      <c r="DZ69">
        <f t="shared" si="896"/>
        <v>10</v>
      </c>
      <c r="EA69">
        <f t="shared" si="897"/>
        <v>10</v>
      </c>
      <c r="EB69">
        <f t="shared" si="898"/>
        <v>10</v>
      </c>
      <c r="EC69">
        <f t="shared" si="899"/>
        <v>10</v>
      </c>
      <c r="ED69">
        <f t="shared" si="900"/>
        <v>10</v>
      </c>
      <c r="EE69">
        <f t="shared" si="901"/>
        <v>10</v>
      </c>
      <c r="EF69">
        <f t="shared" si="902"/>
        <v>10</v>
      </c>
      <c r="EG69">
        <f t="shared" si="903"/>
        <v>10</v>
      </c>
      <c r="EH69">
        <f t="shared" si="904"/>
        <v>10</v>
      </c>
      <c r="EI69">
        <f t="shared" si="905"/>
        <v>10</v>
      </c>
      <c r="EJ69">
        <f t="shared" si="906"/>
        <v>10</v>
      </c>
      <c r="EK69">
        <f t="shared" si="907"/>
        <v>10</v>
      </c>
      <c r="EL69">
        <f t="shared" si="908"/>
        <v>10</v>
      </c>
      <c r="EM69">
        <f t="shared" si="909"/>
        <v>10</v>
      </c>
      <c r="EN69">
        <f t="shared" si="910"/>
        <v>10</v>
      </c>
      <c r="EO69">
        <f t="shared" si="911"/>
        <v>10</v>
      </c>
      <c r="EP69">
        <f t="shared" si="912"/>
        <v>10</v>
      </c>
      <c r="EQ69">
        <f t="shared" si="913"/>
        <v>10</v>
      </c>
      <c r="ER69">
        <f t="shared" si="914"/>
        <v>10</v>
      </c>
      <c r="ES69">
        <f t="shared" si="915"/>
        <v>10</v>
      </c>
      <c r="ET69">
        <f t="shared" si="916"/>
        <v>10</v>
      </c>
      <c r="EU69">
        <f t="shared" si="917"/>
        <v>10</v>
      </c>
      <c r="EV69">
        <f t="shared" si="918"/>
        <v>10</v>
      </c>
      <c r="EW69">
        <f t="shared" si="919"/>
        <v>10</v>
      </c>
      <c r="EX69">
        <f t="shared" si="920"/>
        <v>10</v>
      </c>
      <c r="EY69">
        <f t="shared" si="921"/>
        <v>10</v>
      </c>
      <c r="EZ69">
        <f t="shared" si="922"/>
        <v>10</v>
      </c>
      <c r="FA69">
        <f t="shared" si="923"/>
        <v>10</v>
      </c>
      <c r="FB69">
        <f t="shared" si="924"/>
        <v>10</v>
      </c>
      <c r="FC69">
        <f t="shared" si="925"/>
        <v>10</v>
      </c>
      <c r="FD69">
        <f t="shared" si="926"/>
        <v>10</v>
      </c>
      <c r="FE69">
        <f t="shared" si="927"/>
        <v>10</v>
      </c>
      <c r="FF69">
        <f t="shared" si="928"/>
        <v>10</v>
      </c>
      <c r="FG69">
        <f t="shared" si="929"/>
        <v>10</v>
      </c>
      <c r="FH69">
        <f t="shared" si="930"/>
        <v>10</v>
      </c>
      <c r="FI69">
        <f t="shared" si="931"/>
        <v>10</v>
      </c>
      <c r="FJ69">
        <f t="shared" si="932"/>
        <v>10</v>
      </c>
      <c r="FK69">
        <f t="shared" si="933"/>
        <v>10</v>
      </c>
      <c r="FL69">
        <f t="shared" si="934"/>
        <v>10</v>
      </c>
      <c r="FM69">
        <f t="shared" si="935"/>
        <v>10</v>
      </c>
      <c r="FN69">
        <f t="shared" si="936"/>
        <v>10</v>
      </c>
      <c r="FO69">
        <f t="shared" si="937"/>
        <v>10</v>
      </c>
      <c r="FP69">
        <f t="shared" si="938"/>
        <v>10</v>
      </c>
      <c r="FQ69">
        <f t="shared" si="939"/>
        <v>10</v>
      </c>
      <c r="FR69">
        <f t="shared" si="940"/>
        <v>10</v>
      </c>
      <c r="FS69">
        <f t="shared" si="941"/>
        <v>10</v>
      </c>
      <c r="FT69">
        <f t="shared" si="942"/>
        <v>10</v>
      </c>
      <c r="FU69">
        <f t="shared" si="943"/>
        <v>10</v>
      </c>
      <c r="FV69">
        <f t="shared" si="944"/>
        <v>10</v>
      </c>
      <c r="FW69">
        <f t="shared" si="945"/>
        <v>10</v>
      </c>
      <c r="FX69">
        <f t="shared" si="946"/>
        <v>10</v>
      </c>
      <c r="FY69">
        <f t="shared" si="947"/>
        <v>10</v>
      </c>
      <c r="FZ69">
        <f t="shared" si="948"/>
        <v>10</v>
      </c>
      <c r="GA69">
        <f t="shared" si="949"/>
        <v>10</v>
      </c>
      <c r="GB69">
        <f t="shared" si="950"/>
        <v>10</v>
      </c>
      <c r="GC69">
        <f t="shared" si="951"/>
        <v>10</v>
      </c>
      <c r="GD69">
        <f t="shared" si="952"/>
        <v>10</v>
      </c>
      <c r="GE69">
        <f t="shared" si="953"/>
        <v>10</v>
      </c>
      <c r="GF69">
        <f t="shared" si="954"/>
        <v>10</v>
      </c>
      <c r="GG69">
        <f t="shared" si="955"/>
        <v>10</v>
      </c>
      <c r="GH69">
        <f t="shared" si="956"/>
        <v>10</v>
      </c>
      <c r="GI69">
        <f t="shared" si="957"/>
        <v>10</v>
      </c>
      <c r="GJ69">
        <f t="shared" si="958"/>
        <v>10</v>
      </c>
      <c r="GK69">
        <f t="shared" si="959"/>
        <v>10</v>
      </c>
      <c r="GL69">
        <f t="shared" si="960"/>
        <v>10</v>
      </c>
      <c r="GM69">
        <f t="shared" si="961"/>
        <v>10</v>
      </c>
      <c r="GN69">
        <f t="shared" si="962"/>
        <v>10</v>
      </c>
      <c r="GO69">
        <f t="shared" si="963"/>
        <v>10</v>
      </c>
      <c r="GP69">
        <f t="shared" si="964"/>
        <v>10</v>
      </c>
      <c r="GQ69">
        <f t="shared" si="965"/>
        <v>10</v>
      </c>
      <c r="GR69">
        <f t="shared" si="966"/>
        <v>10</v>
      </c>
      <c r="GS69">
        <f t="shared" si="967"/>
        <v>10</v>
      </c>
      <c r="GT69">
        <f t="shared" si="968"/>
        <v>10</v>
      </c>
      <c r="GU69">
        <f t="shared" si="969"/>
        <v>10</v>
      </c>
      <c r="GV69">
        <f t="shared" si="970"/>
        <v>10</v>
      </c>
      <c r="GW69">
        <f t="shared" si="971"/>
        <v>10</v>
      </c>
      <c r="GX69">
        <f t="shared" si="972"/>
        <v>10</v>
      </c>
      <c r="GY69">
        <f t="shared" si="973"/>
        <v>10</v>
      </c>
      <c r="GZ69">
        <f t="shared" si="974"/>
        <v>10</v>
      </c>
      <c r="HA69">
        <f t="shared" si="975"/>
        <v>10</v>
      </c>
      <c r="HB69">
        <f t="shared" si="976"/>
        <v>10</v>
      </c>
      <c r="HC69">
        <f t="shared" si="977"/>
        <v>10</v>
      </c>
      <c r="HD69">
        <f t="shared" si="978"/>
        <v>10</v>
      </c>
      <c r="HE69">
        <f t="shared" si="979"/>
        <v>10</v>
      </c>
      <c r="HF69">
        <f t="shared" si="980"/>
        <v>10</v>
      </c>
      <c r="HG69">
        <f t="shared" si="981"/>
        <v>10</v>
      </c>
      <c r="HH69">
        <f t="shared" si="982"/>
        <v>10</v>
      </c>
      <c r="HI69">
        <f t="shared" si="983"/>
        <v>10</v>
      </c>
      <c r="HJ69">
        <f t="shared" si="984"/>
        <v>10</v>
      </c>
      <c r="HK69">
        <f t="shared" si="985"/>
        <v>10</v>
      </c>
      <c r="HL69">
        <f t="shared" si="986"/>
        <v>10</v>
      </c>
      <c r="HM69">
        <f t="shared" si="987"/>
        <v>10</v>
      </c>
      <c r="HN69">
        <f t="shared" si="988"/>
        <v>10</v>
      </c>
      <c r="HO69">
        <f t="shared" si="989"/>
        <v>10</v>
      </c>
      <c r="HP69">
        <f t="shared" si="990"/>
        <v>10</v>
      </c>
      <c r="HQ69">
        <f t="shared" si="991"/>
        <v>10</v>
      </c>
      <c r="HR69">
        <f t="shared" si="992"/>
        <v>10</v>
      </c>
      <c r="HS69">
        <f t="shared" si="993"/>
        <v>10</v>
      </c>
      <c r="HT69">
        <f t="shared" si="994"/>
        <v>10</v>
      </c>
      <c r="HU69">
        <f t="shared" si="995"/>
        <v>10</v>
      </c>
      <c r="HV69">
        <f t="shared" si="996"/>
        <v>10</v>
      </c>
      <c r="HW69">
        <f t="shared" si="997"/>
        <v>10</v>
      </c>
      <c r="HX69">
        <f t="shared" si="998"/>
        <v>10</v>
      </c>
      <c r="HY69">
        <f t="shared" si="999"/>
        <v>10</v>
      </c>
      <c r="HZ69">
        <f t="shared" si="1000"/>
        <v>10</v>
      </c>
      <c r="IA69">
        <f t="shared" si="1001"/>
        <v>10</v>
      </c>
      <c r="IB69">
        <f t="shared" si="1002"/>
        <v>10</v>
      </c>
      <c r="IC69">
        <f t="shared" si="1003"/>
        <v>10</v>
      </c>
      <c r="ID69">
        <f t="shared" si="1004"/>
        <v>10</v>
      </c>
      <c r="IE69">
        <f t="shared" si="1005"/>
        <v>10</v>
      </c>
      <c r="IF69">
        <f t="shared" si="1006"/>
        <v>10</v>
      </c>
      <c r="IG69">
        <f t="shared" si="1007"/>
        <v>10</v>
      </c>
      <c r="IH69">
        <f t="shared" si="1008"/>
        <v>10</v>
      </c>
      <c r="II69">
        <f t="shared" si="1009"/>
        <v>10</v>
      </c>
      <c r="IJ69">
        <f t="shared" si="1010"/>
        <v>10</v>
      </c>
      <c r="IK69">
        <f t="shared" si="1011"/>
        <v>10</v>
      </c>
      <c r="IL69">
        <f t="shared" si="1012"/>
        <v>10</v>
      </c>
      <c r="IM69">
        <f t="shared" si="1013"/>
        <v>10</v>
      </c>
      <c r="IN69">
        <f t="shared" si="1014"/>
        <v>10</v>
      </c>
      <c r="IO69">
        <f t="shared" si="1015"/>
        <v>10</v>
      </c>
      <c r="IP69">
        <f t="shared" si="1016"/>
        <v>10</v>
      </c>
      <c r="IQ69">
        <f t="shared" si="1017"/>
        <v>10</v>
      </c>
      <c r="IR69">
        <f t="shared" si="1018"/>
        <v>10</v>
      </c>
      <c r="IS69">
        <f t="shared" si="1019"/>
        <v>10</v>
      </c>
      <c r="IT69">
        <f t="shared" si="1020"/>
        <v>10</v>
      </c>
      <c r="IU69">
        <f t="shared" si="1021"/>
        <v>10</v>
      </c>
      <c r="IV69">
        <f t="shared" si="1022"/>
        <v>10</v>
      </c>
    </row>
    <row r="70" spans="1:256" x14ac:dyDescent="0.2">
      <c r="A70" t="s">
        <v>541</v>
      </c>
      <c r="B70">
        <f t="shared" si="768"/>
        <v>10</v>
      </c>
      <c r="C70">
        <f t="shared" si="769"/>
        <v>10</v>
      </c>
      <c r="D70">
        <f t="shared" si="770"/>
        <v>10</v>
      </c>
      <c r="E70">
        <f t="shared" si="771"/>
        <v>10</v>
      </c>
      <c r="F70">
        <f t="shared" si="772"/>
        <v>10</v>
      </c>
      <c r="G70">
        <f t="shared" si="773"/>
        <v>10</v>
      </c>
      <c r="H70">
        <f t="shared" si="774"/>
        <v>10</v>
      </c>
      <c r="I70">
        <f t="shared" si="775"/>
        <v>10</v>
      </c>
      <c r="J70">
        <f t="shared" si="776"/>
        <v>10</v>
      </c>
      <c r="K70">
        <f t="shared" si="777"/>
        <v>10</v>
      </c>
      <c r="L70">
        <f t="shared" si="778"/>
        <v>10</v>
      </c>
      <c r="M70">
        <f t="shared" si="779"/>
        <v>10</v>
      </c>
      <c r="N70">
        <f t="shared" si="780"/>
        <v>10</v>
      </c>
      <c r="O70">
        <f t="shared" si="781"/>
        <v>10</v>
      </c>
      <c r="P70">
        <f t="shared" si="782"/>
        <v>10</v>
      </c>
      <c r="Q70">
        <f t="shared" si="783"/>
        <v>10</v>
      </c>
      <c r="R70">
        <f t="shared" si="784"/>
        <v>10</v>
      </c>
      <c r="S70">
        <f t="shared" si="785"/>
        <v>10</v>
      </c>
      <c r="T70">
        <f t="shared" si="786"/>
        <v>10</v>
      </c>
      <c r="U70">
        <f t="shared" si="787"/>
        <v>10</v>
      </c>
      <c r="V70">
        <f t="shared" si="788"/>
        <v>10</v>
      </c>
      <c r="W70">
        <f t="shared" si="789"/>
        <v>10</v>
      </c>
      <c r="X70">
        <f t="shared" si="790"/>
        <v>10</v>
      </c>
      <c r="Y70">
        <f t="shared" si="791"/>
        <v>10</v>
      </c>
      <c r="Z70">
        <f t="shared" si="792"/>
        <v>10</v>
      </c>
      <c r="AA70">
        <f t="shared" si="793"/>
        <v>10</v>
      </c>
      <c r="AB70">
        <f t="shared" si="794"/>
        <v>10</v>
      </c>
      <c r="AC70">
        <f t="shared" si="795"/>
        <v>10</v>
      </c>
      <c r="AD70">
        <f t="shared" si="796"/>
        <v>10</v>
      </c>
      <c r="AE70">
        <f t="shared" si="797"/>
        <v>10</v>
      </c>
      <c r="AF70">
        <f t="shared" si="798"/>
        <v>10</v>
      </c>
      <c r="AG70">
        <f t="shared" si="799"/>
        <v>10</v>
      </c>
      <c r="AH70">
        <f t="shared" si="800"/>
        <v>10</v>
      </c>
      <c r="AI70">
        <f t="shared" si="801"/>
        <v>10</v>
      </c>
      <c r="AJ70">
        <f t="shared" si="802"/>
        <v>10</v>
      </c>
      <c r="AK70">
        <f t="shared" si="803"/>
        <v>10</v>
      </c>
      <c r="AL70">
        <f t="shared" si="804"/>
        <v>10</v>
      </c>
      <c r="AM70">
        <f t="shared" si="805"/>
        <v>10</v>
      </c>
      <c r="AN70">
        <f t="shared" si="806"/>
        <v>10</v>
      </c>
      <c r="AO70">
        <f t="shared" si="807"/>
        <v>10</v>
      </c>
      <c r="AP70">
        <f t="shared" si="808"/>
        <v>10</v>
      </c>
      <c r="AQ70">
        <f t="shared" si="809"/>
        <v>10</v>
      </c>
      <c r="AR70">
        <f t="shared" si="810"/>
        <v>10</v>
      </c>
      <c r="AS70">
        <f t="shared" si="811"/>
        <v>10</v>
      </c>
      <c r="AT70">
        <f t="shared" si="812"/>
        <v>10</v>
      </c>
      <c r="AU70">
        <f t="shared" si="813"/>
        <v>10</v>
      </c>
      <c r="AV70">
        <f t="shared" si="814"/>
        <v>10</v>
      </c>
      <c r="AW70">
        <f t="shared" si="815"/>
        <v>10</v>
      </c>
      <c r="AX70">
        <f t="shared" si="816"/>
        <v>10</v>
      </c>
      <c r="AY70">
        <f t="shared" si="817"/>
        <v>10</v>
      </c>
      <c r="AZ70">
        <f t="shared" si="818"/>
        <v>10</v>
      </c>
      <c r="BA70">
        <f t="shared" si="819"/>
        <v>10</v>
      </c>
      <c r="BB70">
        <f t="shared" si="820"/>
        <v>10</v>
      </c>
      <c r="BC70">
        <f t="shared" si="821"/>
        <v>10</v>
      </c>
      <c r="BD70">
        <f t="shared" si="822"/>
        <v>10</v>
      </c>
      <c r="BE70">
        <f t="shared" si="823"/>
        <v>10</v>
      </c>
      <c r="BF70">
        <f t="shared" si="824"/>
        <v>10</v>
      </c>
      <c r="BG70">
        <f t="shared" si="825"/>
        <v>10</v>
      </c>
      <c r="BH70">
        <f t="shared" si="826"/>
        <v>10</v>
      </c>
      <c r="BI70">
        <f t="shared" si="827"/>
        <v>10</v>
      </c>
      <c r="BJ70">
        <f t="shared" si="828"/>
        <v>10</v>
      </c>
      <c r="BK70">
        <f t="shared" si="829"/>
        <v>10</v>
      </c>
      <c r="BL70">
        <f t="shared" si="830"/>
        <v>10</v>
      </c>
      <c r="BM70">
        <f t="shared" si="831"/>
        <v>10</v>
      </c>
      <c r="BN70">
        <f t="shared" si="832"/>
        <v>10</v>
      </c>
      <c r="BO70">
        <f t="shared" si="833"/>
        <v>10</v>
      </c>
      <c r="BP70">
        <f t="shared" si="834"/>
        <v>10</v>
      </c>
      <c r="BQ70">
        <f t="shared" si="835"/>
        <v>10</v>
      </c>
      <c r="BR70">
        <f t="shared" si="836"/>
        <v>10</v>
      </c>
      <c r="BS70">
        <f t="shared" si="837"/>
        <v>10</v>
      </c>
      <c r="BT70">
        <f t="shared" si="838"/>
        <v>10</v>
      </c>
      <c r="BU70">
        <f t="shared" si="839"/>
        <v>10</v>
      </c>
      <c r="BV70">
        <f t="shared" si="840"/>
        <v>10</v>
      </c>
      <c r="BW70">
        <f t="shared" si="841"/>
        <v>10</v>
      </c>
      <c r="BX70">
        <f t="shared" si="842"/>
        <v>10</v>
      </c>
      <c r="BY70">
        <f t="shared" si="843"/>
        <v>10</v>
      </c>
      <c r="BZ70">
        <f t="shared" si="844"/>
        <v>10</v>
      </c>
      <c r="CA70">
        <f t="shared" si="845"/>
        <v>10</v>
      </c>
      <c r="CB70">
        <f t="shared" si="846"/>
        <v>10</v>
      </c>
      <c r="CC70">
        <f t="shared" si="847"/>
        <v>10</v>
      </c>
      <c r="CD70">
        <f t="shared" si="848"/>
        <v>10</v>
      </c>
      <c r="CE70">
        <f t="shared" si="849"/>
        <v>10</v>
      </c>
      <c r="CF70">
        <f t="shared" si="850"/>
        <v>10</v>
      </c>
      <c r="CG70">
        <f t="shared" si="851"/>
        <v>10</v>
      </c>
      <c r="CH70">
        <f t="shared" si="852"/>
        <v>10</v>
      </c>
      <c r="CI70">
        <f t="shared" si="853"/>
        <v>10</v>
      </c>
      <c r="CJ70">
        <f t="shared" si="854"/>
        <v>10</v>
      </c>
      <c r="CK70">
        <f t="shared" si="855"/>
        <v>10</v>
      </c>
      <c r="CL70">
        <f t="shared" si="856"/>
        <v>10</v>
      </c>
      <c r="CM70">
        <f t="shared" si="857"/>
        <v>10</v>
      </c>
      <c r="CN70">
        <f t="shared" si="858"/>
        <v>10</v>
      </c>
      <c r="CO70">
        <f t="shared" si="859"/>
        <v>10</v>
      </c>
      <c r="CP70">
        <f t="shared" si="860"/>
        <v>10</v>
      </c>
      <c r="CQ70">
        <f t="shared" si="861"/>
        <v>10</v>
      </c>
      <c r="CR70">
        <f t="shared" si="862"/>
        <v>10</v>
      </c>
      <c r="CS70">
        <f t="shared" si="863"/>
        <v>10</v>
      </c>
      <c r="CT70">
        <f t="shared" si="864"/>
        <v>10</v>
      </c>
      <c r="CU70">
        <f t="shared" si="865"/>
        <v>10</v>
      </c>
      <c r="CV70">
        <f t="shared" si="866"/>
        <v>10</v>
      </c>
      <c r="CW70">
        <f t="shared" si="867"/>
        <v>10</v>
      </c>
      <c r="CX70">
        <f t="shared" si="868"/>
        <v>10</v>
      </c>
      <c r="CY70">
        <f t="shared" si="869"/>
        <v>10</v>
      </c>
      <c r="CZ70">
        <f t="shared" si="870"/>
        <v>10</v>
      </c>
      <c r="DA70">
        <f t="shared" si="871"/>
        <v>10</v>
      </c>
      <c r="DB70">
        <f t="shared" si="872"/>
        <v>10</v>
      </c>
      <c r="DC70">
        <f t="shared" si="873"/>
        <v>10</v>
      </c>
      <c r="DD70">
        <f t="shared" si="874"/>
        <v>10</v>
      </c>
      <c r="DE70">
        <f t="shared" si="875"/>
        <v>10</v>
      </c>
      <c r="DF70">
        <f t="shared" si="876"/>
        <v>10</v>
      </c>
      <c r="DG70">
        <f t="shared" si="877"/>
        <v>10</v>
      </c>
      <c r="DH70">
        <f t="shared" si="878"/>
        <v>10</v>
      </c>
      <c r="DI70">
        <f t="shared" si="879"/>
        <v>10</v>
      </c>
      <c r="DJ70">
        <f t="shared" si="880"/>
        <v>10</v>
      </c>
      <c r="DK70">
        <f t="shared" si="881"/>
        <v>10</v>
      </c>
      <c r="DL70">
        <f t="shared" si="882"/>
        <v>10</v>
      </c>
      <c r="DM70">
        <f t="shared" si="883"/>
        <v>10</v>
      </c>
      <c r="DN70">
        <f t="shared" si="884"/>
        <v>10</v>
      </c>
      <c r="DO70">
        <f t="shared" si="885"/>
        <v>10</v>
      </c>
      <c r="DP70">
        <f t="shared" si="886"/>
        <v>10</v>
      </c>
      <c r="DQ70">
        <f t="shared" si="887"/>
        <v>10</v>
      </c>
      <c r="DR70">
        <f t="shared" si="888"/>
        <v>10</v>
      </c>
      <c r="DS70">
        <f t="shared" si="889"/>
        <v>10</v>
      </c>
      <c r="DT70">
        <f t="shared" si="890"/>
        <v>10</v>
      </c>
      <c r="DU70">
        <f t="shared" si="891"/>
        <v>10</v>
      </c>
      <c r="DV70">
        <f t="shared" si="892"/>
        <v>10</v>
      </c>
      <c r="DW70">
        <f t="shared" si="893"/>
        <v>10</v>
      </c>
      <c r="DX70">
        <f t="shared" si="894"/>
        <v>10</v>
      </c>
      <c r="DY70">
        <f t="shared" si="895"/>
        <v>10</v>
      </c>
      <c r="DZ70">
        <f t="shared" si="896"/>
        <v>10</v>
      </c>
      <c r="EA70">
        <f t="shared" si="897"/>
        <v>10</v>
      </c>
      <c r="EB70">
        <f t="shared" si="898"/>
        <v>10</v>
      </c>
      <c r="EC70">
        <f t="shared" si="899"/>
        <v>10</v>
      </c>
      <c r="ED70">
        <f t="shared" si="900"/>
        <v>10</v>
      </c>
      <c r="EE70">
        <f t="shared" si="901"/>
        <v>10</v>
      </c>
      <c r="EF70">
        <f t="shared" si="902"/>
        <v>10</v>
      </c>
      <c r="EG70">
        <f t="shared" si="903"/>
        <v>10</v>
      </c>
      <c r="EH70">
        <f t="shared" si="904"/>
        <v>10</v>
      </c>
      <c r="EI70">
        <f t="shared" si="905"/>
        <v>10</v>
      </c>
      <c r="EJ70">
        <f t="shared" si="906"/>
        <v>10</v>
      </c>
      <c r="EK70">
        <f t="shared" si="907"/>
        <v>10</v>
      </c>
      <c r="EL70">
        <f t="shared" si="908"/>
        <v>10</v>
      </c>
      <c r="EM70">
        <f t="shared" si="909"/>
        <v>10</v>
      </c>
      <c r="EN70">
        <f t="shared" si="910"/>
        <v>10</v>
      </c>
      <c r="EO70">
        <f t="shared" si="911"/>
        <v>10</v>
      </c>
      <c r="EP70">
        <f t="shared" si="912"/>
        <v>10</v>
      </c>
      <c r="EQ70">
        <f t="shared" si="913"/>
        <v>10</v>
      </c>
      <c r="ER70">
        <f t="shared" si="914"/>
        <v>10</v>
      </c>
      <c r="ES70">
        <f t="shared" si="915"/>
        <v>10</v>
      </c>
      <c r="ET70">
        <f t="shared" si="916"/>
        <v>10</v>
      </c>
      <c r="EU70">
        <f t="shared" si="917"/>
        <v>10</v>
      </c>
      <c r="EV70">
        <f t="shared" si="918"/>
        <v>10</v>
      </c>
      <c r="EW70">
        <f t="shared" si="919"/>
        <v>10</v>
      </c>
      <c r="EX70">
        <f t="shared" si="920"/>
        <v>10</v>
      </c>
      <c r="EY70">
        <f t="shared" si="921"/>
        <v>10</v>
      </c>
      <c r="EZ70">
        <f t="shared" si="922"/>
        <v>10</v>
      </c>
      <c r="FA70">
        <f t="shared" si="923"/>
        <v>10</v>
      </c>
      <c r="FB70">
        <f t="shared" si="924"/>
        <v>10</v>
      </c>
      <c r="FC70">
        <f t="shared" si="925"/>
        <v>10</v>
      </c>
      <c r="FD70">
        <f t="shared" si="926"/>
        <v>10</v>
      </c>
      <c r="FE70">
        <f t="shared" si="927"/>
        <v>10</v>
      </c>
      <c r="FF70">
        <f t="shared" si="928"/>
        <v>10</v>
      </c>
      <c r="FG70">
        <f t="shared" si="929"/>
        <v>10</v>
      </c>
      <c r="FH70">
        <f t="shared" si="930"/>
        <v>10</v>
      </c>
      <c r="FI70">
        <f t="shared" si="931"/>
        <v>10</v>
      </c>
      <c r="FJ70">
        <f t="shared" si="932"/>
        <v>10</v>
      </c>
      <c r="FK70">
        <f t="shared" si="933"/>
        <v>10</v>
      </c>
      <c r="FL70">
        <f t="shared" si="934"/>
        <v>10</v>
      </c>
      <c r="FM70">
        <f t="shared" si="935"/>
        <v>10</v>
      </c>
      <c r="FN70">
        <f t="shared" si="936"/>
        <v>10</v>
      </c>
      <c r="FO70">
        <f t="shared" si="937"/>
        <v>10</v>
      </c>
      <c r="FP70">
        <f t="shared" si="938"/>
        <v>10</v>
      </c>
      <c r="FQ70">
        <f t="shared" si="939"/>
        <v>10</v>
      </c>
      <c r="FR70">
        <f t="shared" si="940"/>
        <v>10</v>
      </c>
      <c r="FS70">
        <f t="shared" si="941"/>
        <v>10</v>
      </c>
      <c r="FT70">
        <f t="shared" si="942"/>
        <v>10</v>
      </c>
      <c r="FU70">
        <f t="shared" si="943"/>
        <v>10</v>
      </c>
      <c r="FV70">
        <f t="shared" si="944"/>
        <v>10</v>
      </c>
      <c r="FW70">
        <f t="shared" si="945"/>
        <v>10</v>
      </c>
      <c r="FX70">
        <f t="shared" si="946"/>
        <v>10</v>
      </c>
      <c r="FY70">
        <f t="shared" si="947"/>
        <v>10</v>
      </c>
      <c r="FZ70">
        <f t="shared" si="948"/>
        <v>10</v>
      </c>
      <c r="GA70">
        <f t="shared" si="949"/>
        <v>10</v>
      </c>
      <c r="GB70">
        <f t="shared" si="950"/>
        <v>10</v>
      </c>
      <c r="GC70">
        <f t="shared" si="951"/>
        <v>10</v>
      </c>
      <c r="GD70">
        <f t="shared" si="952"/>
        <v>10</v>
      </c>
      <c r="GE70">
        <f t="shared" si="953"/>
        <v>10</v>
      </c>
      <c r="GF70">
        <f t="shared" si="954"/>
        <v>10</v>
      </c>
      <c r="GG70">
        <f t="shared" si="955"/>
        <v>10</v>
      </c>
      <c r="GH70">
        <f t="shared" si="956"/>
        <v>10</v>
      </c>
      <c r="GI70">
        <f t="shared" si="957"/>
        <v>10</v>
      </c>
      <c r="GJ70">
        <f t="shared" si="958"/>
        <v>10</v>
      </c>
      <c r="GK70">
        <f t="shared" si="959"/>
        <v>10</v>
      </c>
      <c r="GL70">
        <f t="shared" si="960"/>
        <v>10</v>
      </c>
      <c r="GM70">
        <f t="shared" si="961"/>
        <v>10</v>
      </c>
      <c r="GN70">
        <f t="shared" si="962"/>
        <v>10</v>
      </c>
      <c r="GO70">
        <f t="shared" si="963"/>
        <v>10</v>
      </c>
      <c r="GP70">
        <f t="shared" si="964"/>
        <v>10</v>
      </c>
      <c r="GQ70">
        <f t="shared" si="965"/>
        <v>10</v>
      </c>
      <c r="GR70">
        <f t="shared" si="966"/>
        <v>10</v>
      </c>
      <c r="GS70">
        <f t="shared" si="967"/>
        <v>10</v>
      </c>
      <c r="GT70">
        <f t="shared" si="968"/>
        <v>10</v>
      </c>
      <c r="GU70">
        <f t="shared" si="969"/>
        <v>10</v>
      </c>
      <c r="GV70">
        <f t="shared" si="970"/>
        <v>10</v>
      </c>
      <c r="GW70">
        <f t="shared" si="971"/>
        <v>10</v>
      </c>
      <c r="GX70">
        <f t="shared" si="972"/>
        <v>10</v>
      </c>
      <c r="GY70">
        <f t="shared" si="973"/>
        <v>10</v>
      </c>
      <c r="GZ70">
        <f t="shared" si="974"/>
        <v>10</v>
      </c>
      <c r="HA70">
        <f t="shared" si="975"/>
        <v>10</v>
      </c>
      <c r="HB70">
        <f t="shared" si="976"/>
        <v>10</v>
      </c>
      <c r="HC70">
        <f t="shared" si="977"/>
        <v>10</v>
      </c>
      <c r="HD70">
        <f t="shared" si="978"/>
        <v>10</v>
      </c>
      <c r="HE70">
        <f t="shared" si="979"/>
        <v>10</v>
      </c>
      <c r="HF70">
        <f t="shared" si="980"/>
        <v>10</v>
      </c>
      <c r="HG70">
        <f t="shared" si="981"/>
        <v>10</v>
      </c>
      <c r="HH70">
        <f t="shared" si="982"/>
        <v>10</v>
      </c>
      <c r="HI70">
        <f t="shared" si="983"/>
        <v>10</v>
      </c>
      <c r="HJ70">
        <f t="shared" si="984"/>
        <v>10</v>
      </c>
      <c r="HK70">
        <f t="shared" si="985"/>
        <v>10</v>
      </c>
      <c r="HL70">
        <f t="shared" si="986"/>
        <v>10</v>
      </c>
      <c r="HM70">
        <f t="shared" si="987"/>
        <v>10</v>
      </c>
      <c r="HN70">
        <f t="shared" si="988"/>
        <v>10</v>
      </c>
      <c r="HO70">
        <f t="shared" si="989"/>
        <v>10</v>
      </c>
      <c r="HP70">
        <f t="shared" si="990"/>
        <v>10</v>
      </c>
      <c r="HQ70">
        <f t="shared" si="991"/>
        <v>10</v>
      </c>
      <c r="HR70">
        <f t="shared" si="992"/>
        <v>10</v>
      </c>
      <c r="HS70">
        <f t="shared" si="993"/>
        <v>10</v>
      </c>
      <c r="HT70">
        <f t="shared" si="994"/>
        <v>10</v>
      </c>
      <c r="HU70">
        <f t="shared" si="995"/>
        <v>10</v>
      </c>
      <c r="HV70">
        <f t="shared" si="996"/>
        <v>10</v>
      </c>
      <c r="HW70">
        <f t="shared" si="997"/>
        <v>10</v>
      </c>
      <c r="HX70">
        <f t="shared" si="998"/>
        <v>10</v>
      </c>
      <c r="HY70">
        <f t="shared" si="999"/>
        <v>10</v>
      </c>
      <c r="HZ70">
        <f t="shared" si="1000"/>
        <v>10</v>
      </c>
      <c r="IA70">
        <f t="shared" si="1001"/>
        <v>10</v>
      </c>
      <c r="IB70">
        <f t="shared" si="1002"/>
        <v>10</v>
      </c>
      <c r="IC70">
        <f t="shared" si="1003"/>
        <v>10</v>
      </c>
      <c r="ID70">
        <f t="shared" si="1004"/>
        <v>10</v>
      </c>
      <c r="IE70">
        <f t="shared" si="1005"/>
        <v>10</v>
      </c>
      <c r="IF70">
        <f t="shared" si="1006"/>
        <v>10</v>
      </c>
      <c r="IG70">
        <f t="shared" si="1007"/>
        <v>10</v>
      </c>
      <c r="IH70">
        <f t="shared" si="1008"/>
        <v>10</v>
      </c>
      <c r="II70">
        <f t="shared" si="1009"/>
        <v>10</v>
      </c>
      <c r="IJ70">
        <f t="shared" si="1010"/>
        <v>10</v>
      </c>
      <c r="IK70">
        <f t="shared" si="1011"/>
        <v>10</v>
      </c>
      <c r="IL70">
        <f t="shared" si="1012"/>
        <v>10</v>
      </c>
      <c r="IM70">
        <f t="shared" si="1013"/>
        <v>10</v>
      </c>
      <c r="IN70">
        <f t="shared" si="1014"/>
        <v>10</v>
      </c>
      <c r="IO70">
        <f t="shared" si="1015"/>
        <v>10</v>
      </c>
      <c r="IP70">
        <f t="shared" si="1016"/>
        <v>10</v>
      </c>
      <c r="IQ70">
        <f t="shared" si="1017"/>
        <v>10</v>
      </c>
      <c r="IR70">
        <f t="shared" si="1018"/>
        <v>10</v>
      </c>
      <c r="IS70">
        <f t="shared" si="1019"/>
        <v>10</v>
      </c>
      <c r="IT70">
        <f t="shared" si="1020"/>
        <v>10</v>
      </c>
      <c r="IU70">
        <f t="shared" si="1021"/>
        <v>10</v>
      </c>
      <c r="IV70">
        <f t="shared" si="1022"/>
        <v>10</v>
      </c>
    </row>
    <row r="71" spans="1:256" x14ac:dyDescent="0.2">
      <c r="A71" t="s">
        <v>542</v>
      </c>
      <c r="B71">
        <f>MIN(1,B37*B89*B90*B93*B94*B97*B98)</f>
        <v>2.0142924223991543E-3</v>
      </c>
      <c r="C71">
        <f>MIN(1,C37*C89*C90*C93*C94*C97*C98)</f>
        <v>9.9873438386931579E-2</v>
      </c>
      <c r="D71">
        <f t="shared" ref="D71:BO71" si="1023">MIN(1,D37*D89*D90*D93*D94*D97*D98)</f>
        <v>0.10489959393439952</v>
      </c>
      <c r="E71">
        <f t="shared" si="1023"/>
        <v>0.10991374404244128</v>
      </c>
      <c r="F71">
        <f t="shared" si="1023"/>
        <v>0.11491011287768994</v>
      </c>
      <c r="G71">
        <f t="shared" si="1023"/>
        <v>0.11988339060281157</v>
      </c>
      <c r="H71">
        <f t="shared" si="1023"/>
        <v>0.12482870776997669</v>
      </c>
      <c r="I71">
        <f t="shared" si="1023"/>
        <v>0.12974161092771455</v>
      </c>
      <c r="J71">
        <f t="shared" si="1023"/>
        <v>0.13461803940596412</v>
      </c>
      <c r="K71">
        <f t="shared" si="1023"/>
        <v>0.12980705124024067</v>
      </c>
      <c r="L71">
        <f t="shared" si="1023"/>
        <v>0.12512692930055053</v>
      </c>
      <c r="M71">
        <f t="shared" si="1023"/>
        <v>0.12057684071989626</v>
      </c>
      <c r="N71">
        <f t="shared" si="1023"/>
        <v>0.11615573320116739</v>
      </c>
      <c r="O71">
        <f t="shared" si="1023"/>
        <v>0.11186235614914898</v>
      </c>
      <c r="P71">
        <f t="shared" si="1023"/>
        <v>0.10769528037076248</v>
      </c>
      <c r="Q71">
        <f t="shared" si="1023"/>
        <v>0.10365291643872768</v>
      </c>
      <c r="R71">
        <f t="shared" si="1023"/>
        <v>9.9733531806465076E-2</v>
      </c>
      <c r="S71">
        <f t="shared" si="1023"/>
        <v>9.6857435781893916E-2</v>
      </c>
      <c r="T71">
        <f t="shared" si="1023"/>
        <v>9.4033630037612573E-2</v>
      </c>
      <c r="U71">
        <f t="shared" si="1023"/>
        <v>9.1263333237211475E-2</v>
      </c>
      <c r="V71">
        <f t="shared" si="1023"/>
        <v>8.85475452375626E-2</v>
      </c>
      <c r="W71">
        <f t="shared" si="1023"/>
        <v>8.5887064536346536E-2</v>
      </c>
      <c r="X71">
        <f t="shared" si="1023"/>
        <v>8.3282504571029176E-2</v>
      </c>
      <c r="Y71">
        <f t="shared" si="1023"/>
        <v>8.0734308943287078E-2</v>
      </c>
      <c r="Z71">
        <f t="shared" si="1023"/>
        <v>7.8242765636974826E-2</v>
      </c>
      <c r="AA71">
        <f t="shared" si="1023"/>
        <v>7.6955360802625578E-2</v>
      </c>
      <c r="AB71">
        <f t="shared" si="1023"/>
        <v>7.5675545282609891E-2</v>
      </c>
      <c r="AC71">
        <f t="shared" si="1023"/>
        <v>7.4404046102695701E-2</v>
      </c>
      <c r="AD71">
        <f t="shared" si="1023"/>
        <v>7.3141516713722862E-2</v>
      </c>
      <c r="AE71">
        <f t="shared" si="1023"/>
        <v>7.1888544439370636E-2</v>
      </c>
      <c r="AF71">
        <f t="shared" si="1023"/>
        <v>7.0645657144563431E-2</v>
      </c>
      <c r="AG71">
        <f t="shared" si="1023"/>
        <v>6.9413329197953705E-2</v>
      </c>
      <c r="AH71">
        <f t="shared" si="1023"/>
        <v>0.63681140352632792</v>
      </c>
      <c r="AI71">
        <f t="shared" si="1023"/>
        <v>0.65593926550633985</v>
      </c>
      <c r="AJ71">
        <f t="shared" si="1023"/>
        <v>0.67601448682038634</v>
      </c>
      <c r="AK71">
        <f t="shared" si="1023"/>
        <v>0.69710822009300555</v>
      </c>
      <c r="AL71">
        <f t="shared" si="1023"/>
        <v>0.71929746005298234</v>
      </c>
      <c r="AM71">
        <f t="shared" si="1023"/>
        <v>0.74266574368005067</v>
      </c>
      <c r="AN71">
        <f t="shared" si="1023"/>
        <v>0.76730393654482021</v>
      </c>
      <c r="AO71">
        <f t="shared" si="1023"/>
        <v>0.79331111891640926</v>
      </c>
      <c r="AP71">
        <f t="shared" si="1023"/>
        <v>1</v>
      </c>
      <c r="AQ71">
        <f t="shared" si="1023"/>
        <v>1</v>
      </c>
      <c r="AR71">
        <f t="shared" si="1023"/>
        <v>1</v>
      </c>
      <c r="AS71">
        <f t="shared" si="1023"/>
        <v>1</v>
      </c>
      <c r="AT71">
        <f t="shared" si="1023"/>
        <v>1</v>
      </c>
      <c r="AU71">
        <f t="shared" si="1023"/>
        <v>1</v>
      </c>
      <c r="AV71">
        <f t="shared" si="1023"/>
        <v>1</v>
      </c>
      <c r="AW71">
        <f t="shared" si="1023"/>
        <v>1</v>
      </c>
      <c r="AX71">
        <f t="shared" si="1023"/>
        <v>0.76553858482411918</v>
      </c>
      <c r="AY71">
        <f t="shared" si="1023"/>
        <v>0.78439499491701159</v>
      </c>
      <c r="AZ71">
        <f t="shared" si="1023"/>
        <v>0.80414838497441976</v>
      </c>
      <c r="BA71">
        <f t="shared" si="1023"/>
        <v>0.82487901083787041</v>
      </c>
      <c r="BB71">
        <f t="shared" si="1023"/>
        <v>0.84667173909333437</v>
      </c>
      <c r="BC71">
        <f t="shared" si="1023"/>
        <v>0.86961679253615198</v>
      </c>
      <c r="BD71">
        <f t="shared" si="1023"/>
        <v>0.89381055472704263</v>
      </c>
      <c r="BE71">
        <f t="shared" si="1023"/>
        <v>0.91935644725374366</v>
      </c>
      <c r="BF71">
        <f t="shared" si="1023"/>
        <v>0.94636589479160627</v>
      </c>
      <c r="BG71">
        <f t="shared" si="1023"/>
        <v>0.97386093142927888</v>
      </c>
      <c r="BH71">
        <f t="shared" si="1023"/>
        <v>1</v>
      </c>
      <c r="BI71">
        <f t="shared" si="1023"/>
        <v>1</v>
      </c>
      <c r="BJ71">
        <f t="shared" si="1023"/>
        <v>1</v>
      </c>
      <c r="BK71">
        <f t="shared" si="1023"/>
        <v>1</v>
      </c>
      <c r="BL71">
        <f t="shared" si="1023"/>
        <v>1</v>
      </c>
      <c r="BM71">
        <f t="shared" si="1023"/>
        <v>1</v>
      </c>
      <c r="BN71">
        <f t="shared" si="1023"/>
        <v>1</v>
      </c>
      <c r="BO71">
        <f t="shared" si="1023"/>
        <v>1</v>
      </c>
      <c r="BP71">
        <f t="shared" ref="BP71:EA71" si="1024">MIN(1,BP37*BP89*BP90*BP93*BP94*BP97*BP98)</f>
        <v>1</v>
      </c>
      <c r="BQ71">
        <f t="shared" si="1024"/>
        <v>1</v>
      </c>
      <c r="BR71">
        <f t="shared" si="1024"/>
        <v>1</v>
      </c>
      <c r="BS71">
        <f t="shared" si="1024"/>
        <v>1</v>
      </c>
      <c r="BT71">
        <f t="shared" si="1024"/>
        <v>1</v>
      </c>
      <c r="BU71">
        <f t="shared" si="1024"/>
        <v>1</v>
      </c>
      <c r="BV71">
        <f t="shared" si="1024"/>
        <v>1</v>
      </c>
      <c r="BW71">
        <f t="shared" si="1024"/>
        <v>1</v>
      </c>
      <c r="BX71">
        <f t="shared" si="1024"/>
        <v>1</v>
      </c>
      <c r="BY71">
        <f t="shared" si="1024"/>
        <v>1</v>
      </c>
      <c r="BZ71">
        <f t="shared" si="1024"/>
        <v>1</v>
      </c>
      <c r="CA71">
        <f t="shared" si="1024"/>
        <v>1</v>
      </c>
      <c r="CB71">
        <f t="shared" si="1024"/>
        <v>1</v>
      </c>
      <c r="CC71">
        <f t="shared" si="1024"/>
        <v>1</v>
      </c>
      <c r="CD71">
        <f t="shared" si="1024"/>
        <v>1</v>
      </c>
      <c r="CE71">
        <f t="shared" si="1024"/>
        <v>1</v>
      </c>
      <c r="CF71">
        <f t="shared" si="1024"/>
        <v>1</v>
      </c>
      <c r="CG71">
        <f t="shared" si="1024"/>
        <v>1</v>
      </c>
      <c r="CH71">
        <f t="shared" si="1024"/>
        <v>1</v>
      </c>
      <c r="CI71">
        <f t="shared" si="1024"/>
        <v>1</v>
      </c>
      <c r="CJ71">
        <f t="shared" si="1024"/>
        <v>1</v>
      </c>
      <c r="CK71">
        <f t="shared" si="1024"/>
        <v>1</v>
      </c>
      <c r="CL71">
        <f t="shared" si="1024"/>
        <v>1</v>
      </c>
      <c r="CM71">
        <f t="shared" si="1024"/>
        <v>1</v>
      </c>
      <c r="CN71">
        <f t="shared" si="1024"/>
        <v>1</v>
      </c>
      <c r="CO71">
        <f t="shared" si="1024"/>
        <v>1</v>
      </c>
      <c r="CP71">
        <f t="shared" si="1024"/>
        <v>1</v>
      </c>
      <c r="CQ71">
        <f t="shared" si="1024"/>
        <v>1</v>
      </c>
      <c r="CR71">
        <f t="shared" si="1024"/>
        <v>1</v>
      </c>
      <c r="CS71">
        <f t="shared" si="1024"/>
        <v>1</v>
      </c>
      <c r="CT71">
        <f t="shared" si="1024"/>
        <v>1</v>
      </c>
      <c r="CU71">
        <f t="shared" si="1024"/>
        <v>1</v>
      </c>
      <c r="CV71">
        <f t="shared" si="1024"/>
        <v>1</v>
      </c>
      <c r="CW71">
        <f t="shared" si="1024"/>
        <v>1</v>
      </c>
      <c r="CX71">
        <f t="shared" si="1024"/>
        <v>1</v>
      </c>
      <c r="CY71">
        <f t="shared" si="1024"/>
        <v>1</v>
      </c>
      <c r="CZ71">
        <f t="shared" si="1024"/>
        <v>1</v>
      </c>
      <c r="DA71">
        <f t="shared" si="1024"/>
        <v>1</v>
      </c>
      <c r="DB71">
        <f t="shared" si="1024"/>
        <v>1</v>
      </c>
      <c r="DC71">
        <f t="shared" si="1024"/>
        <v>1</v>
      </c>
      <c r="DD71">
        <f t="shared" si="1024"/>
        <v>1</v>
      </c>
      <c r="DE71">
        <f t="shared" si="1024"/>
        <v>1</v>
      </c>
      <c r="DF71">
        <f t="shared" si="1024"/>
        <v>1</v>
      </c>
      <c r="DG71">
        <f t="shared" si="1024"/>
        <v>1</v>
      </c>
      <c r="DH71">
        <f t="shared" si="1024"/>
        <v>1</v>
      </c>
      <c r="DI71">
        <f t="shared" si="1024"/>
        <v>1</v>
      </c>
      <c r="DJ71">
        <f t="shared" si="1024"/>
        <v>1</v>
      </c>
      <c r="DK71">
        <f t="shared" si="1024"/>
        <v>1</v>
      </c>
      <c r="DL71">
        <f t="shared" si="1024"/>
        <v>1</v>
      </c>
      <c r="DM71">
        <f t="shared" si="1024"/>
        <v>1</v>
      </c>
      <c r="DN71">
        <f t="shared" si="1024"/>
        <v>1</v>
      </c>
      <c r="DO71">
        <f t="shared" si="1024"/>
        <v>1</v>
      </c>
      <c r="DP71">
        <f t="shared" si="1024"/>
        <v>1</v>
      </c>
      <c r="DQ71">
        <f t="shared" si="1024"/>
        <v>1</v>
      </c>
      <c r="DR71">
        <f t="shared" si="1024"/>
        <v>1</v>
      </c>
      <c r="DS71">
        <f t="shared" si="1024"/>
        <v>1</v>
      </c>
      <c r="DT71">
        <f t="shared" si="1024"/>
        <v>1</v>
      </c>
      <c r="DU71">
        <f t="shared" si="1024"/>
        <v>1</v>
      </c>
      <c r="DV71">
        <f t="shared" si="1024"/>
        <v>1</v>
      </c>
      <c r="DW71">
        <f t="shared" si="1024"/>
        <v>1</v>
      </c>
      <c r="DX71">
        <f t="shared" si="1024"/>
        <v>1</v>
      </c>
      <c r="DY71">
        <f t="shared" si="1024"/>
        <v>1</v>
      </c>
      <c r="DZ71">
        <f t="shared" si="1024"/>
        <v>1</v>
      </c>
      <c r="EA71">
        <f t="shared" si="1024"/>
        <v>1</v>
      </c>
      <c r="EB71">
        <f t="shared" ref="EB71:GM71" si="1025">MIN(1,EB37*EB89*EB90*EB93*EB94*EB97*EB98)</f>
        <v>1</v>
      </c>
      <c r="EC71">
        <f t="shared" si="1025"/>
        <v>1</v>
      </c>
      <c r="ED71">
        <f t="shared" si="1025"/>
        <v>1</v>
      </c>
      <c r="EE71">
        <f t="shared" si="1025"/>
        <v>1</v>
      </c>
      <c r="EF71">
        <f t="shared" si="1025"/>
        <v>1</v>
      </c>
      <c r="EG71">
        <f t="shared" si="1025"/>
        <v>1</v>
      </c>
      <c r="EH71">
        <f t="shared" si="1025"/>
        <v>1</v>
      </c>
      <c r="EI71">
        <f t="shared" si="1025"/>
        <v>1</v>
      </c>
      <c r="EJ71">
        <f t="shared" si="1025"/>
        <v>1</v>
      </c>
      <c r="EK71">
        <f t="shared" si="1025"/>
        <v>1</v>
      </c>
      <c r="EL71">
        <f t="shared" si="1025"/>
        <v>1</v>
      </c>
      <c r="EM71">
        <f t="shared" si="1025"/>
        <v>1</v>
      </c>
      <c r="EN71">
        <f t="shared" si="1025"/>
        <v>1</v>
      </c>
      <c r="EO71">
        <f t="shared" si="1025"/>
        <v>1</v>
      </c>
      <c r="EP71">
        <f t="shared" si="1025"/>
        <v>1</v>
      </c>
      <c r="EQ71">
        <f t="shared" si="1025"/>
        <v>1</v>
      </c>
      <c r="ER71">
        <f t="shared" si="1025"/>
        <v>1</v>
      </c>
      <c r="ES71">
        <f t="shared" si="1025"/>
        <v>1</v>
      </c>
      <c r="ET71">
        <f t="shared" si="1025"/>
        <v>1</v>
      </c>
      <c r="EU71">
        <f t="shared" si="1025"/>
        <v>1</v>
      </c>
      <c r="EV71">
        <f t="shared" si="1025"/>
        <v>1</v>
      </c>
      <c r="EW71">
        <f t="shared" si="1025"/>
        <v>1</v>
      </c>
      <c r="EX71">
        <f t="shared" si="1025"/>
        <v>1</v>
      </c>
      <c r="EY71">
        <f t="shared" si="1025"/>
        <v>1</v>
      </c>
      <c r="EZ71">
        <f t="shared" si="1025"/>
        <v>1</v>
      </c>
      <c r="FA71">
        <f t="shared" si="1025"/>
        <v>1</v>
      </c>
      <c r="FB71">
        <f t="shared" si="1025"/>
        <v>1</v>
      </c>
      <c r="FC71">
        <f t="shared" si="1025"/>
        <v>1</v>
      </c>
      <c r="FD71">
        <f t="shared" si="1025"/>
        <v>1</v>
      </c>
      <c r="FE71">
        <f t="shared" si="1025"/>
        <v>1</v>
      </c>
      <c r="FF71">
        <f t="shared" si="1025"/>
        <v>1</v>
      </c>
      <c r="FG71">
        <f t="shared" si="1025"/>
        <v>1</v>
      </c>
      <c r="FH71">
        <f t="shared" si="1025"/>
        <v>1</v>
      </c>
      <c r="FI71">
        <f t="shared" si="1025"/>
        <v>1</v>
      </c>
      <c r="FJ71">
        <f t="shared" si="1025"/>
        <v>1</v>
      </c>
      <c r="FK71">
        <f t="shared" si="1025"/>
        <v>1</v>
      </c>
      <c r="FL71">
        <f t="shared" si="1025"/>
        <v>1</v>
      </c>
      <c r="FM71">
        <f t="shared" si="1025"/>
        <v>1</v>
      </c>
      <c r="FN71">
        <f t="shared" si="1025"/>
        <v>1</v>
      </c>
      <c r="FO71">
        <f t="shared" si="1025"/>
        <v>1</v>
      </c>
      <c r="FP71">
        <f t="shared" si="1025"/>
        <v>1</v>
      </c>
      <c r="FQ71">
        <f t="shared" si="1025"/>
        <v>1</v>
      </c>
      <c r="FR71">
        <f t="shared" si="1025"/>
        <v>1</v>
      </c>
      <c r="FS71">
        <f t="shared" si="1025"/>
        <v>1</v>
      </c>
      <c r="FT71">
        <f t="shared" si="1025"/>
        <v>1</v>
      </c>
      <c r="FU71">
        <f t="shared" si="1025"/>
        <v>1</v>
      </c>
      <c r="FV71">
        <f t="shared" si="1025"/>
        <v>1</v>
      </c>
      <c r="FW71">
        <f t="shared" si="1025"/>
        <v>1</v>
      </c>
      <c r="FX71">
        <f t="shared" si="1025"/>
        <v>1</v>
      </c>
      <c r="FY71">
        <f t="shared" si="1025"/>
        <v>1</v>
      </c>
      <c r="FZ71">
        <f t="shared" si="1025"/>
        <v>1</v>
      </c>
      <c r="GA71">
        <f t="shared" si="1025"/>
        <v>1</v>
      </c>
      <c r="GB71">
        <f t="shared" si="1025"/>
        <v>1</v>
      </c>
      <c r="GC71">
        <f t="shared" si="1025"/>
        <v>1</v>
      </c>
      <c r="GD71">
        <f t="shared" si="1025"/>
        <v>1</v>
      </c>
      <c r="GE71">
        <f t="shared" si="1025"/>
        <v>1</v>
      </c>
      <c r="GF71">
        <f t="shared" si="1025"/>
        <v>1</v>
      </c>
      <c r="GG71">
        <f t="shared" si="1025"/>
        <v>1</v>
      </c>
      <c r="GH71">
        <f t="shared" si="1025"/>
        <v>1</v>
      </c>
      <c r="GI71">
        <f t="shared" si="1025"/>
        <v>1</v>
      </c>
      <c r="GJ71">
        <f t="shared" si="1025"/>
        <v>1</v>
      </c>
      <c r="GK71">
        <f t="shared" si="1025"/>
        <v>1</v>
      </c>
      <c r="GL71">
        <f t="shared" si="1025"/>
        <v>1</v>
      </c>
      <c r="GM71">
        <f t="shared" si="1025"/>
        <v>1</v>
      </c>
      <c r="GN71">
        <f t="shared" ref="GN71:IV71" si="1026">MIN(1,GN37*GN89*GN90*GN93*GN94*GN97*GN98)</f>
        <v>1</v>
      </c>
      <c r="GO71">
        <f t="shared" si="1026"/>
        <v>1</v>
      </c>
      <c r="GP71">
        <f t="shared" si="1026"/>
        <v>1</v>
      </c>
      <c r="GQ71">
        <f t="shared" si="1026"/>
        <v>1</v>
      </c>
      <c r="GR71">
        <f t="shared" si="1026"/>
        <v>1</v>
      </c>
      <c r="GS71">
        <f t="shared" si="1026"/>
        <v>1</v>
      </c>
      <c r="GT71">
        <f t="shared" si="1026"/>
        <v>1</v>
      </c>
      <c r="GU71">
        <f t="shared" si="1026"/>
        <v>1</v>
      </c>
      <c r="GV71">
        <f t="shared" si="1026"/>
        <v>1</v>
      </c>
      <c r="GW71">
        <f t="shared" si="1026"/>
        <v>1</v>
      </c>
      <c r="GX71">
        <f t="shared" si="1026"/>
        <v>1</v>
      </c>
      <c r="GY71">
        <f t="shared" si="1026"/>
        <v>1</v>
      </c>
      <c r="GZ71">
        <f t="shared" si="1026"/>
        <v>1</v>
      </c>
      <c r="HA71">
        <f t="shared" si="1026"/>
        <v>1</v>
      </c>
      <c r="HB71">
        <f t="shared" si="1026"/>
        <v>1</v>
      </c>
      <c r="HC71">
        <f t="shared" si="1026"/>
        <v>1</v>
      </c>
      <c r="HD71">
        <f t="shared" si="1026"/>
        <v>1</v>
      </c>
      <c r="HE71">
        <f t="shared" si="1026"/>
        <v>1</v>
      </c>
      <c r="HF71">
        <f t="shared" si="1026"/>
        <v>1</v>
      </c>
      <c r="HG71">
        <f t="shared" si="1026"/>
        <v>1</v>
      </c>
      <c r="HH71">
        <f t="shared" si="1026"/>
        <v>1</v>
      </c>
      <c r="HI71">
        <f t="shared" si="1026"/>
        <v>1</v>
      </c>
      <c r="HJ71">
        <f t="shared" si="1026"/>
        <v>1</v>
      </c>
      <c r="HK71">
        <f t="shared" si="1026"/>
        <v>1</v>
      </c>
      <c r="HL71">
        <f t="shared" si="1026"/>
        <v>1</v>
      </c>
      <c r="HM71">
        <f t="shared" si="1026"/>
        <v>1</v>
      </c>
      <c r="HN71">
        <f t="shared" si="1026"/>
        <v>1</v>
      </c>
      <c r="HO71">
        <f t="shared" si="1026"/>
        <v>1</v>
      </c>
      <c r="HP71">
        <f t="shared" si="1026"/>
        <v>1</v>
      </c>
      <c r="HQ71">
        <f t="shared" si="1026"/>
        <v>1</v>
      </c>
      <c r="HR71">
        <f t="shared" si="1026"/>
        <v>1</v>
      </c>
      <c r="HS71">
        <f t="shared" si="1026"/>
        <v>1</v>
      </c>
      <c r="HT71">
        <f t="shared" si="1026"/>
        <v>1</v>
      </c>
      <c r="HU71">
        <f t="shared" si="1026"/>
        <v>1</v>
      </c>
      <c r="HV71">
        <f t="shared" si="1026"/>
        <v>1</v>
      </c>
      <c r="HW71">
        <f t="shared" si="1026"/>
        <v>1</v>
      </c>
      <c r="HX71">
        <f t="shared" si="1026"/>
        <v>1</v>
      </c>
      <c r="HY71">
        <f t="shared" si="1026"/>
        <v>1</v>
      </c>
      <c r="HZ71">
        <f t="shared" si="1026"/>
        <v>1</v>
      </c>
      <c r="IA71">
        <f t="shared" si="1026"/>
        <v>1</v>
      </c>
      <c r="IB71">
        <f t="shared" si="1026"/>
        <v>1</v>
      </c>
      <c r="IC71">
        <f t="shared" si="1026"/>
        <v>1</v>
      </c>
      <c r="ID71">
        <f t="shared" si="1026"/>
        <v>1</v>
      </c>
      <c r="IE71">
        <f t="shared" si="1026"/>
        <v>1</v>
      </c>
      <c r="IF71">
        <f t="shared" si="1026"/>
        <v>1</v>
      </c>
      <c r="IG71">
        <f t="shared" si="1026"/>
        <v>1</v>
      </c>
      <c r="IH71">
        <f t="shared" si="1026"/>
        <v>1</v>
      </c>
      <c r="II71">
        <f t="shared" si="1026"/>
        <v>1</v>
      </c>
      <c r="IJ71">
        <f t="shared" si="1026"/>
        <v>1</v>
      </c>
      <c r="IK71">
        <f t="shared" si="1026"/>
        <v>1</v>
      </c>
      <c r="IL71">
        <f t="shared" si="1026"/>
        <v>1</v>
      </c>
      <c r="IM71">
        <f t="shared" si="1026"/>
        <v>1</v>
      </c>
      <c r="IN71">
        <f t="shared" si="1026"/>
        <v>1</v>
      </c>
      <c r="IO71">
        <f t="shared" si="1026"/>
        <v>1</v>
      </c>
      <c r="IP71">
        <f t="shared" si="1026"/>
        <v>1</v>
      </c>
      <c r="IQ71">
        <f t="shared" si="1026"/>
        <v>1</v>
      </c>
      <c r="IR71">
        <f t="shared" si="1026"/>
        <v>1</v>
      </c>
      <c r="IS71">
        <f t="shared" si="1026"/>
        <v>1</v>
      </c>
      <c r="IT71">
        <f t="shared" si="1026"/>
        <v>1</v>
      </c>
      <c r="IU71">
        <f t="shared" si="1026"/>
        <v>1</v>
      </c>
      <c r="IV71">
        <f t="shared" si="1026"/>
        <v>1</v>
      </c>
    </row>
    <row r="72" spans="1:256" x14ac:dyDescent="0.2">
      <c r="A72" t="s">
        <v>543</v>
      </c>
      <c r="B72">
        <f>MIN(1,B38*B93*1/B99)</f>
        <v>0.48722068313950717</v>
      </c>
      <c r="C72">
        <f>MIN(1,C38*C93*1/C99)</f>
        <v>0.54089331157962905</v>
      </c>
      <c r="D72">
        <f t="shared" ref="D72:BO72" si="1027">MIN(1,D38*D93*1/D99)</f>
        <v>0.5445718533224464</v>
      </c>
      <c r="E72">
        <f t="shared" si="1027"/>
        <v>0.54838071830260138</v>
      </c>
      <c r="F72">
        <f t="shared" si="1027"/>
        <v>0.55230961196376449</v>
      </c>
      <c r="G72">
        <f t="shared" si="1027"/>
        <v>0.55634948958966413</v>
      </c>
      <c r="H72">
        <f t="shared" si="1027"/>
        <v>0.56049238347034569</v>
      </c>
      <c r="I72">
        <f t="shared" si="1027"/>
        <v>0.5647312591993241</v>
      </c>
      <c r="J72">
        <f t="shared" si="1027"/>
        <v>0.50839535827157045</v>
      </c>
      <c r="K72">
        <f t="shared" si="1027"/>
        <v>0.50112962392978855</v>
      </c>
      <c r="L72">
        <f t="shared" si="1027"/>
        <v>0.49400967372552346</v>
      </c>
      <c r="M72">
        <f t="shared" si="1027"/>
        <v>0.48703171015740582</v>
      </c>
      <c r="N72">
        <f t="shared" si="1027"/>
        <v>0.4801920636622049</v>
      </c>
      <c r="O72">
        <f t="shared" si="1027"/>
        <v>0.47348718726510608</v>
      </c>
      <c r="P72">
        <f t="shared" si="1027"/>
        <v>0.46691365149650954</v>
      </c>
      <c r="Q72">
        <f t="shared" si="1027"/>
        <v>0.46046813955998672</v>
      </c>
      <c r="R72">
        <f t="shared" si="1027"/>
        <v>0.64897686981469993</v>
      </c>
      <c r="S72">
        <f t="shared" si="1027"/>
        <v>0.64070608889788461</v>
      </c>
      <c r="T72">
        <f t="shared" si="1027"/>
        <v>0.63259368548085693</v>
      </c>
      <c r="U72">
        <f t="shared" si="1027"/>
        <v>0.62463577715200369</v>
      </c>
      <c r="V72">
        <f t="shared" si="1027"/>
        <v>0.61682860399248851</v>
      </c>
      <c r="W72">
        <f t="shared" si="1027"/>
        <v>0.6091685237779505</v>
      </c>
      <c r="X72">
        <f t="shared" si="1027"/>
        <v>0.60165200740435199</v>
      </c>
      <c r="Y72">
        <f t="shared" si="1027"/>
        <v>0.59427563452585297</v>
      </c>
      <c r="Z72">
        <f t="shared" si="1027"/>
        <v>1</v>
      </c>
      <c r="AA72">
        <f t="shared" si="1027"/>
        <v>1</v>
      </c>
      <c r="AB72">
        <f t="shared" si="1027"/>
        <v>1</v>
      </c>
      <c r="AC72">
        <f t="shared" si="1027"/>
        <v>1</v>
      </c>
      <c r="AD72">
        <f t="shared" si="1027"/>
        <v>1</v>
      </c>
      <c r="AE72">
        <f t="shared" si="1027"/>
        <v>1</v>
      </c>
      <c r="AF72">
        <f t="shared" si="1027"/>
        <v>1</v>
      </c>
      <c r="AG72">
        <f t="shared" si="1027"/>
        <v>1</v>
      </c>
      <c r="AH72">
        <f t="shared" si="1027"/>
        <v>0.29370799501221934</v>
      </c>
      <c r="AI72">
        <f t="shared" si="1027"/>
        <v>0.29599089658728939</v>
      </c>
      <c r="AJ72">
        <f t="shared" si="1027"/>
        <v>0.29834435372709311</v>
      </c>
      <c r="AK72">
        <f t="shared" si="1027"/>
        <v>0.30076681586439014</v>
      </c>
      <c r="AL72">
        <f t="shared" si="1027"/>
        <v>0.30325692162731188</v>
      </c>
      <c r="AM72">
        <f t="shared" si="1027"/>
        <v>0.30581348233843891</v>
      </c>
      <c r="AN72">
        <f t="shared" si="1027"/>
        <v>0.30843546748168976</v>
      </c>
      <c r="AO72">
        <f t="shared" si="1027"/>
        <v>0.3111219918819243</v>
      </c>
      <c r="AP72">
        <f t="shared" si="1027"/>
        <v>0.62774460875980242</v>
      </c>
      <c r="AQ72">
        <f t="shared" si="1027"/>
        <v>0.63050279254487396</v>
      </c>
      <c r="AR72">
        <f t="shared" si="1027"/>
        <v>0.63334937839804328</v>
      </c>
      <c r="AS72">
        <f t="shared" si="1027"/>
        <v>0.63627697939249395</v>
      </c>
      <c r="AT72">
        <f t="shared" si="1027"/>
        <v>0.63927909032348629</v>
      </c>
      <c r="AU72">
        <f t="shared" si="1027"/>
        <v>0.64234999128044357</v>
      </c>
      <c r="AV72">
        <f t="shared" si="1027"/>
        <v>0.64548466558265227</v>
      </c>
      <c r="AW72">
        <f t="shared" si="1027"/>
        <v>0.64867872966115658</v>
      </c>
      <c r="AX72">
        <f t="shared" si="1027"/>
        <v>0.78785663297300879</v>
      </c>
      <c r="AY72">
        <f t="shared" si="1027"/>
        <v>0.7945783964970301</v>
      </c>
      <c r="AZ72">
        <f t="shared" si="1027"/>
        <v>0.8015240743428419</v>
      </c>
      <c r="BA72">
        <f t="shared" si="1027"/>
        <v>0.80868541870180399</v>
      </c>
      <c r="BB72">
        <f t="shared" si="1027"/>
        <v>0.81605595917423346</v>
      </c>
      <c r="BC72">
        <f t="shared" si="1027"/>
        <v>0.82363074968675942</v>
      </c>
      <c r="BD72">
        <f t="shared" si="1027"/>
        <v>0.83140616036415038</v>
      </c>
      <c r="BE72">
        <f t="shared" si="1027"/>
        <v>0.83937970523505312</v>
      </c>
      <c r="BF72">
        <f t="shared" si="1027"/>
        <v>0.84754989872998154</v>
      </c>
      <c r="BG72">
        <f t="shared" si="1027"/>
        <v>0.85591613548576606</v>
      </c>
      <c r="BH72">
        <f t="shared" si="1027"/>
        <v>0.8644785891458534</v>
      </c>
      <c r="BI72">
        <f t="shared" si="1027"/>
        <v>0.87323812674106938</v>
      </c>
      <c r="BJ72">
        <f t="shared" si="1027"/>
        <v>0.88219620957313982</v>
      </c>
      <c r="BK72">
        <f t="shared" si="1027"/>
        <v>0.89135263362132322</v>
      </c>
      <c r="BL72">
        <f t="shared" si="1027"/>
        <v>0.90070579818026342</v>
      </c>
      <c r="BM72">
        <f t="shared" si="1027"/>
        <v>0.91025463432087761</v>
      </c>
      <c r="BN72">
        <f t="shared" si="1027"/>
        <v>0.91999853499004336</v>
      </c>
      <c r="BO72">
        <f t="shared" si="1027"/>
        <v>0.9299372994393329</v>
      </c>
      <c r="BP72">
        <f t="shared" ref="BP72:EA72" si="1028">MIN(1,BP38*BP93*1/BP99)</f>
        <v>0.94007108468824996</v>
      </c>
      <c r="BQ72">
        <f t="shared" si="1028"/>
        <v>0.95040036300815667</v>
      </c>
      <c r="BR72">
        <f t="shared" si="1028"/>
        <v>0.96092588458755679</v>
      </c>
      <c r="BS72">
        <f t="shared" si="1028"/>
        <v>0.97164864467998813</v>
      </c>
      <c r="BT72">
        <f t="shared" si="1028"/>
        <v>0.98256985464953162</v>
      </c>
      <c r="BU72">
        <f t="shared" si="1028"/>
        <v>0.99369091642141016</v>
      </c>
      <c r="BV72">
        <f t="shared" si="1028"/>
        <v>1</v>
      </c>
      <c r="BW72">
        <f t="shared" si="1028"/>
        <v>1</v>
      </c>
      <c r="BX72">
        <f t="shared" si="1028"/>
        <v>1</v>
      </c>
      <c r="BY72">
        <f t="shared" si="1028"/>
        <v>1</v>
      </c>
      <c r="BZ72">
        <f t="shared" si="1028"/>
        <v>1</v>
      </c>
      <c r="CA72">
        <f t="shared" si="1028"/>
        <v>1</v>
      </c>
      <c r="CB72">
        <f t="shared" si="1028"/>
        <v>1</v>
      </c>
      <c r="CC72">
        <f t="shared" si="1028"/>
        <v>1</v>
      </c>
      <c r="CD72">
        <f t="shared" si="1028"/>
        <v>1</v>
      </c>
      <c r="CE72">
        <f t="shared" si="1028"/>
        <v>1</v>
      </c>
      <c r="CF72">
        <f t="shared" si="1028"/>
        <v>1</v>
      </c>
      <c r="CG72">
        <f t="shared" si="1028"/>
        <v>1</v>
      </c>
      <c r="CH72">
        <f t="shared" si="1028"/>
        <v>1</v>
      </c>
      <c r="CI72">
        <f t="shared" si="1028"/>
        <v>1</v>
      </c>
      <c r="CJ72">
        <f t="shared" si="1028"/>
        <v>1</v>
      </c>
      <c r="CK72">
        <f t="shared" si="1028"/>
        <v>1</v>
      </c>
      <c r="CL72">
        <f t="shared" si="1028"/>
        <v>1</v>
      </c>
      <c r="CM72">
        <f t="shared" si="1028"/>
        <v>1</v>
      </c>
      <c r="CN72">
        <f t="shared" si="1028"/>
        <v>1</v>
      </c>
      <c r="CO72">
        <f t="shared" si="1028"/>
        <v>1</v>
      </c>
      <c r="CP72">
        <f t="shared" si="1028"/>
        <v>1</v>
      </c>
      <c r="CQ72">
        <f t="shared" si="1028"/>
        <v>1</v>
      </c>
      <c r="CR72">
        <f t="shared" si="1028"/>
        <v>1</v>
      </c>
      <c r="CS72">
        <f t="shared" si="1028"/>
        <v>1</v>
      </c>
      <c r="CT72">
        <f t="shared" si="1028"/>
        <v>1</v>
      </c>
      <c r="CU72">
        <f t="shared" si="1028"/>
        <v>1</v>
      </c>
      <c r="CV72">
        <f t="shared" si="1028"/>
        <v>1</v>
      </c>
      <c r="CW72">
        <f t="shared" si="1028"/>
        <v>1</v>
      </c>
      <c r="CX72">
        <f t="shared" si="1028"/>
        <v>1</v>
      </c>
      <c r="CY72">
        <f t="shared" si="1028"/>
        <v>1</v>
      </c>
      <c r="CZ72">
        <f t="shared" si="1028"/>
        <v>1</v>
      </c>
      <c r="DA72">
        <f t="shared" si="1028"/>
        <v>1</v>
      </c>
      <c r="DB72">
        <f t="shared" si="1028"/>
        <v>1</v>
      </c>
      <c r="DC72">
        <f t="shared" si="1028"/>
        <v>1</v>
      </c>
      <c r="DD72">
        <f t="shared" si="1028"/>
        <v>1</v>
      </c>
      <c r="DE72">
        <f t="shared" si="1028"/>
        <v>1</v>
      </c>
      <c r="DF72">
        <f t="shared" si="1028"/>
        <v>1</v>
      </c>
      <c r="DG72">
        <f t="shared" si="1028"/>
        <v>1</v>
      </c>
      <c r="DH72">
        <f t="shared" si="1028"/>
        <v>1</v>
      </c>
      <c r="DI72">
        <f t="shared" si="1028"/>
        <v>1</v>
      </c>
      <c r="DJ72">
        <f t="shared" si="1028"/>
        <v>1</v>
      </c>
      <c r="DK72">
        <f t="shared" si="1028"/>
        <v>1</v>
      </c>
      <c r="DL72">
        <f t="shared" si="1028"/>
        <v>1</v>
      </c>
      <c r="DM72">
        <f t="shared" si="1028"/>
        <v>1</v>
      </c>
      <c r="DN72">
        <f t="shared" si="1028"/>
        <v>1</v>
      </c>
      <c r="DO72">
        <f t="shared" si="1028"/>
        <v>1</v>
      </c>
      <c r="DP72">
        <f t="shared" si="1028"/>
        <v>1</v>
      </c>
      <c r="DQ72">
        <f t="shared" si="1028"/>
        <v>1</v>
      </c>
      <c r="DR72">
        <f t="shared" si="1028"/>
        <v>1</v>
      </c>
      <c r="DS72">
        <f t="shared" si="1028"/>
        <v>1</v>
      </c>
      <c r="DT72">
        <f t="shared" si="1028"/>
        <v>1</v>
      </c>
      <c r="DU72">
        <f t="shared" si="1028"/>
        <v>1</v>
      </c>
      <c r="DV72">
        <f t="shared" si="1028"/>
        <v>1</v>
      </c>
      <c r="DW72">
        <f t="shared" si="1028"/>
        <v>1</v>
      </c>
      <c r="DX72">
        <f t="shared" si="1028"/>
        <v>1</v>
      </c>
      <c r="DY72">
        <f t="shared" si="1028"/>
        <v>1</v>
      </c>
      <c r="DZ72">
        <f t="shared" si="1028"/>
        <v>1</v>
      </c>
      <c r="EA72">
        <f t="shared" si="1028"/>
        <v>1</v>
      </c>
      <c r="EB72">
        <f t="shared" ref="EB72:GM72" si="1029">MIN(1,EB38*EB93*1/EB99)</f>
        <v>1</v>
      </c>
      <c r="EC72">
        <f t="shared" si="1029"/>
        <v>1</v>
      </c>
      <c r="ED72">
        <f t="shared" si="1029"/>
        <v>1</v>
      </c>
      <c r="EE72">
        <f t="shared" si="1029"/>
        <v>1</v>
      </c>
      <c r="EF72">
        <f t="shared" si="1029"/>
        <v>1</v>
      </c>
      <c r="EG72">
        <f t="shared" si="1029"/>
        <v>1</v>
      </c>
      <c r="EH72">
        <f t="shared" si="1029"/>
        <v>1</v>
      </c>
      <c r="EI72">
        <f t="shared" si="1029"/>
        <v>1</v>
      </c>
      <c r="EJ72">
        <f t="shared" si="1029"/>
        <v>1</v>
      </c>
      <c r="EK72">
        <f t="shared" si="1029"/>
        <v>1</v>
      </c>
      <c r="EL72">
        <f t="shared" si="1029"/>
        <v>1</v>
      </c>
      <c r="EM72">
        <f t="shared" si="1029"/>
        <v>1</v>
      </c>
      <c r="EN72">
        <f t="shared" si="1029"/>
        <v>1</v>
      </c>
      <c r="EO72">
        <f t="shared" si="1029"/>
        <v>1</v>
      </c>
      <c r="EP72">
        <f t="shared" si="1029"/>
        <v>1</v>
      </c>
      <c r="EQ72">
        <f t="shared" si="1029"/>
        <v>1</v>
      </c>
      <c r="ER72">
        <f t="shared" si="1029"/>
        <v>1</v>
      </c>
      <c r="ES72">
        <f t="shared" si="1029"/>
        <v>1</v>
      </c>
      <c r="ET72">
        <f t="shared" si="1029"/>
        <v>1</v>
      </c>
      <c r="EU72">
        <f t="shared" si="1029"/>
        <v>1</v>
      </c>
      <c r="EV72">
        <f t="shared" si="1029"/>
        <v>1</v>
      </c>
      <c r="EW72">
        <f t="shared" si="1029"/>
        <v>1</v>
      </c>
      <c r="EX72">
        <f t="shared" si="1029"/>
        <v>1</v>
      </c>
      <c r="EY72">
        <f t="shared" si="1029"/>
        <v>1</v>
      </c>
      <c r="EZ72">
        <f t="shared" si="1029"/>
        <v>1</v>
      </c>
      <c r="FA72">
        <f t="shared" si="1029"/>
        <v>1</v>
      </c>
      <c r="FB72">
        <f t="shared" si="1029"/>
        <v>1</v>
      </c>
      <c r="FC72">
        <f t="shared" si="1029"/>
        <v>1</v>
      </c>
      <c r="FD72">
        <f t="shared" si="1029"/>
        <v>1</v>
      </c>
      <c r="FE72">
        <f t="shared" si="1029"/>
        <v>1</v>
      </c>
      <c r="FF72">
        <f t="shared" si="1029"/>
        <v>1</v>
      </c>
      <c r="FG72">
        <f t="shared" si="1029"/>
        <v>1</v>
      </c>
      <c r="FH72">
        <f t="shared" si="1029"/>
        <v>1</v>
      </c>
      <c r="FI72">
        <f t="shared" si="1029"/>
        <v>1</v>
      </c>
      <c r="FJ72">
        <f t="shared" si="1029"/>
        <v>1</v>
      </c>
      <c r="FK72">
        <f t="shared" si="1029"/>
        <v>1</v>
      </c>
      <c r="FL72">
        <f t="shared" si="1029"/>
        <v>1</v>
      </c>
      <c r="FM72">
        <f t="shared" si="1029"/>
        <v>1</v>
      </c>
      <c r="FN72">
        <f t="shared" si="1029"/>
        <v>1</v>
      </c>
      <c r="FO72">
        <f t="shared" si="1029"/>
        <v>1</v>
      </c>
      <c r="FP72">
        <f t="shared" si="1029"/>
        <v>1</v>
      </c>
      <c r="FQ72">
        <f t="shared" si="1029"/>
        <v>1</v>
      </c>
      <c r="FR72">
        <f t="shared" si="1029"/>
        <v>1</v>
      </c>
      <c r="FS72">
        <f t="shared" si="1029"/>
        <v>1</v>
      </c>
      <c r="FT72">
        <f t="shared" si="1029"/>
        <v>1</v>
      </c>
      <c r="FU72">
        <f t="shared" si="1029"/>
        <v>1</v>
      </c>
      <c r="FV72">
        <f t="shared" si="1029"/>
        <v>1</v>
      </c>
      <c r="FW72">
        <f t="shared" si="1029"/>
        <v>1</v>
      </c>
      <c r="FX72">
        <f t="shared" si="1029"/>
        <v>1</v>
      </c>
      <c r="FY72">
        <f t="shared" si="1029"/>
        <v>1</v>
      </c>
      <c r="FZ72">
        <f t="shared" si="1029"/>
        <v>1</v>
      </c>
      <c r="GA72">
        <f t="shared" si="1029"/>
        <v>1</v>
      </c>
      <c r="GB72">
        <f t="shared" si="1029"/>
        <v>1</v>
      </c>
      <c r="GC72">
        <f t="shared" si="1029"/>
        <v>1</v>
      </c>
      <c r="GD72">
        <f t="shared" si="1029"/>
        <v>1</v>
      </c>
      <c r="GE72">
        <f t="shared" si="1029"/>
        <v>1</v>
      </c>
      <c r="GF72">
        <f t="shared" si="1029"/>
        <v>1</v>
      </c>
      <c r="GG72">
        <f t="shared" si="1029"/>
        <v>1</v>
      </c>
      <c r="GH72">
        <f t="shared" si="1029"/>
        <v>1</v>
      </c>
      <c r="GI72">
        <f t="shared" si="1029"/>
        <v>1</v>
      </c>
      <c r="GJ72">
        <f t="shared" si="1029"/>
        <v>1</v>
      </c>
      <c r="GK72">
        <f t="shared" si="1029"/>
        <v>1</v>
      </c>
      <c r="GL72">
        <f t="shared" si="1029"/>
        <v>1</v>
      </c>
      <c r="GM72">
        <f t="shared" si="1029"/>
        <v>1</v>
      </c>
      <c r="GN72">
        <f t="shared" ref="GN72:IV72" si="1030">MIN(1,GN38*GN93*1/GN99)</f>
        <v>1</v>
      </c>
      <c r="GO72">
        <f t="shared" si="1030"/>
        <v>1</v>
      </c>
      <c r="GP72">
        <f t="shared" si="1030"/>
        <v>1</v>
      </c>
      <c r="GQ72">
        <f t="shared" si="1030"/>
        <v>1</v>
      </c>
      <c r="GR72">
        <f t="shared" si="1030"/>
        <v>1</v>
      </c>
      <c r="GS72">
        <f t="shared" si="1030"/>
        <v>1</v>
      </c>
      <c r="GT72">
        <f t="shared" si="1030"/>
        <v>1</v>
      </c>
      <c r="GU72">
        <f t="shared" si="1030"/>
        <v>1</v>
      </c>
      <c r="GV72">
        <f t="shared" si="1030"/>
        <v>1</v>
      </c>
      <c r="GW72">
        <f t="shared" si="1030"/>
        <v>1</v>
      </c>
      <c r="GX72">
        <f t="shared" si="1030"/>
        <v>1</v>
      </c>
      <c r="GY72">
        <f t="shared" si="1030"/>
        <v>1</v>
      </c>
      <c r="GZ72">
        <f t="shared" si="1030"/>
        <v>1</v>
      </c>
      <c r="HA72">
        <f t="shared" si="1030"/>
        <v>1</v>
      </c>
      <c r="HB72">
        <f t="shared" si="1030"/>
        <v>1</v>
      </c>
      <c r="HC72">
        <f t="shared" si="1030"/>
        <v>1</v>
      </c>
      <c r="HD72">
        <f t="shared" si="1030"/>
        <v>1</v>
      </c>
      <c r="HE72">
        <f t="shared" si="1030"/>
        <v>1</v>
      </c>
      <c r="HF72">
        <f t="shared" si="1030"/>
        <v>1</v>
      </c>
      <c r="HG72">
        <f t="shared" si="1030"/>
        <v>1</v>
      </c>
      <c r="HH72">
        <f t="shared" si="1030"/>
        <v>1</v>
      </c>
      <c r="HI72">
        <f t="shared" si="1030"/>
        <v>1</v>
      </c>
      <c r="HJ72">
        <f t="shared" si="1030"/>
        <v>1</v>
      </c>
      <c r="HK72">
        <f t="shared" si="1030"/>
        <v>1</v>
      </c>
      <c r="HL72">
        <f t="shared" si="1030"/>
        <v>1</v>
      </c>
      <c r="HM72">
        <f t="shared" si="1030"/>
        <v>1</v>
      </c>
      <c r="HN72">
        <f t="shared" si="1030"/>
        <v>1</v>
      </c>
      <c r="HO72">
        <f t="shared" si="1030"/>
        <v>1</v>
      </c>
      <c r="HP72">
        <f t="shared" si="1030"/>
        <v>1</v>
      </c>
      <c r="HQ72">
        <f t="shared" si="1030"/>
        <v>1</v>
      </c>
      <c r="HR72">
        <f t="shared" si="1030"/>
        <v>1</v>
      </c>
      <c r="HS72">
        <f t="shared" si="1030"/>
        <v>1</v>
      </c>
      <c r="HT72">
        <f t="shared" si="1030"/>
        <v>1</v>
      </c>
      <c r="HU72">
        <f t="shared" si="1030"/>
        <v>1</v>
      </c>
      <c r="HV72">
        <f t="shared" si="1030"/>
        <v>1</v>
      </c>
      <c r="HW72">
        <f t="shared" si="1030"/>
        <v>1</v>
      </c>
      <c r="HX72">
        <f t="shared" si="1030"/>
        <v>1</v>
      </c>
      <c r="HY72">
        <f t="shared" si="1030"/>
        <v>1</v>
      </c>
      <c r="HZ72">
        <f t="shared" si="1030"/>
        <v>1</v>
      </c>
      <c r="IA72">
        <f t="shared" si="1030"/>
        <v>1</v>
      </c>
      <c r="IB72">
        <f t="shared" si="1030"/>
        <v>1</v>
      </c>
      <c r="IC72">
        <f t="shared" si="1030"/>
        <v>1</v>
      </c>
      <c r="ID72">
        <f t="shared" si="1030"/>
        <v>1</v>
      </c>
      <c r="IE72">
        <f t="shared" si="1030"/>
        <v>1</v>
      </c>
      <c r="IF72">
        <f t="shared" si="1030"/>
        <v>1</v>
      </c>
      <c r="IG72">
        <f t="shared" si="1030"/>
        <v>1</v>
      </c>
      <c r="IH72">
        <f t="shared" si="1030"/>
        <v>1</v>
      </c>
      <c r="II72">
        <f t="shared" si="1030"/>
        <v>1</v>
      </c>
      <c r="IJ72">
        <f t="shared" si="1030"/>
        <v>1</v>
      </c>
      <c r="IK72">
        <f t="shared" si="1030"/>
        <v>1</v>
      </c>
      <c r="IL72">
        <f t="shared" si="1030"/>
        <v>1</v>
      </c>
      <c r="IM72">
        <f t="shared" si="1030"/>
        <v>1</v>
      </c>
      <c r="IN72">
        <f t="shared" si="1030"/>
        <v>1</v>
      </c>
      <c r="IO72">
        <f t="shared" si="1030"/>
        <v>1</v>
      </c>
      <c r="IP72">
        <f t="shared" si="1030"/>
        <v>1</v>
      </c>
      <c r="IQ72">
        <f t="shared" si="1030"/>
        <v>1</v>
      </c>
      <c r="IR72">
        <f t="shared" si="1030"/>
        <v>1</v>
      </c>
      <c r="IS72">
        <f t="shared" si="1030"/>
        <v>1</v>
      </c>
      <c r="IT72">
        <f t="shared" si="1030"/>
        <v>1</v>
      </c>
      <c r="IU72">
        <f t="shared" si="1030"/>
        <v>1</v>
      </c>
      <c r="IV72">
        <f t="shared" si="1030"/>
        <v>1</v>
      </c>
    </row>
    <row r="73" spans="1:256" x14ac:dyDescent="0.2">
      <c r="A73" t="s">
        <v>544</v>
      </c>
      <c r="B73">
        <f>MIN(1,B39*B89*B93*B98*1/B99)</f>
        <v>0.11160152268701094</v>
      </c>
      <c r="C73">
        <f>MIN(1,C39*C89*C93*C98*1/C99)</f>
        <v>1</v>
      </c>
      <c r="D73">
        <f t="shared" ref="D73:BO73" si="1031">MIN(1,D39*D89*D93*D98*1/D99)</f>
        <v>1</v>
      </c>
      <c r="E73">
        <f t="shared" si="1031"/>
        <v>1</v>
      </c>
      <c r="F73">
        <f t="shared" si="1031"/>
        <v>1</v>
      </c>
      <c r="G73">
        <f t="shared" si="1031"/>
        <v>1</v>
      </c>
      <c r="H73">
        <f t="shared" si="1031"/>
        <v>1</v>
      </c>
      <c r="I73">
        <f t="shared" si="1031"/>
        <v>1</v>
      </c>
      <c r="J73">
        <f t="shared" si="1031"/>
        <v>0.12939569769718912</v>
      </c>
      <c r="K73">
        <f t="shared" si="1031"/>
        <v>0.12716570845806471</v>
      </c>
      <c r="L73">
        <f t="shared" si="1031"/>
        <v>0.12494395216737002</v>
      </c>
      <c r="M73">
        <f t="shared" si="1031"/>
        <v>0.12273236725085748</v>
      </c>
      <c r="N73">
        <f t="shared" si="1031"/>
        <v>0.12053275268831419</v>
      </c>
      <c r="O73">
        <f t="shared" si="1031"/>
        <v>0.11834677510765489</v>
      </c>
      <c r="P73">
        <f t="shared" si="1031"/>
        <v>0.1161759755729696</v>
      </c>
      <c r="Q73">
        <f t="shared" si="1031"/>
        <v>0.11402177607736597</v>
      </c>
      <c r="R73">
        <f t="shared" si="1031"/>
        <v>0.11188548575129595</v>
      </c>
      <c r="S73">
        <f t="shared" si="1031"/>
        <v>0.1100090786434734</v>
      </c>
      <c r="T73">
        <f t="shared" si="1031"/>
        <v>0.10813763930348463</v>
      </c>
      <c r="U73">
        <f t="shared" si="1031"/>
        <v>0.10627314011388289</v>
      </c>
      <c r="V73">
        <f t="shared" si="1031"/>
        <v>0.10441739483338033</v>
      </c>
      <c r="W73">
        <f t="shared" si="1031"/>
        <v>0.10257206853734541</v>
      </c>
      <c r="X73">
        <f t="shared" si="1031"/>
        <v>0.10073868696162061</v>
      </c>
      <c r="Y73">
        <f t="shared" si="1031"/>
        <v>9.8918645286416432E-2</v>
      </c>
      <c r="Z73">
        <f t="shared" si="1031"/>
        <v>0.19422643278929713</v>
      </c>
      <c r="AA73">
        <f t="shared" si="1031"/>
        <v>0.1933142634932313</v>
      </c>
      <c r="AB73">
        <f t="shared" si="1031"/>
        <v>0.19235899350228267</v>
      </c>
      <c r="AC73">
        <f t="shared" si="1031"/>
        <v>0.19136350452864076</v>
      </c>
      <c r="AD73">
        <f t="shared" si="1031"/>
        <v>0.19033053654717313</v>
      </c>
      <c r="AE73">
        <f t="shared" si="1031"/>
        <v>0.18926269453446129</v>
      </c>
      <c r="AF73">
        <f t="shared" si="1031"/>
        <v>0.18816245487877659</v>
      </c>
      <c r="AG73">
        <f t="shared" si="1031"/>
        <v>0.18703217147777162</v>
      </c>
      <c r="AH73">
        <f t="shared" si="1031"/>
        <v>0.51313992448007462</v>
      </c>
      <c r="AI73">
        <f t="shared" si="1031"/>
        <v>0.51403012265887094</v>
      </c>
      <c r="AJ73">
        <f t="shared" si="1031"/>
        <v>0.5151543528528284</v>
      </c>
      <c r="AK73">
        <f t="shared" si="1031"/>
        <v>0.51650855982558408</v>
      </c>
      <c r="AL73">
        <f t="shared" si="1031"/>
        <v>0.51808935462765426</v>
      </c>
      <c r="AM73">
        <f t="shared" si="1031"/>
        <v>0.51989396754441863</v>
      </c>
      <c r="AN73">
        <f t="shared" si="1031"/>
        <v>0.52192020731763278</v>
      </c>
      <c r="AO73">
        <f t="shared" si="1031"/>
        <v>0.52416642586573658</v>
      </c>
      <c r="AP73">
        <f t="shared" si="1031"/>
        <v>0.88589490690907813</v>
      </c>
      <c r="AQ73">
        <f t="shared" si="1031"/>
        <v>0.88461087321596965</v>
      </c>
      <c r="AR73">
        <f t="shared" si="1031"/>
        <v>0.88359612440346558</v>
      </c>
      <c r="AS73">
        <f t="shared" si="1031"/>
        <v>0.88284040303354172</v>
      </c>
      <c r="AT73">
        <f t="shared" si="1031"/>
        <v>0.88233486726786448</v>
      </c>
      <c r="AU73">
        <f t="shared" si="1031"/>
        <v>0.88207193123754835</v>
      </c>
      <c r="AV73">
        <f t="shared" si="1031"/>
        <v>0.88204512980454386</v>
      </c>
      <c r="AW73">
        <f t="shared" si="1031"/>
        <v>0.88224900368160453</v>
      </c>
      <c r="AX73">
        <f t="shared" si="1031"/>
        <v>0.92599661120333121</v>
      </c>
      <c r="AY73">
        <f t="shared" si="1031"/>
        <v>0.93287152678173424</v>
      </c>
      <c r="AZ73">
        <f t="shared" si="1031"/>
        <v>0.94021041841237762</v>
      </c>
      <c r="BA73">
        <f t="shared" si="1031"/>
        <v>0.94801347813987236</v>
      </c>
      <c r="BB73">
        <f t="shared" si="1031"/>
        <v>0.95628334778182733</v>
      </c>
      <c r="BC73">
        <f t="shared" si="1031"/>
        <v>0.96502486360263429</v>
      </c>
      <c r="BD73">
        <f t="shared" si="1031"/>
        <v>0.97424485489464274</v>
      </c>
      <c r="BE73">
        <f t="shared" si="1031"/>
        <v>0.98395198602862155</v>
      </c>
      <c r="BF73">
        <f t="shared" si="1031"/>
        <v>0.99415663395822718</v>
      </c>
      <c r="BG73">
        <f t="shared" si="1031"/>
        <v>1</v>
      </c>
      <c r="BH73">
        <f t="shared" si="1031"/>
        <v>1</v>
      </c>
      <c r="BI73">
        <f t="shared" si="1031"/>
        <v>1</v>
      </c>
      <c r="BJ73">
        <f t="shared" si="1031"/>
        <v>1</v>
      </c>
      <c r="BK73">
        <f t="shared" si="1031"/>
        <v>1</v>
      </c>
      <c r="BL73">
        <f t="shared" si="1031"/>
        <v>1</v>
      </c>
      <c r="BM73">
        <f t="shared" si="1031"/>
        <v>1</v>
      </c>
      <c r="BN73">
        <f t="shared" si="1031"/>
        <v>1</v>
      </c>
      <c r="BO73">
        <f t="shared" si="1031"/>
        <v>1</v>
      </c>
      <c r="BP73">
        <f t="shared" ref="BP73:EA73" si="1032">MIN(1,BP39*BP89*BP93*BP98*1/BP99)</f>
        <v>1</v>
      </c>
      <c r="BQ73">
        <f t="shared" si="1032"/>
        <v>1</v>
      </c>
      <c r="BR73">
        <f t="shared" si="1032"/>
        <v>1</v>
      </c>
      <c r="BS73">
        <f t="shared" si="1032"/>
        <v>1</v>
      </c>
      <c r="BT73">
        <f t="shared" si="1032"/>
        <v>1</v>
      </c>
      <c r="BU73">
        <f t="shared" si="1032"/>
        <v>1</v>
      </c>
      <c r="BV73">
        <f t="shared" si="1032"/>
        <v>1</v>
      </c>
      <c r="BW73">
        <f t="shared" si="1032"/>
        <v>1</v>
      </c>
      <c r="BX73">
        <f t="shared" si="1032"/>
        <v>1</v>
      </c>
      <c r="BY73">
        <f t="shared" si="1032"/>
        <v>1</v>
      </c>
      <c r="BZ73">
        <f t="shared" si="1032"/>
        <v>1</v>
      </c>
      <c r="CA73">
        <f t="shared" si="1032"/>
        <v>1</v>
      </c>
      <c r="CB73">
        <f t="shared" si="1032"/>
        <v>1</v>
      </c>
      <c r="CC73">
        <f t="shared" si="1032"/>
        <v>1</v>
      </c>
      <c r="CD73">
        <f t="shared" si="1032"/>
        <v>1</v>
      </c>
      <c r="CE73">
        <f t="shared" si="1032"/>
        <v>1</v>
      </c>
      <c r="CF73">
        <f t="shared" si="1032"/>
        <v>1</v>
      </c>
      <c r="CG73">
        <f t="shared" si="1032"/>
        <v>1</v>
      </c>
      <c r="CH73">
        <f t="shared" si="1032"/>
        <v>1</v>
      </c>
      <c r="CI73">
        <f t="shared" si="1032"/>
        <v>1</v>
      </c>
      <c r="CJ73">
        <f t="shared" si="1032"/>
        <v>1</v>
      </c>
      <c r="CK73">
        <f t="shared" si="1032"/>
        <v>1</v>
      </c>
      <c r="CL73">
        <f t="shared" si="1032"/>
        <v>1</v>
      </c>
      <c r="CM73">
        <f t="shared" si="1032"/>
        <v>1</v>
      </c>
      <c r="CN73">
        <f t="shared" si="1032"/>
        <v>1</v>
      </c>
      <c r="CO73">
        <f t="shared" si="1032"/>
        <v>1</v>
      </c>
      <c r="CP73">
        <f t="shared" si="1032"/>
        <v>1</v>
      </c>
      <c r="CQ73">
        <f t="shared" si="1032"/>
        <v>1</v>
      </c>
      <c r="CR73">
        <f t="shared" si="1032"/>
        <v>1</v>
      </c>
      <c r="CS73">
        <f t="shared" si="1032"/>
        <v>1</v>
      </c>
      <c r="CT73">
        <f t="shared" si="1032"/>
        <v>1</v>
      </c>
      <c r="CU73">
        <f t="shared" si="1032"/>
        <v>1</v>
      </c>
      <c r="CV73">
        <f t="shared" si="1032"/>
        <v>1</v>
      </c>
      <c r="CW73">
        <f t="shared" si="1032"/>
        <v>1</v>
      </c>
      <c r="CX73">
        <f t="shared" si="1032"/>
        <v>1</v>
      </c>
      <c r="CY73">
        <f t="shared" si="1032"/>
        <v>1</v>
      </c>
      <c r="CZ73">
        <f t="shared" si="1032"/>
        <v>1</v>
      </c>
      <c r="DA73">
        <f t="shared" si="1032"/>
        <v>1</v>
      </c>
      <c r="DB73">
        <f t="shared" si="1032"/>
        <v>1</v>
      </c>
      <c r="DC73">
        <f t="shared" si="1032"/>
        <v>1</v>
      </c>
      <c r="DD73">
        <f t="shared" si="1032"/>
        <v>1</v>
      </c>
      <c r="DE73">
        <f t="shared" si="1032"/>
        <v>1</v>
      </c>
      <c r="DF73">
        <f t="shared" si="1032"/>
        <v>1</v>
      </c>
      <c r="DG73">
        <f t="shared" si="1032"/>
        <v>1</v>
      </c>
      <c r="DH73">
        <f t="shared" si="1032"/>
        <v>1</v>
      </c>
      <c r="DI73">
        <f t="shared" si="1032"/>
        <v>1</v>
      </c>
      <c r="DJ73">
        <f t="shared" si="1032"/>
        <v>1</v>
      </c>
      <c r="DK73">
        <f t="shared" si="1032"/>
        <v>1</v>
      </c>
      <c r="DL73">
        <f t="shared" si="1032"/>
        <v>1</v>
      </c>
      <c r="DM73">
        <f t="shared" si="1032"/>
        <v>1</v>
      </c>
      <c r="DN73">
        <f t="shared" si="1032"/>
        <v>1</v>
      </c>
      <c r="DO73">
        <f t="shared" si="1032"/>
        <v>1</v>
      </c>
      <c r="DP73">
        <f t="shared" si="1032"/>
        <v>1</v>
      </c>
      <c r="DQ73">
        <f t="shared" si="1032"/>
        <v>1</v>
      </c>
      <c r="DR73">
        <f t="shared" si="1032"/>
        <v>1</v>
      </c>
      <c r="DS73">
        <f t="shared" si="1032"/>
        <v>1</v>
      </c>
      <c r="DT73">
        <f t="shared" si="1032"/>
        <v>1</v>
      </c>
      <c r="DU73">
        <f t="shared" si="1032"/>
        <v>1</v>
      </c>
      <c r="DV73">
        <f t="shared" si="1032"/>
        <v>1</v>
      </c>
      <c r="DW73">
        <f t="shared" si="1032"/>
        <v>1</v>
      </c>
      <c r="DX73">
        <f t="shared" si="1032"/>
        <v>1</v>
      </c>
      <c r="DY73">
        <f t="shared" si="1032"/>
        <v>1</v>
      </c>
      <c r="DZ73">
        <f t="shared" si="1032"/>
        <v>1</v>
      </c>
      <c r="EA73">
        <f t="shared" si="1032"/>
        <v>1</v>
      </c>
      <c r="EB73">
        <f t="shared" ref="EB73:GM73" si="1033">MIN(1,EB39*EB89*EB93*EB98*1/EB99)</f>
        <v>1</v>
      </c>
      <c r="EC73">
        <f t="shared" si="1033"/>
        <v>1</v>
      </c>
      <c r="ED73">
        <f t="shared" si="1033"/>
        <v>1</v>
      </c>
      <c r="EE73">
        <f t="shared" si="1033"/>
        <v>1</v>
      </c>
      <c r="EF73">
        <f t="shared" si="1033"/>
        <v>1</v>
      </c>
      <c r="EG73">
        <f t="shared" si="1033"/>
        <v>1</v>
      </c>
      <c r="EH73">
        <f t="shared" si="1033"/>
        <v>1</v>
      </c>
      <c r="EI73">
        <f t="shared" si="1033"/>
        <v>1</v>
      </c>
      <c r="EJ73">
        <f t="shared" si="1033"/>
        <v>1</v>
      </c>
      <c r="EK73">
        <f t="shared" si="1033"/>
        <v>1</v>
      </c>
      <c r="EL73">
        <f t="shared" si="1033"/>
        <v>1</v>
      </c>
      <c r="EM73">
        <f t="shared" si="1033"/>
        <v>1</v>
      </c>
      <c r="EN73">
        <f t="shared" si="1033"/>
        <v>1</v>
      </c>
      <c r="EO73">
        <f t="shared" si="1033"/>
        <v>1</v>
      </c>
      <c r="EP73">
        <f t="shared" si="1033"/>
        <v>1</v>
      </c>
      <c r="EQ73">
        <f t="shared" si="1033"/>
        <v>1</v>
      </c>
      <c r="ER73">
        <f t="shared" si="1033"/>
        <v>1</v>
      </c>
      <c r="ES73">
        <f t="shared" si="1033"/>
        <v>1</v>
      </c>
      <c r="ET73">
        <f t="shared" si="1033"/>
        <v>1</v>
      </c>
      <c r="EU73">
        <f t="shared" si="1033"/>
        <v>1</v>
      </c>
      <c r="EV73">
        <f t="shared" si="1033"/>
        <v>1</v>
      </c>
      <c r="EW73">
        <f t="shared" si="1033"/>
        <v>1</v>
      </c>
      <c r="EX73">
        <f t="shared" si="1033"/>
        <v>1</v>
      </c>
      <c r="EY73">
        <f t="shared" si="1033"/>
        <v>1</v>
      </c>
      <c r="EZ73">
        <f t="shared" si="1033"/>
        <v>1</v>
      </c>
      <c r="FA73">
        <f t="shared" si="1033"/>
        <v>1</v>
      </c>
      <c r="FB73">
        <f t="shared" si="1033"/>
        <v>1</v>
      </c>
      <c r="FC73">
        <f t="shared" si="1033"/>
        <v>1</v>
      </c>
      <c r="FD73">
        <f t="shared" si="1033"/>
        <v>1</v>
      </c>
      <c r="FE73">
        <f t="shared" si="1033"/>
        <v>1</v>
      </c>
      <c r="FF73">
        <f t="shared" si="1033"/>
        <v>1</v>
      </c>
      <c r="FG73">
        <f t="shared" si="1033"/>
        <v>1</v>
      </c>
      <c r="FH73">
        <f t="shared" si="1033"/>
        <v>1</v>
      </c>
      <c r="FI73">
        <f t="shared" si="1033"/>
        <v>1</v>
      </c>
      <c r="FJ73">
        <f t="shared" si="1033"/>
        <v>1</v>
      </c>
      <c r="FK73">
        <f t="shared" si="1033"/>
        <v>1</v>
      </c>
      <c r="FL73">
        <f t="shared" si="1033"/>
        <v>1</v>
      </c>
      <c r="FM73">
        <f t="shared" si="1033"/>
        <v>1</v>
      </c>
      <c r="FN73">
        <f t="shared" si="1033"/>
        <v>1</v>
      </c>
      <c r="FO73">
        <f t="shared" si="1033"/>
        <v>1</v>
      </c>
      <c r="FP73">
        <f t="shared" si="1033"/>
        <v>1</v>
      </c>
      <c r="FQ73">
        <f t="shared" si="1033"/>
        <v>1</v>
      </c>
      <c r="FR73">
        <f t="shared" si="1033"/>
        <v>1</v>
      </c>
      <c r="FS73">
        <f t="shared" si="1033"/>
        <v>1</v>
      </c>
      <c r="FT73">
        <f t="shared" si="1033"/>
        <v>1</v>
      </c>
      <c r="FU73">
        <f t="shared" si="1033"/>
        <v>1</v>
      </c>
      <c r="FV73">
        <f t="shared" si="1033"/>
        <v>1</v>
      </c>
      <c r="FW73">
        <f t="shared" si="1033"/>
        <v>1</v>
      </c>
      <c r="FX73">
        <f t="shared" si="1033"/>
        <v>1</v>
      </c>
      <c r="FY73">
        <f t="shared" si="1033"/>
        <v>1</v>
      </c>
      <c r="FZ73">
        <f t="shared" si="1033"/>
        <v>1</v>
      </c>
      <c r="GA73">
        <f t="shared" si="1033"/>
        <v>1</v>
      </c>
      <c r="GB73">
        <f t="shared" si="1033"/>
        <v>1</v>
      </c>
      <c r="GC73">
        <f t="shared" si="1033"/>
        <v>1</v>
      </c>
      <c r="GD73">
        <f t="shared" si="1033"/>
        <v>1</v>
      </c>
      <c r="GE73">
        <f t="shared" si="1033"/>
        <v>1</v>
      </c>
      <c r="GF73">
        <f t="shared" si="1033"/>
        <v>1</v>
      </c>
      <c r="GG73">
        <f t="shared" si="1033"/>
        <v>1</v>
      </c>
      <c r="GH73">
        <f t="shared" si="1033"/>
        <v>1</v>
      </c>
      <c r="GI73">
        <f t="shared" si="1033"/>
        <v>1</v>
      </c>
      <c r="GJ73">
        <f t="shared" si="1033"/>
        <v>1</v>
      </c>
      <c r="GK73">
        <f t="shared" si="1033"/>
        <v>1</v>
      </c>
      <c r="GL73">
        <f t="shared" si="1033"/>
        <v>1</v>
      </c>
      <c r="GM73">
        <f t="shared" si="1033"/>
        <v>1</v>
      </c>
      <c r="GN73">
        <f t="shared" ref="GN73:IV73" si="1034">MIN(1,GN39*GN89*GN93*GN98*1/GN99)</f>
        <v>1</v>
      </c>
      <c r="GO73">
        <f t="shared" si="1034"/>
        <v>1</v>
      </c>
      <c r="GP73">
        <f t="shared" si="1034"/>
        <v>1</v>
      </c>
      <c r="GQ73">
        <f t="shared" si="1034"/>
        <v>1</v>
      </c>
      <c r="GR73">
        <f t="shared" si="1034"/>
        <v>1</v>
      </c>
      <c r="GS73">
        <f t="shared" si="1034"/>
        <v>1</v>
      </c>
      <c r="GT73">
        <f t="shared" si="1034"/>
        <v>1</v>
      </c>
      <c r="GU73">
        <f t="shared" si="1034"/>
        <v>1</v>
      </c>
      <c r="GV73">
        <f t="shared" si="1034"/>
        <v>1</v>
      </c>
      <c r="GW73">
        <f t="shared" si="1034"/>
        <v>1</v>
      </c>
      <c r="GX73">
        <f t="shared" si="1034"/>
        <v>1</v>
      </c>
      <c r="GY73">
        <f t="shared" si="1034"/>
        <v>1</v>
      </c>
      <c r="GZ73">
        <f t="shared" si="1034"/>
        <v>1</v>
      </c>
      <c r="HA73">
        <f t="shared" si="1034"/>
        <v>1</v>
      </c>
      <c r="HB73">
        <f t="shared" si="1034"/>
        <v>1</v>
      </c>
      <c r="HC73">
        <f t="shared" si="1034"/>
        <v>1</v>
      </c>
      <c r="HD73">
        <f t="shared" si="1034"/>
        <v>1</v>
      </c>
      <c r="HE73">
        <f t="shared" si="1034"/>
        <v>1</v>
      </c>
      <c r="HF73">
        <f t="shared" si="1034"/>
        <v>1</v>
      </c>
      <c r="HG73">
        <f t="shared" si="1034"/>
        <v>1</v>
      </c>
      <c r="HH73">
        <f t="shared" si="1034"/>
        <v>1</v>
      </c>
      <c r="HI73">
        <f t="shared" si="1034"/>
        <v>1</v>
      </c>
      <c r="HJ73">
        <f t="shared" si="1034"/>
        <v>1</v>
      </c>
      <c r="HK73">
        <f t="shared" si="1034"/>
        <v>1</v>
      </c>
      <c r="HL73">
        <f t="shared" si="1034"/>
        <v>1</v>
      </c>
      <c r="HM73">
        <f t="shared" si="1034"/>
        <v>1</v>
      </c>
      <c r="HN73">
        <f t="shared" si="1034"/>
        <v>1</v>
      </c>
      <c r="HO73">
        <f t="shared" si="1034"/>
        <v>1</v>
      </c>
      <c r="HP73">
        <f t="shared" si="1034"/>
        <v>1</v>
      </c>
      <c r="HQ73">
        <f t="shared" si="1034"/>
        <v>1</v>
      </c>
      <c r="HR73">
        <f t="shared" si="1034"/>
        <v>1</v>
      </c>
      <c r="HS73">
        <f t="shared" si="1034"/>
        <v>1</v>
      </c>
      <c r="HT73">
        <f t="shared" si="1034"/>
        <v>1</v>
      </c>
      <c r="HU73">
        <f t="shared" si="1034"/>
        <v>1</v>
      </c>
      <c r="HV73">
        <f t="shared" si="1034"/>
        <v>1</v>
      </c>
      <c r="HW73">
        <f t="shared" si="1034"/>
        <v>1</v>
      </c>
      <c r="HX73">
        <f t="shared" si="1034"/>
        <v>1</v>
      </c>
      <c r="HY73">
        <f t="shared" si="1034"/>
        <v>1</v>
      </c>
      <c r="HZ73">
        <f t="shared" si="1034"/>
        <v>1</v>
      </c>
      <c r="IA73">
        <f t="shared" si="1034"/>
        <v>1</v>
      </c>
      <c r="IB73">
        <f t="shared" si="1034"/>
        <v>1</v>
      </c>
      <c r="IC73">
        <f t="shared" si="1034"/>
        <v>1</v>
      </c>
      <c r="ID73">
        <f t="shared" si="1034"/>
        <v>1</v>
      </c>
      <c r="IE73">
        <f t="shared" si="1034"/>
        <v>1</v>
      </c>
      <c r="IF73">
        <f t="shared" si="1034"/>
        <v>1</v>
      </c>
      <c r="IG73">
        <f t="shared" si="1034"/>
        <v>1</v>
      </c>
      <c r="IH73">
        <f t="shared" si="1034"/>
        <v>1</v>
      </c>
      <c r="II73">
        <f t="shared" si="1034"/>
        <v>1</v>
      </c>
      <c r="IJ73">
        <f t="shared" si="1034"/>
        <v>1</v>
      </c>
      <c r="IK73">
        <f t="shared" si="1034"/>
        <v>1</v>
      </c>
      <c r="IL73">
        <f t="shared" si="1034"/>
        <v>1</v>
      </c>
      <c r="IM73">
        <f t="shared" si="1034"/>
        <v>1</v>
      </c>
      <c r="IN73">
        <f t="shared" si="1034"/>
        <v>1</v>
      </c>
      <c r="IO73">
        <f t="shared" si="1034"/>
        <v>1</v>
      </c>
      <c r="IP73">
        <f t="shared" si="1034"/>
        <v>1</v>
      </c>
      <c r="IQ73">
        <f t="shared" si="1034"/>
        <v>1</v>
      </c>
      <c r="IR73">
        <f t="shared" si="1034"/>
        <v>1</v>
      </c>
      <c r="IS73">
        <f t="shared" si="1034"/>
        <v>1</v>
      </c>
      <c r="IT73">
        <f t="shared" si="1034"/>
        <v>1</v>
      </c>
      <c r="IU73">
        <f t="shared" si="1034"/>
        <v>1</v>
      </c>
      <c r="IV73">
        <f t="shared" si="1034"/>
        <v>1</v>
      </c>
    </row>
    <row r="74" spans="1:256" x14ac:dyDescent="0.2">
      <c r="A74" t="s">
        <v>545</v>
      </c>
      <c r="B74">
        <f>MIN(1,B40*B90*B92*1/B99)</f>
        <v>2.254466717920928E-2</v>
      </c>
      <c r="C74">
        <f>MIN(1,C40*C90*C92*1/C99)</f>
        <v>9.8271438069978345E-2</v>
      </c>
      <c r="D74">
        <f t="shared" ref="D74:BO74" si="1035">MIN(1,D40*D90*D92*1/D99)</f>
        <v>0.10381523355113692</v>
      </c>
      <c r="E74">
        <f t="shared" si="1035"/>
        <v>0.10946752982023782</v>
      </c>
      <c r="F74">
        <f t="shared" si="1035"/>
        <v>0.11522627596150399</v>
      </c>
      <c r="G74">
        <f t="shared" si="1035"/>
        <v>0.12108947305207948</v>
      </c>
      <c r="H74">
        <f t="shared" si="1035"/>
        <v>0.12705517531166877</v>
      </c>
      <c r="I74">
        <f t="shared" si="1035"/>
        <v>0.13312149121774322</v>
      </c>
      <c r="J74">
        <f t="shared" si="1035"/>
        <v>0.13928658460176346</v>
      </c>
      <c r="K74">
        <f t="shared" si="1035"/>
        <v>0.1369067349040145</v>
      </c>
      <c r="L74">
        <f t="shared" si="1035"/>
        <v>0.13454363948819062</v>
      </c>
      <c r="M74">
        <f t="shared" si="1035"/>
        <v>0.13219817355361796</v>
      </c>
      <c r="N74">
        <f t="shared" si="1035"/>
        <v>0.12987117948746552</v>
      </c>
      <c r="O74">
        <f t="shared" si="1035"/>
        <v>0.12756346526064194</v>
      </c>
      <c r="P74">
        <f t="shared" si="1035"/>
        <v>0.12527580311186476</v>
      </c>
      <c r="Q74">
        <f t="shared" si="1035"/>
        <v>0.12300892849748295</v>
      </c>
      <c r="R74">
        <f t="shared" si="1035"/>
        <v>0.24152707857175823</v>
      </c>
      <c r="S74">
        <f t="shared" si="1035"/>
        <v>0.23837767173283295</v>
      </c>
      <c r="T74">
        <f t="shared" si="1035"/>
        <v>0.23520932044292811</v>
      </c>
      <c r="U74">
        <f t="shared" si="1035"/>
        <v>0.23202464629052885</v>
      </c>
      <c r="V74">
        <f t="shared" si="1035"/>
        <v>0.2288262440346652</v>
      </c>
      <c r="W74">
        <f t="shared" si="1035"/>
        <v>0.22561667381564129</v>
      </c>
      <c r="X74">
        <f t="shared" si="1035"/>
        <v>0.22239845419693838</v>
      </c>
      <c r="Y74">
        <f t="shared" si="1035"/>
        <v>0.21917405598058215</v>
      </c>
      <c r="Z74">
        <f t="shared" si="1035"/>
        <v>0.43189179348447049</v>
      </c>
      <c r="AA74">
        <f t="shared" si="1035"/>
        <v>0.42940100395120551</v>
      </c>
      <c r="AB74">
        <f t="shared" si="1035"/>
        <v>0.42690897672522893</v>
      </c>
      <c r="AC74">
        <f t="shared" si="1035"/>
        <v>0.42441276155920632</v>
      </c>
      <c r="AD74">
        <f t="shared" si="1035"/>
        <v>0.42190967291480186</v>
      </c>
      <c r="AE74">
        <f t="shared" si="1035"/>
        <v>0.41939727546471806</v>
      </c>
      <c r="AF74">
        <f t="shared" si="1035"/>
        <v>0.41687337038100075</v>
      </c>
      <c r="AG74">
        <f t="shared" si="1035"/>
        <v>0.41433598235337149</v>
      </c>
      <c r="AH74">
        <f t="shared" si="1035"/>
        <v>0.67224011585050902</v>
      </c>
      <c r="AI74">
        <f t="shared" si="1035"/>
        <v>0.67746321261455555</v>
      </c>
      <c r="AJ74">
        <f t="shared" si="1035"/>
        <v>0.68294276550956445</v>
      </c>
      <c r="AK74">
        <f t="shared" si="1035"/>
        <v>0.68869287018874947</v>
      </c>
      <c r="AL74">
        <f t="shared" si="1035"/>
        <v>0.69472852169192334</v>
      </c>
      <c r="AM74">
        <f t="shared" si="1035"/>
        <v>0.70106570634065613</v>
      </c>
      <c r="AN74">
        <f t="shared" si="1035"/>
        <v>0.70772150198127848</v>
      </c>
      <c r="AO74">
        <f t="shared" si="1035"/>
        <v>0.71471418786049701</v>
      </c>
      <c r="AP74">
        <f t="shared" si="1035"/>
        <v>0.18517499468039667</v>
      </c>
      <c r="AQ74">
        <f t="shared" si="1035"/>
        <v>0.1899996088572305</v>
      </c>
      <c r="AR74">
        <f t="shared" si="1035"/>
        <v>0.19497007886431938</v>
      </c>
      <c r="AS74">
        <f t="shared" si="1035"/>
        <v>0.20009787319093078</v>
      </c>
      <c r="AT74">
        <f t="shared" si="1035"/>
        <v>0.20539431562781515</v>
      </c>
      <c r="AU74">
        <f t="shared" si="1035"/>
        <v>0.21087064115499185</v>
      </c>
      <c r="AV74">
        <f t="shared" si="1035"/>
        <v>0.21653804994424111</v>
      </c>
      <c r="AW74">
        <f t="shared" si="1035"/>
        <v>0.22240776020137379</v>
      </c>
      <c r="AX74">
        <f t="shared" si="1035"/>
        <v>0.35412782743191751</v>
      </c>
      <c r="AY74">
        <f t="shared" si="1035"/>
        <v>0.36358467396679151</v>
      </c>
      <c r="AZ74">
        <f t="shared" si="1035"/>
        <v>0.37355967588168321</v>
      </c>
      <c r="BA74">
        <f t="shared" si="1035"/>
        <v>0.38408928018177585</v>
      </c>
      <c r="BB74">
        <f t="shared" si="1035"/>
        <v>0.39521336946536312</v>
      </c>
      <c r="BC74">
        <f t="shared" si="1035"/>
        <v>0.40697558162656544</v>
      </c>
      <c r="BD74">
        <f t="shared" si="1035"/>
        <v>0.41942368183439455</v>
      </c>
      <c r="BE74">
        <f t="shared" si="1035"/>
        <v>0.43260999191000638</v>
      </c>
      <c r="BF74">
        <f t="shared" si="1035"/>
        <v>0.44659188368315528</v>
      </c>
      <c r="BG74">
        <f t="shared" si="1035"/>
        <v>0.46143234448316023</v>
      </c>
      <c r="BH74">
        <f t="shared" si="1035"/>
        <v>0.47713353415842114</v>
      </c>
      <c r="BI74">
        <f t="shared" si="1035"/>
        <v>0.4936774249639917</v>
      </c>
      <c r="BJ74">
        <f t="shared" si="1035"/>
        <v>0.51112686685522957</v>
      </c>
      <c r="BK74">
        <f t="shared" si="1035"/>
        <v>0.52888904466888886</v>
      </c>
      <c r="BL74">
        <f t="shared" si="1035"/>
        <v>0.54694412180996876</v>
      </c>
      <c r="BM74">
        <f t="shared" si="1035"/>
        <v>0.56529477007135598</v>
      </c>
      <c r="BN74">
        <f t="shared" si="1035"/>
        <v>0.583943893226195</v>
      </c>
      <c r="BO74">
        <f t="shared" si="1035"/>
        <v>0.60289461619537066</v>
      </c>
      <c r="BP74">
        <f t="shared" ref="BP74:EA74" si="1036">MIN(1,BP40*BP90*BP92*1/BP99)</f>
        <v>0.62215027442973436</v>
      </c>
      <c r="BQ74">
        <f t="shared" si="1036"/>
        <v>0.64171440350574516</v>
      </c>
      <c r="BR74">
        <f t="shared" si="1036"/>
        <v>0.66159072894158966</v>
      </c>
      <c r="BS74">
        <f t="shared" si="1036"/>
        <v>0.68178315624680974</v>
      </c>
      <c r="BT74">
        <f t="shared" si="1036"/>
        <v>0.70229576122245418</v>
      </c>
      <c r="BU74">
        <f t="shared" si="1036"/>
        <v>0.72313278053116326</v>
      </c>
      <c r="BV74">
        <f t="shared" si="1036"/>
        <v>0.7442986025576569</v>
      </c>
      <c r="BW74">
        <f t="shared" si="1036"/>
        <v>0.76579775858012311</v>
      </c>
      <c r="BX74">
        <f t="shared" si="1036"/>
        <v>0.78763440959249487</v>
      </c>
      <c r="BY74">
        <f t="shared" si="1036"/>
        <v>0.80981219406568783</v>
      </c>
      <c r="BZ74">
        <f t="shared" si="1036"/>
        <v>0.83233485732376489</v>
      </c>
      <c r="CA74">
        <f t="shared" si="1036"/>
        <v>0.85520624573222093</v>
      </c>
      <c r="CB74">
        <f t="shared" si="1036"/>
        <v>0.87843030122137267</v>
      </c>
      <c r="CC74">
        <f t="shared" si="1036"/>
        <v>0.90201105614412491</v>
      </c>
      <c r="CD74">
        <f t="shared" si="1036"/>
        <v>0.92595262846672632</v>
      </c>
      <c r="CE74">
        <f t="shared" si="1036"/>
        <v>0.95025921729021945</v>
      </c>
      <c r="CF74">
        <f t="shared" si="1036"/>
        <v>0.97493509869924577</v>
      </c>
      <c r="CG74">
        <f t="shared" si="1036"/>
        <v>0.99998462193374815</v>
      </c>
      <c r="CH74">
        <f t="shared" si="1036"/>
        <v>1</v>
      </c>
      <c r="CI74">
        <f t="shared" si="1036"/>
        <v>1</v>
      </c>
      <c r="CJ74">
        <f t="shared" si="1036"/>
        <v>1</v>
      </c>
      <c r="CK74">
        <f t="shared" si="1036"/>
        <v>1</v>
      </c>
      <c r="CL74">
        <f t="shared" si="1036"/>
        <v>1</v>
      </c>
      <c r="CM74">
        <f t="shared" si="1036"/>
        <v>1</v>
      </c>
      <c r="CN74">
        <f t="shared" si="1036"/>
        <v>1</v>
      </c>
      <c r="CO74">
        <f t="shared" si="1036"/>
        <v>1</v>
      </c>
      <c r="CP74">
        <f t="shared" si="1036"/>
        <v>1</v>
      </c>
      <c r="CQ74">
        <f t="shared" si="1036"/>
        <v>1</v>
      </c>
      <c r="CR74">
        <f t="shared" si="1036"/>
        <v>1</v>
      </c>
      <c r="CS74">
        <f t="shared" si="1036"/>
        <v>1</v>
      </c>
      <c r="CT74">
        <f t="shared" si="1036"/>
        <v>1</v>
      </c>
      <c r="CU74">
        <f t="shared" si="1036"/>
        <v>1</v>
      </c>
      <c r="CV74">
        <f t="shared" si="1036"/>
        <v>1</v>
      </c>
      <c r="CW74">
        <f t="shared" si="1036"/>
        <v>1</v>
      </c>
      <c r="CX74">
        <f t="shared" si="1036"/>
        <v>1</v>
      </c>
      <c r="CY74">
        <f t="shared" si="1036"/>
        <v>1</v>
      </c>
      <c r="CZ74">
        <f t="shared" si="1036"/>
        <v>1</v>
      </c>
      <c r="DA74">
        <f t="shared" si="1036"/>
        <v>1</v>
      </c>
      <c r="DB74">
        <f t="shared" si="1036"/>
        <v>1</v>
      </c>
      <c r="DC74">
        <f t="shared" si="1036"/>
        <v>1</v>
      </c>
      <c r="DD74">
        <f t="shared" si="1036"/>
        <v>1</v>
      </c>
      <c r="DE74">
        <f t="shared" si="1036"/>
        <v>1</v>
      </c>
      <c r="DF74">
        <f t="shared" si="1036"/>
        <v>1</v>
      </c>
      <c r="DG74">
        <f t="shared" si="1036"/>
        <v>1</v>
      </c>
      <c r="DH74">
        <f t="shared" si="1036"/>
        <v>1</v>
      </c>
      <c r="DI74">
        <f t="shared" si="1036"/>
        <v>1</v>
      </c>
      <c r="DJ74">
        <f t="shared" si="1036"/>
        <v>1</v>
      </c>
      <c r="DK74">
        <f t="shared" si="1036"/>
        <v>1</v>
      </c>
      <c r="DL74">
        <f t="shared" si="1036"/>
        <v>1</v>
      </c>
      <c r="DM74">
        <f t="shared" si="1036"/>
        <v>1</v>
      </c>
      <c r="DN74">
        <f t="shared" si="1036"/>
        <v>1</v>
      </c>
      <c r="DO74">
        <f t="shared" si="1036"/>
        <v>1</v>
      </c>
      <c r="DP74">
        <f t="shared" si="1036"/>
        <v>1</v>
      </c>
      <c r="DQ74">
        <f t="shared" si="1036"/>
        <v>1</v>
      </c>
      <c r="DR74">
        <f t="shared" si="1036"/>
        <v>1</v>
      </c>
      <c r="DS74">
        <f t="shared" si="1036"/>
        <v>1</v>
      </c>
      <c r="DT74">
        <f t="shared" si="1036"/>
        <v>1</v>
      </c>
      <c r="DU74">
        <f t="shared" si="1036"/>
        <v>1</v>
      </c>
      <c r="DV74">
        <f t="shared" si="1036"/>
        <v>1</v>
      </c>
      <c r="DW74">
        <f t="shared" si="1036"/>
        <v>1</v>
      </c>
      <c r="DX74">
        <f t="shared" si="1036"/>
        <v>1</v>
      </c>
      <c r="DY74">
        <f t="shared" si="1036"/>
        <v>1</v>
      </c>
      <c r="DZ74">
        <f t="shared" si="1036"/>
        <v>1</v>
      </c>
      <c r="EA74">
        <f t="shared" si="1036"/>
        <v>1</v>
      </c>
      <c r="EB74">
        <f t="shared" ref="EB74:GM74" si="1037">MIN(1,EB40*EB90*EB92*1/EB99)</f>
        <v>1</v>
      </c>
      <c r="EC74">
        <f t="shared" si="1037"/>
        <v>1</v>
      </c>
      <c r="ED74">
        <f t="shared" si="1037"/>
        <v>1</v>
      </c>
      <c r="EE74">
        <f t="shared" si="1037"/>
        <v>1</v>
      </c>
      <c r="EF74">
        <f t="shared" si="1037"/>
        <v>1</v>
      </c>
      <c r="EG74">
        <f t="shared" si="1037"/>
        <v>1</v>
      </c>
      <c r="EH74">
        <f t="shared" si="1037"/>
        <v>1</v>
      </c>
      <c r="EI74">
        <f t="shared" si="1037"/>
        <v>1</v>
      </c>
      <c r="EJ74">
        <f t="shared" si="1037"/>
        <v>1</v>
      </c>
      <c r="EK74">
        <f t="shared" si="1037"/>
        <v>1</v>
      </c>
      <c r="EL74">
        <f t="shared" si="1037"/>
        <v>1</v>
      </c>
      <c r="EM74">
        <f t="shared" si="1037"/>
        <v>1</v>
      </c>
      <c r="EN74">
        <f t="shared" si="1037"/>
        <v>1</v>
      </c>
      <c r="EO74">
        <f t="shared" si="1037"/>
        <v>1</v>
      </c>
      <c r="EP74">
        <f t="shared" si="1037"/>
        <v>1</v>
      </c>
      <c r="EQ74">
        <f t="shared" si="1037"/>
        <v>1</v>
      </c>
      <c r="ER74">
        <f t="shared" si="1037"/>
        <v>1</v>
      </c>
      <c r="ES74">
        <f t="shared" si="1037"/>
        <v>1</v>
      </c>
      <c r="ET74">
        <f t="shared" si="1037"/>
        <v>1</v>
      </c>
      <c r="EU74">
        <f t="shared" si="1037"/>
        <v>1</v>
      </c>
      <c r="EV74">
        <f t="shared" si="1037"/>
        <v>1</v>
      </c>
      <c r="EW74">
        <f t="shared" si="1037"/>
        <v>1</v>
      </c>
      <c r="EX74">
        <f t="shared" si="1037"/>
        <v>1</v>
      </c>
      <c r="EY74">
        <f t="shared" si="1037"/>
        <v>1</v>
      </c>
      <c r="EZ74">
        <f t="shared" si="1037"/>
        <v>1</v>
      </c>
      <c r="FA74">
        <f t="shared" si="1037"/>
        <v>1</v>
      </c>
      <c r="FB74">
        <f t="shared" si="1037"/>
        <v>1</v>
      </c>
      <c r="FC74">
        <f t="shared" si="1037"/>
        <v>1</v>
      </c>
      <c r="FD74">
        <f t="shared" si="1037"/>
        <v>1</v>
      </c>
      <c r="FE74">
        <f t="shared" si="1037"/>
        <v>1</v>
      </c>
      <c r="FF74">
        <f t="shared" si="1037"/>
        <v>1</v>
      </c>
      <c r="FG74">
        <f t="shared" si="1037"/>
        <v>1</v>
      </c>
      <c r="FH74">
        <f t="shared" si="1037"/>
        <v>1</v>
      </c>
      <c r="FI74">
        <f t="shared" si="1037"/>
        <v>1</v>
      </c>
      <c r="FJ74">
        <f t="shared" si="1037"/>
        <v>1</v>
      </c>
      <c r="FK74">
        <f t="shared" si="1037"/>
        <v>1</v>
      </c>
      <c r="FL74">
        <f t="shared" si="1037"/>
        <v>1</v>
      </c>
      <c r="FM74">
        <f t="shared" si="1037"/>
        <v>1</v>
      </c>
      <c r="FN74">
        <f t="shared" si="1037"/>
        <v>1</v>
      </c>
      <c r="FO74">
        <f t="shared" si="1037"/>
        <v>1</v>
      </c>
      <c r="FP74">
        <f t="shared" si="1037"/>
        <v>1</v>
      </c>
      <c r="FQ74">
        <f t="shared" si="1037"/>
        <v>1</v>
      </c>
      <c r="FR74">
        <f t="shared" si="1037"/>
        <v>1</v>
      </c>
      <c r="FS74">
        <f t="shared" si="1037"/>
        <v>1</v>
      </c>
      <c r="FT74">
        <f t="shared" si="1037"/>
        <v>1</v>
      </c>
      <c r="FU74">
        <f t="shared" si="1037"/>
        <v>1</v>
      </c>
      <c r="FV74">
        <f t="shared" si="1037"/>
        <v>1</v>
      </c>
      <c r="FW74">
        <f t="shared" si="1037"/>
        <v>1</v>
      </c>
      <c r="FX74">
        <f t="shared" si="1037"/>
        <v>1</v>
      </c>
      <c r="FY74">
        <f t="shared" si="1037"/>
        <v>1</v>
      </c>
      <c r="FZ74">
        <f t="shared" si="1037"/>
        <v>1</v>
      </c>
      <c r="GA74">
        <f t="shared" si="1037"/>
        <v>1</v>
      </c>
      <c r="GB74">
        <f t="shared" si="1037"/>
        <v>1</v>
      </c>
      <c r="GC74">
        <f t="shared" si="1037"/>
        <v>1</v>
      </c>
      <c r="GD74">
        <f t="shared" si="1037"/>
        <v>1</v>
      </c>
      <c r="GE74">
        <f t="shared" si="1037"/>
        <v>1</v>
      </c>
      <c r="GF74">
        <f t="shared" si="1037"/>
        <v>1</v>
      </c>
      <c r="GG74">
        <f t="shared" si="1037"/>
        <v>1</v>
      </c>
      <c r="GH74">
        <f t="shared" si="1037"/>
        <v>1</v>
      </c>
      <c r="GI74">
        <f t="shared" si="1037"/>
        <v>1</v>
      </c>
      <c r="GJ74">
        <f t="shared" si="1037"/>
        <v>1</v>
      </c>
      <c r="GK74">
        <f t="shared" si="1037"/>
        <v>1</v>
      </c>
      <c r="GL74">
        <f t="shared" si="1037"/>
        <v>1</v>
      </c>
      <c r="GM74">
        <f t="shared" si="1037"/>
        <v>1</v>
      </c>
      <c r="GN74">
        <f t="shared" ref="GN74:IV74" si="1038">MIN(1,GN40*GN90*GN92*1/GN99)</f>
        <v>1</v>
      </c>
      <c r="GO74">
        <f t="shared" si="1038"/>
        <v>1</v>
      </c>
      <c r="GP74">
        <f t="shared" si="1038"/>
        <v>1</v>
      </c>
      <c r="GQ74">
        <f t="shared" si="1038"/>
        <v>1</v>
      </c>
      <c r="GR74">
        <f t="shared" si="1038"/>
        <v>1</v>
      </c>
      <c r="GS74">
        <f t="shared" si="1038"/>
        <v>1</v>
      </c>
      <c r="GT74">
        <f t="shared" si="1038"/>
        <v>1</v>
      </c>
      <c r="GU74">
        <f t="shared" si="1038"/>
        <v>1</v>
      </c>
      <c r="GV74">
        <f t="shared" si="1038"/>
        <v>1</v>
      </c>
      <c r="GW74">
        <f t="shared" si="1038"/>
        <v>1</v>
      </c>
      <c r="GX74">
        <f t="shared" si="1038"/>
        <v>1</v>
      </c>
      <c r="GY74">
        <f t="shared" si="1038"/>
        <v>1</v>
      </c>
      <c r="GZ74">
        <f t="shared" si="1038"/>
        <v>1</v>
      </c>
      <c r="HA74">
        <f t="shared" si="1038"/>
        <v>1</v>
      </c>
      <c r="HB74">
        <f t="shared" si="1038"/>
        <v>1</v>
      </c>
      <c r="HC74">
        <f t="shared" si="1038"/>
        <v>1</v>
      </c>
      <c r="HD74">
        <f t="shared" si="1038"/>
        <v>1</v>
      </c>
      <c r="HE74">
        <f t="shared" si="1038"/>
        <v>1</v>
      </c>
      <c r="HF74">
        <f t="shared" si="1038"/>
        <v>1</v>
      </c>
      <c r="HG74">
        <f t="shared" si="1038"/>
        <v>1</v>
      </c>
      <c r="HH74">
        <f t="shared" si="1038"/>
        <v>1</v>
      </c>
      <c r="HI74">
        <f t="shared" si="1038"/>
        <v>1</v>
      </c>
      <c r="HJ74">
        <f t="shared" si="1038"/>
        <v>1</v>
      </c>
      <c r="HK74">
        <f t="shared" si="1038"/>
        <v>1</v>
      </c>
      <c r="HL74">
        <f t="shared" si="1038"/>
        <v>1</v>
      </c>
      <c r="HM74">
        <f t="shared" si="1038"/>
        <v>1</v>
      </c>
      <c r="HN74">
        <f t="shared" si="1038"/>
        <v>1</v>
      </c>
      <c r="HO74">
        <f t="shared" si="1038"/>
        <v>1</v>
      </c>
      <c r="HP74">
        <f t="shared" si="1038"/>
        <v>1</v>
      </c>
      <c r="HQ74">
        <f t="shared" si="1038"/>
        <v>1</v>
      </c>
      <c r="HR74">
        <f t="shared" si="1038"/>
        <v>1</v>
      </c>
      <c r="HS74">
        <f t="shared" si="1038"/>
        <v>1</v>
      </c>
      <c r="HT74">
        <f t="shared" si="1038"/>
        <v>1</v>
      </c>
      <c r="HU74">
        <f t="shared" si="1038"/>
        <v>1</v>
      </c>
      <c r="HV74">
        <f t="shared" si="1038"/>
        <v>1</v>
      </c>
      <c r="HW74">
        <f t="shared" si="1038"/>
        <v>1</v>
      </c>
      <c r="HX74">
        <f t="shared" si="1038"/>
        <v>1</v>
      </c>
      <c r="HY74">
        <f t="shared" si="1038"/>
        <v>1</v>
      </c>
      <c r="HZ74">
        <f t="shared" si="1038"/>
        <v>1</v>
      </c>
      <c r="IA74">
        <f t="shared" si="1038"/>
        <v>1</v>
      </c>
      <c r="IB74">
        <f t="shared" si="1038"/>
        <v>1</v>
      </c>
      <c r="IC74">
        <f t="shared" si="1038"/>
        <v>1</v>
      </c>
      <c r="ID74">
        <f t="shared" si="1038"/>
        <v>1</v>
      </c>
      <c r="IE74">
        <f t="shared" si="1038"/>
        <v>1</v>
      </c>
      <c r="IF74">
        <f t="shared" si="1038"/>
        <v>1</v>
      </c>
      <c r="IG74">
        <f t="shared" si="1038"/>
        <v>1</v>
      </c>
      <c r="IH74">
        <f t="shared" si="1038"/>
        <v>1</v>
      </c>
      <c r="II74">
        <f t="shared" si="1038"/>
        <v>1</v>
      </c>
      <c r="IJ74">
        <f t="shared" si="1038"/>
        <v>1</v>
      </c>
      <c r="IK74">
        <f t="shared" si="1038"/>
        <v>1</v>
      </c>
      <c r="IL74">
        <f t="shared" si="1038"/>
        <v>1</v>
      </c>
      <c r="IM74">
        <f t="shared" si="1038"/>
        <v>1</v>
      </c>
      <c r="IN74">
        <f t="shared" si="1038"/>
        <v>1</v>
      </c>
      <c r="IO74">
        <f t="shared" si="1038"/>
        <v>1</v>
      </c>
      <c r="IP74">
        <f t="shared" si="1038"/>
        <v>1</v>
      </c>
      <c r="IQ74">
        <f t="shared" si="1038"/>
        <v>1</v>
      </c>
      <c r="IR74">
        <f t="shared" si="1038"/>
        <v>1</v>
      </c>
      <c r="IS74">
        <f t="shared" si="1038"/>
        <v>1</v>
      </c>
      <c r="IT74">
        <f t="shared" si="1038"/>
        <v>1</v>
      </c>
      <c r="IU74">
        <f t="shared" si="1038"/>
        <v>1</v>
      </c>
      <c r="IV74">
        <f t="shared" si="1038"/>
        <v>1</v>
      </c>
    </row>
    <row r="75" spans="1:256" x14ac:dyDescent="0.2">
      <c r="A75" t="s">
        <v>546</v>
      </c>
      <c r="B75">
        <f>MIN(1,B41*B88*B89*B90*B91*B93)</f>
        <v>0.18293433969838024</v>
      </c>
      <c r="C75">
        <f>MIN(1,C41*C88*C89*C90*C91*C93)</f>
        <v>1</v>
      </c>
      <c r="D75">
        <f t="shared" ref="D75:BO75" si="1039">MIN(1,D41*D88*D89*D90*D91*D93)</f>
        <v>1</v>
      </c>
      <c r="E75">
        <f t="shared" si="1039"/>
        <v>1</v>
      </c>
      <c r="F75">
        <f t="shared" si="1039"/>
        <v>1</v>
      </c>
      <c r="G75">
        <f t="shared" si="1039"/>
        <v>1</v>
      </c>
      <c r="H75">
        <f t="shared" si="1039"/>
        <v>1</v>
      </c>
      <c r="I75">
        <f t="shared" si="1039"/>
        <v>1</v>
      </c>
      <c r="J75">
        <f t="shared" si="1039"/>
        <v>0.22369804070472307</v>
      </c>
      <c r="K75">
        <f t="shared" si="1039"/>
        <v>0.21618212956259708</v>
      </c>
      <c r="L75">
        <f t="shared" si="1039"/>
        <v>0.20884101160948315</v>
      </c>
      <c r="M75">
        <f t="shared" si="1039"/>
        <v>0.20167578743378314</v>
      </c>
      <c r="N75">
        <f t="shared" si="1039"/>
        <v>0.19468711302539507</v>
      </c>
      <c r="O75">
        <f t="shared" si="1039"/>
        <v>0.18787523054967817</v>
      </c>
      <c r="P75">
        <f t="shared" si="1039"/>
        <v>0.18123999791615308</v>
      </c>
      <c r="Q75">
        <f t="shared" si="1039"/>
        <v>0.17478091715596325</v>
      </c>
      <c r="R75">
        <f t="shared" si="1039"/>
        <v>0.33699432324522371</v>
      </c>
      <c r="S75">
        <f t="shared" si="1039"/>
        <v>0.32810998964420107</v>
      </c>
      <c r="T75">
        <f t="shared" si="1039"/>
        <v>0.31932061990520377</v>
      </c>
      <c r="U75">
        <f t="shared" si="1039"/>
        <v>0.31063446148829343</v>
      </c>
      <c r="V75">
        <f t="shared" si="1039"/>
        <v>0.30205901881594849</v>
      </c>
      <c r="W75">
        <f t="shared" si="1039"/>
        <v>0.29360109016329339</v>
      </c>
      <c r="X75">
        <f t="shared" si="1039"/>
        <v>0.28526680309801494</v>
      </c>
      <c r="Y75">
        <f t="shared" si="1039"/>
        <v>0.27706164856936577</v>
      </c>
      <c r="Z75">
        <f t="shared" si="1039"/>
        <v>0.42486130286568713</v>
      </c>
      <c r="AA75">
        <f t="shared" si="1039"/>
        <v>0.42307649570666689</v>
      </c>
      <c r="AB75">
        <f t="shared" si="1039"/>
        <v>0.42111370634607559</v>
      </c>
      <c r="AC75">
        <f t="shared" si="1039"/>
        <v>0.41898069316744124</v>
      </c>
      <c r="AD75">
        <f t="shared" si="1039"/>
        <v>0.4166850237103446</v>
      </c>
      <c r="AE75">
        <f t="shared" si="1039"/>
        <v>0.41423407944027058</v>
      </c>
      <c r="AF75">
        <f t="shared" si="1039"/>
        <v>0.41163506028902941</v>
      </c>
      <c r="AG75">
        <f t="shared" si="1039"/>
        <v>0.40889498896816345</v>
      </c>
      <c r="AH75">
        <f t="shared" si="1039"/>
        <v>0.21400891406602413</v>
      </c>
      <c r="AI75">
        <f t="shared" si="1039"/>
        <v>0.22034231792984199</v>
      </c>
      <c r="AJ75">
        <f t="shared" si="1039"/>
        <v>0.22690951877188209</v>
      </c>
      <c r="AK75">
        <f t="shared" si="1039"/>
        <v>0.23372939675506982</v>
      </c>
      <c r="AL75">
        <f t="shared" si="1039"/>
        <v>0.24082232117967095</v>
      </c>
      <c r="AM75">
        <f t="shared" si="1039"/>
        <v>0.24821030492202131</v>
      </c>
      <c r="AN75">
        <f t="shared" si="1039"/>
        <v>0.25591717771332501</v>
      </c>
      <c r="AO75">
        <f t="shared" si="1039"/>
        <v>0.26396878096152809</v>
      </c>
      <c r="AP75">
        <f t="shared" si="1039"/>
        <v>0.51431789562863461</v>
      </c>
      <c r="AQ75">
        <f t="shared" si="1039"/>
        <v>0.53817028557894375</v>
      </c>
      <c r="AR75">
        <f t="shared" si="1039"/>
        <v>0.56236423314167416</v>
      </c>
      <c r="AS75">
        <f t="shared" si="1039"/>
        <v>0.58690570953948928</v>
      </c>
      <c r="AT75">
        <f t="shared" si="1039"/>
        <v>0.61180244044669985</v>
      </c>
      <c r="AU75">
        <f t="shared" si="1039"/>
        <v>0.63706394583378301</v>
      </c>
      <c r="AV75">
        <f t="shared" si="1039"/>
        <v>0.66270158426763071</v>
      </c>
      <c r="AW75">
        <f t="shared" si="1039"/>
        <v>0.68872860200089148</v>
      </c>
      <c r="AX75">
        <f t="shared" si="1039"/>
        <v>0.61766976280401653</v>
      </c>
      <c r="AY75">
        <f t="shared" si="1039"/>
        <v>0.64421609603870988</v>
      </c>
      <c r="AZ75">
        <f t="shared" si="1039"/>
        <v>0.67200362368963162</v>
      </c>
      <c r="BA75">
        <f t="shared" si="1039"/>
        <v>0.70113692493768309</v>
      </c>
      <c r="BB75">
        <f t="shared" si="1039"/>
        <v>0.73173065502448698</v>
      </c>
      <c r="BC75">
        <f t="shared" si="1039"/>
        <v>0.76391077590501144</v>
      </c>
      <c r="BD75">
        <f t="shared" si="1039"/>
        <v>0.79781594808413214</v>
      </c>
      <c r="BE75">
        <f t="shared" si="1039"/>
        <v>0.83359911075532278</v>
      </c>
      <c r="BF75">
        <f t="shared" si="1039"/>
        <v>0.87142928188788671</v>
      </c>
      <c r="BG75">
        <f t="shared" si="1039"/>
        <v>0.91149361542076313</v>
      </c>
      <c r="BH75">
        <f t="shared" si="1039"/>
        <v>0.95383951682474288</v>
      </c>
      <c r="BI75">
        <f t="shared" si="1039"/>
        <v>0.99842688978087324</v>
      </c>
      <c r="BJ75">
        <f t="shared" si="1039"/>
        <v>1</v>
      </c>
      <c r="BK75">
        <f t="shared" si="1039"/>
        <v>1</v>
      </c>
      <c r="BL75">
        <f t="shared" si="1039"/>
        <v>1</v>
      </c>
      <c r="BM75">
        <f t="shared" si="1039"/>
        <v>1</v>
      </c>
      <c r="BN75">
        <f t="shared" si="1039"/>
        <v>1</v>
      </c>
      <c r="BO75">
        <f t="shared" si="1039"/>
        <v>1</v>
      </c>
      <c r="BP75">
        <f t="shared" ref="BP75:EA75" si="1040">MIN(1,BP41*BP88*BP89*BP90*BP91*BP93)</f>
        <v>1</v>
      </c>
      <c r="BQ75">
        <f t="shared" si="1040"/>
        <v>1</v>
      </c>
      <c r="BR75">
        <f t="shared" si="1040"/>
        <v>1</v>
      </c>
      <c r="BS75">
        <f t="shared" si="1040"/>
        <v>1</v>
      </c>
      <c r="BT75">
        <f t="shared" si="1040"/>
        <v>1</v>
      </c>
      <c r="BU75">
        <f t="shared" si="1040"/>
        <v>1</v>
      </c>
      <c r="BV75">
        <f t="shared" si="1040"/>
        <v>1</v>
      </c>
      <c r="BW75">
        <f t="shared" si="1040"/>
        <v>1</v>
      </c>
      <c r="BX75">
        <f t="shared" si="1040"/>
        <v>1</v>
      </c>
      <c r="BY75">
        <f t="shared" si="1040"/>
        <v>1</v>
      </c>
      <c r="BZ75">
        <f t="shared" si="1040"/>
        <v>1</v>
      </c>
      <c r="CA75">
        <f t="shared" si="1040"/>
        <v>1</v>
      </c>
      <c r="CB75">
        <f t="shared" si="1040"/>
        <v>1</v>
      </c>
      <c r="CC75">
        <f t="shared" si="1040"/>
        <v>1</v>
      </c>
      <c r="CD75">
        <f t="shared" si="1040"/>
        <v>1</v>
      </c>
      <c r="CE75">
        <f t="shared" si="1040"/>
        <v>1</v>
      </c>
      <c r="CF75">
        <f t="shared" si="1040"/>
        <v>1</v>
      </c>
      <c r="CG75">
        <f t="shared" si="1040"/>
        <v>1</v>
      </c>
      <c r="CH75">
        <f t="shared" si="1040"/>
        <v>1</v>
      </c>
      <c r="CI75">
        <f t="shared" si="1040"/>
        <v>1</v>
      </c>
      <c r="CJ75">
        <f t="shared" si="1040"/>
        <v>1</v>
      </c>
      <c r="CK75">
        <f t="shared" si="1040"/>
        <v>1</v>
      </c>
      <c r="CL75">
        <f t="shared" si="1040"/>
        <v>1</v>
      </c>
      <c r="CM75">
        <f t="shared" si="1040"/>
        <v>1</v>
      </c>
      <c r="CN75">
        <f t="shared" si="1040"/>
        <v>1</v>
      </c>
      <c r="CO75">
        <f t="shared" si="1040"/>
        <v>1</v>
      </c>
      <c r="CP75">
        <f t="shared" si="1040"/>
        <v>1</v>
      </c>
      <c r="CQ75">
        <f t="shared" si="1040"/>
        <v>1</v>
      </c>
      <c r="CR75">
        <f t="shared" si="1040"/>
        <v>1</v>
      </c>
      <c r="CS75">
        <f t="shared" si="1040"/>
        <v>1</v>
      </c>
      <c r="CT75">
        <f t="shared" si="1040"/>
        <v>1</v>
      </c>
      <c r="CU75">
        <f t="shared" si="1040"/>
        <v>1</v>
      </c>
      <c r="CV75">
        <f t="shared" si="1040"/>
        <v>1</v>
      </c>
      <c r="CW75">
        <f t="shared" si="1040"/>
        <v>1</v>
      </c>
      <c r="CX75">
        <f t="shared" si="1040"/>
        <v>1</v>
      </c>
      <c r="CY75">
        <f t="shared" si="1040"/>
        <v>1</v>
      </c>
      <c r="CZ75">
        <f t="shared" si="1040"/>
        <v>1</v>
      </c>
      <c r="DA75">
        <f t="shared" si="1040"/>
        <v>1</v>
      </c>
      <c r="DB75">
        <f t="shared" si="1040"/>
        <v>1</v>
      </c>
      <c r="DC75">
        <f t="shared" si="1040"/>
        <v>1</v>
      </c>
      <c r="DD75">
        <f t="shared" si="1040"/>
        <v>1</v>
      </c>
      <c r="DE75">
        <f t="shared" si="1040"/>
        <v>1</v>
      </c>
      <c r="DF75">
        <f t="shared" si="1040"/>
        <v>1</v>
      </c>
      <c r="DG75">
        <f t="shared" si="1040"/>
        <v>1</v>
      </c>
      <c r="DH75">
        <f t="shared" si="1040"/>
        <v>1</v>
      </c>
      <c r="DI75">
        <f t="shared" si="1040"/>
        <v>1</v>
      </c>
      <c r="DJ75">
        <f t="shared" si="1040"/>
        <v>1</v>
      </c>
      <c r="DK75">
        <f t="shared" si="1040"/>
        <v>1</v>
      </c>
      <c r="DL75">
        <f t="shared" si="1040"/>
        <v>1</v>
      </c>
      <c r="DM75">
        <f t="shared" si="1040"/>
        <v>1</v>
      </c>
      <c r="DN75">
        <f t="shared" si="1040"/>
        <v>1</v>
      </c>
      <c r="DO75">
        <f t="shared" si="1040"/>
        <v>1</v>
      </c>
      <c r="DP75">
        <f t="shared" si="1040"/>
        <v>1</v>
      </c>
      <c r="DQ75">
        <f t="shared" si="1040"/>
        <v>1</v>
      </c>
      <c r="DR75">
        <f t="shared" si="1040"/>
        <v>1</v>
      </c>
      <c r="DS75">
        <f t="shared" si="1040"/>
        <v>1</v>
      </c>
      <c r="DT75">
        <f t="shared" si="1040"/>
        <v>1</v>
      </c>
      <c r="DU75">
        <f t="shared" si="1040"/>
        <v>1</v>
      </c>
      <c r="DV75">
        <f t="shared" si="1040"/>
        <v>1</v>
      </c>
      <c r="DW75">
        <f t="shared" si="1040"/>
        <v>1</v>
      </c>
      <c r="DX75">
        <f t="shared" si="1040"/>
        <v>1</v>
      </c>
      <c r="DY75">
        <f t="shared" si="1040"/>
        <v>1</v>
      </c>
      <c r="DZ75">
        <f t="shared" si="1040"/>
        <v>1</v>
      </c>
      <c r="EA75">
        <f t="shared" si="1040"/>
        <v>1</v>
      </c>
      <c r="EB75">
        <f t="shared" ref="EB75:GM75" si="1041">MIN(1,EB41*EB88*EB89*EB90*EB91*EB93)</f>
        <v>1</v>
      </c>
      <c r="EC75">
        <f t="shared" si="1041"/>
        <v>1</v>
      </c>
      <c r="ED75">
        <f t="shared" si="1041"/>
        <v>1</v>
      </c>
      <c r="EE75">
        <f t="shared" si="1041"/>
        <v>1</v>
      </c>
      <c r="EF75">
        <f t="shared" si="1041"/>
        <v>1</v>
      </c>
      <c r="EG75">
        <f t="shared" si="1041"/>
        <v>1</v>
      </c>
      <c r="EH75">
        <f t="shared" si="1041"/>
        <v>1</v>
      </c>
      <c r="EI75">
        <f t="shared" si="1041"/>
        <v>1</v>
      </c>
      <c r="EJ75">
        <f t="shared" si="1041"/>
        <v>1</v>
      </c>
      <c r="EK75">
        <f t="shared" si="1041"/>
        <v>1</v>
      </c>
      <c r="EL75">
        <f t="shared" si="1041"/>
        <v>1</v>
      </c>
      <c r="EM75">
        <f t="shared" si="1041"/>
        <v>1</v>
      </c>
      <c r="EN75">
        <f t="shared" si="1041"/>
        <v>1</v>
      </c>
      <c r="EO75">
        <f t="shared" si="1041"/>
        <v>1</v>
      </c>
      <c r="EP75">
        <f t="shared" si="1041"/>
        <v>1</v>
      </c>
      <c r="EQ75">
        <f t="shared" si="1041"/>
        <v>1</v>
      </c>
      <c r="ER75">
        <f t="shared" si="1041"/>
        <v>1</v>
      </c>
      <c r="ES75">
        <f t="shared" si="1041"/>
        <v>1</v>
      </c>
      <c r="ET75">
        <f t="shared" si="1041"/>
        <v>1</v>
      </c>
      <c r="EU75">
        <f t="shared" si="1041"/>
        <v>1</v>
      </c>
      <c r="EV75">
        <f t="shared" si="1041"/>
        <v>1</v>
      </c>
      <c r="EW75">
        <f t="shared" si="1041"/>
        <v>1</v>
      </c>
      <c r="EX75">
        <f t="shared" si="1041"/>
        <v>1</v>
      </c>
      <c r="EY75">
        <f t="shared" si="1041"/>
        <v>1</v>
      </c>
      <c r="EZ75">
        <f t="shared" si="1041"/>
        <v>1</v>
      </c>
      <c r="FA75">
        <f t="shared" si="1041"/>
        <v>1</v>
      </c>
      <c r="FB75">
        <f t="shared" si="1041"/>
        <v>1</v>
      </c>
      <c r="FC75">
        <f t="shared" si="1041"/>
        <v>1</v>
      </c>
      <c r="FD75">
        <f t="shared" si="1041"/>
        <v>1</v>
      </c>
      <c r="FE75">
        <f t="shared" si="1041"/>
        <v>1</v>
      </c>
      <c r="FF75">
        <f t="shared" si="1041"/>
        <v>1</v>
      </c>
      <c r="FG75">
        <f t="shared" si="1041"/>
        <v>1</v>
      </c>
      <c r="FH75">
        <f t="shared" si="1041"/>
        <v>1</v>
      </c>
      <c r="FI75">
        <f t="shared" si="1041"/>
        <v>1</v>
      </c>
      <c r="FJ75">
        <f t="shared" si="1041"/>
        <v>1</v>
      </c>
      <c r="FK75">
        <f t="shared" si="1041"/>
        <v>1</v>
      </c>
      <c r="FL75">
        <f t="shared" si="1041"/>
        <v>1</v>
      </c>
      <c r="FM75">
        <f t="shared" si="1041"/>
        <v>1</v>
      </c>
      <c r="FN75">
        <f t="shared" si="1041"/>
        <v>1</v>
      </c>
      <c r="FO75">
        <f t="shared" si="1041"/>
        <v>1</v>
      </c>
      <c r="FP75">
        <f t="shared" si="1041"/>
        <v>1</v>
      </c>
      <c r="FQ75">
        <f t="shared" si="1041"/>
        <v>1</v>
      </c>
      <c r="FR75">
        <f t="shared" si="1041"/>
        <v>1</v>
      </c>
      <c r="FS75">
        <f t="shared" si="1041"/>
        <v>1</v>
      </c>
      <c r="FT75">
        <f t="shared" si="1041"/>
        <v>1</v>
      </c>
      <c r="FU75">
        <f t="shared" si="1041"/>
        <v>1</v>
      </c>
      <c r="FV75">
        <f t="shared" si="1041"/>
        <v>1</v>
      </c>
      <c r="FW75">
        <f t="shared" si="1041"/>
        <v>1</v>
      </c>
      <c r="FX75">
        <f t="shared" si="1041"/>
        <v>1</v>
      </c>
      <c r="FY75">
        <f t="shared" si="1041"/>
        <v>1</v>
      </c>
      <c r="FZ75">
        <f t="shared" si="1041"/>
        <v>1</v>
      </c>
      <c r="GA75">
        <f t="shared" si="1041"/>
        <v>1</v>
      </c>
      <c r="GB75">
        <f t="shared" si="1041"/>
        <v>1</v>
      </c>
      <c r="GC75">
        <f t="shared" si="1041"/>
        <v>1</v>
      </c>
      <c r="GD75">
        <f t="shared" si="1041"/>
        <v>1</v>
      </c>
      <c r="GE75">
        <f t="shared" si="1041"/>
        <v>1</v>
      </c>
      <c r="GF75">
        <f t="shared" si="1041"/>
        <v>1</v>
      </c>
      <c r="GG75">
        <f t="shared" si="1041"/>
        <v>1</v>
      </c>
      <c r="GH75">
        <f t="shared" si="1041"/>
        <v>1</v>
      </c>
      <c r="GI75">
        <f t="shared" si="1041"/>
        <v>1</v>
      </c>
      <c r="GJ75">
        <f t="shared" si="1041"/>
        <v>1</v>
      </c>
      <c r="GK75">
        <f t="shared" si="1041"/>
        <v>1</v>
      </c>
      <c r="GL75">
        <f t="shared" si="1041"/>
        <v>1</v>
      </c>
      <c r="GM75">
        <f t="shared" si="1041"/>
        <v>1</v>
      </c>
      <c r="GN75">
        <f t="shared" ref="GN75:IV75" si="1042">MIN(1,GN41*GN88*GN89*GN90*GN91*GN93)</f>
        <v>1</v>
      </c>
      <c r="GO75">
        <f t="shared" si="1042"/>
        <v>1</v>
      </c>
      <c r="GP75">
        <f t="shared" si="1042"/>
        <v>1</v>
      </c>
      <c r="GQ75">
        <f t="shared" si="1042"/>
        <v>1</v>
      </c>
      <c r="GR75">
        <f t="shared" si="1042"/>
        <v>1</v>
      </c>
      <c r="GS75">
        <f t="shared" si="1042"/>
        <v>1</v>
      </c>
      <c r="GT75">
        <f t="shared" si="1042"/>
        <v>1</v>
      </c>
      <c r="GU75">
        <f t="shared" si="1042"/>
        <v>1</v>
      </c>
      <c r="GV75">
        <f t="shared" si="1042"/>
        <v>1</v>
      </c>
      <c r="GW75">
        <f t="shared" si="1042"/>
        <v>1</v>
      </c>
      <c r="GX75">
        <f t="shared" si="1042"/>
        <v>1</v>
      </c>
      <c r="GY75">
        <f t="shared" si="1042"/>
        <v>1</v>
      </c>
      <c r="GZ75">
        <f t="shared" si="1042"/>
        <v>1</v>
      </c>
      <c r="HA75">
        <f t="shared" si="1042"/>
        <v>1</v>
      </c>
      <c r="HB75">
        <f t="shared" si="1042"/>
        <v>1</v>
      </c>
      <c r="HC75">
        <f t="shared" si="1042"/>
        <v>1</v>
      </c>
      <c r="HD75">
        <f t="shared" si="1042"/>
        <v>1</v>
      </c>
      <c r="HE75">
        <f t="shared" si="1042"/>
        <v>1</v>
      </c>
      <c r="HF75">
        <f t="shared" si="1042"/>
        <v>1</v>
      </c>
      <c r="HG75">
        <f t="shared" si="1042"/>
        <v>1</v>
      </c>
      <c r="HH75">
        <f t="shared" si="1042"/>
        <v>1</v>
      </c>
      <c r="HI75">
        <f t="shared" si="1042"/>
        <v>1</v>
      </c>
      <c r="HJ75">
        <f t="shared" si="1042"/>
        <v>1</v>
      </c>
      <c r="HK75">
        <f t="shared" si="1042"/>
        <v>1</v>
      </c>
      <c r="HL75">
        <f t="shared" si="1042"/>
        <v>1</v>
      </c>
      <c r="HM75">
        <f t="shared" si="1042"/>
        <v>1</v>
      </c>
      <c r="HN75">
        <f t="shared" si="1042"/>
        <v>1</v>
      </c>
      <c r="HO75">
        <f t="shared" si="1042"/>
        <v>1</v>
      </c>
      <c r="HP75">
        <f t="shared" si="1042"/>
        <v>1</v>
      </c>
      <c r="HQ75">
        <f t="shared" si="1042"/>
        <v>1</v>
      </c>
      <c r="HR75">
        <f t="shared" si="1042"/>
        <v>1</v>
      </c>
      <c r="HS75">
        <f t="shared" si="1042"/>
        <v>1</v>
      </c>
      <c r="HT75">
        <f t="shared" si="1042"/>
        <v>1</v>
      </c>
      <c r="HU75">
        <f t="shared" si="1042"/>
        <v>1</v>
      </c>
      <c r="HV75">
        <f t="shared" si="1042"/>
        <v>1</v>
      </c>
      <c r="HW75">
        <f t="shared" si="1042"/>
        <v>1</v>
      </c>
      <c r="HX75">
        <f t="shared" si="1042"/>
        <v>1</v>
      </c>
      <c r="HY75">
        <f t="shared" si="1042"/>
        <v>1</v>
      </c>
      <c r="HZ75">
        <f t="shared" si="1042"/>
        <v>1</v>
      </c>
      <c r="IA75">
        <f t="shared" si="1042"/>
        <v>1</v>
      </c>
      <c r="IB75">
        <f t="shared" si="1042"/>
        <v>1</v>
      </c>
      <c r="IC75">
        <f t="shared" si="1042"/>
        <v>1</v>
      </c>
      <c r="ID75">
        <f t="shared" si="1042"/>
        <v>1</v>
      </c>
      <c r="IE75">
        <f t="shared" si="1042"/>
        <v>1</v>
      </c>
      <c r="IF75">
        <f t="shared" si="1042"/>
        <v>1</v>
      </c>
      <c r="IG75">
        <f t="shared" si="1042"/>
        <v>1</v>
      </c>
      <c r="IH75">
        <f t="shared" si="1042"/>
        <v>1</v>
      </c>
      <c r="II75">
        <f t="shared" si="1042"/>
        <v>1</v>
      </c>
      <c r="IJ75">
        <f t="shared" si="1042"/>
        <v>1</v>
      </c>
      <c r="IK75">
        <f t="shared" si="1042"/>
        <v>1</v>
      </c>
      <c r="IL75">
        <f t="shared" si="1042"/>
        <v>1</v>
      </c>
      <c r="IM75">
        <f t="shared" si="1042"/>
        <v>1</v>
      </c>
      <c r="IN75">
        <f t="shared" si="1042"/>
        <v>1</v>
      </c>
      <c r="IO75">
        <f t="shared" si="1042"/>
        <v>1</v>
      </c>
      <c r="IP75">
        <f t="shared" si="1042"/>
        <v>1</v>
      </c>
      <c r="IQ75">
        <f t="shared" si="1042"/>
        <v>1</v>
      </c>
      <c r="IR75">
        <f t="shared" si="1042"/>
        <v>1</v>
      </c>
      <c r="IS75">
        <f t="shared" si="1042"/>
        <v>1</v>
      </c>
      <c r="IT75">
        <f t="shared" si="1042"/>
        <v>1</v>
      </c>
      <c r="IU75">
        <f t="shared" si="1042"/>
        <v>1</v>
      </c>
      <c r="IV75">
        <f t="shared" si="1042"/>
        <v>1</v>
      </c>
    </row>
    <row r="76" spans="1:256" x14ac:dyDescent="0.2">
      <c r="A76" t="s">
        <v>547</v>
      </c>
      <c r="B76">
        <f>MIN(1,B42)</f>
        <v>1</v>
      </c>
      <c r="C76">
        <f>MIN(1,C42)</f>
        <v>1</v>
      </c>
      <c r="D76">
        <f t="shared" ref="D76:BO76" si="1043">MIN(1,D42)</f>
        <v>1</v>
      </c>
      <c r="E76">
        <f t="shared" si="1043"/>
        <v>1</v>
      </c>
      <c r="F76">
        <f t="shared" si="1043"/>
        <v>1</v>
      </c>
      <c r="G76">
        <f t="shared" si="1043"/>
        <v>1</v>
      </c>
      <c r="H76">
        <f t="shared" si="1043"/>
        <v>1</v>
      </c>
      <c r="I76">
        <f t="shared" si="1043"/>
        <v>1</v>
      </c>
      <c r="J76">
        <f t="shared" si="1043"/>
        <v>0.10839896572620158</v>
      </c>
      <c r="K76">
        <f t="shared" si="1043"/>
        <v>0.10839896572620158</v>
      </c>
      <c r="L76">
        <f t="shared" si="1043"/>
        <v>0.10839896572620158</v>
      </c>
      <c r="M76">
        <f t="shared" si="1043"/>
        <v>0.10839896572620158</v>
      </c>
      <c r="N76">
        <f t="shared" si="1043"/>
        <v>0.10839896572620158</v>
      </c>
      <c r="O76">
        <f t="shared" si="1043"/>
        <v>0.10839896572620158</v>
      </c>
      <c r="P76">
        <f t="shared" si="1043"/>
        <v>0.10839896572620158</v>
      </c>
      <c r="Q76">
        <f t="shared" si="1043"/>
        <v>0.10839896572620158</v>
      </c>
      <c r="R76">
        <f t="shared" si="1043"/>
        <v>0.15286912015913298</v>
      </c>
      <c r="S76">
        <f t="shared" si="1043"/>
        <v>0.15286912015913298</v>
      </c>
      <c r="T76">
        <f t="shared" si="1043"/>
        <v>0.15286912015913298</v>
      </c>
      <c r="U76">
        <f t="shared" si="1043"/>
        <v>0.15286912015913298</v>
      </c>
      <c r="V76">
        <f t="shared" si="1043"/>
        <v>0.15286912015913298</v>
      </c>
      <c r="W76">
        <f t="shared" si="1043"/>
        <v>0.15286912015913298</v>
      </c>
      <c r="X76">
        <f t="shared" si="1043"/>
        <v>0.15286912015913298</v>
      </c>
      <c r="Y76">
        <f t="shared" si="1043"/>
        <v>0.15286912015913298</v>
      </c>
      <c r="Z76">
        <f t="shared" si="1043"/>
        <v>0.30573824031826596</v>
      </c>
      <c r="AA76">
        <f t="shared" si="1043"/>
        <v>0.30573824031826596</v>
      </c>
      <c r="AB76">
        <f t="shared" si="1043"/>
        <v>0.30573824031826596</v>
      </c>
      <c r="AC76">
        <f t="shared" si="1043"/>
        <v>0.30573824031826596</v>
      </c>
      <c r="AD76">
        <f t="shared" si="1043"/>
        <v>0.30573824031826596</v>
      </c>
      <c r="AE76">
        <f t="shared" si="1043"/>
        <v>0.30573824031826596</v>
      </c>
      <c r="AF76">
        <f t="shared" si="1043"/>
        <v>0.30573824031826596</v>
      </c>
      <c r="AG76">
        <f t="shared" si="1043"/>
        <v>0.30573824031826596</v>
      </c>
      <c r="AH76">
        <f t="shared" si="1043"/>
        <v>0.7371634674072266</v>
      </c>
      <c r="AI76">
        <f t="shared" si="1043"/>
        <v>0.7371634674072266</v>
      </c>
      <c r="AJ76">
        <f t="shared" si="1043"/>
        <v>0.7371634674072266</v>
      </c>
      <c r="AK76">
        <f t="shared" si="1043"/>
        <v>0.7371634674072266</v>
      </c>
      <c r="AL76">
        <f t="shared" si="1043"/>
        <v>0.7371634674072266</v>
      </c>
      <c r="AM76">
        <f t="shared" si="1043"/>
        <v>0.7371634674072266</v>
      </c>
      <c r="AN76">
        <f t="shared" si="1043"/>
        <v>0.7371634674072266</v>
      </c>
      <c r="AO76">
        <f t="shared" si="1043"/>
        <v>0.7371634674072266</v>
      </c>
      <c r="AP76">
        <f t="shared" si="1043"/>
        <v>0.87097925120585951</v>
      </c>
      <c r="AQ76">
        <f t="shared" si="1043"/>
        <v>0.87097925120585951</v>
      </c>
      <c r="AR76">
        <f t="shared" si="1043"/>
        <v>0.87097925120585951</v>
      </c>
      <c r="AS76">
        <f t="shared" si="1043"/>
        <v>0.87097925120585951</v>
      </c>
      <c r="AT76">
        <f t="shared" si="1043"/>
        <v>0.87097925120585951</v>
      </c>
      <c r="AU76">
        <f t="shared" si="1043"/>
        <v>0.87097925120585951</v>
      </c>
      <c r="AV76">
        <f t="shared" si="1043"/>
        <v>0.87097925120585951</v>
      </c>
      <c r="AW76">
        <f t="shared" si="1043"/>
        <v>0.87097925120585951</v>
      </c>
      <c r="AX76">
        <f t="shared" si="1043"/>
        <v>0.9999999341057908</v>
      </c>
      <c r="AY76">
        <f t="shared" si="1043"/>
        <v>0.9999999341057908</v>
      </c>
      <c r="AZ76">
        <f t="shared" si="1043"/>
        <v>0.9999999341057908</v>
      </c>
      <c r="BA76">
        <f t="shared" si="1043"/>
        <v>0.9999999341057908</v>
      </c>
      <c r="BB76">
        <f t="shared" si="1043"/>
        <v>0.9999999341057908</v>
      </c>
      <c r="BC76">
        <f t="shared" si="1043"/>
        <v>0.9999999341057908</v>
      </c>
      <c r="BD76">
        <f t="shared" si="1043"/>
        <v>0.9999999341057908</v>
      </c>
      <c r="BE76">
        <f t="shared" si="1043"/>
        <v>0.9999999341057908</v>
      </c>
      <c r="BF76">
        <f t="shared" si="1043"/>
        <v>0.9999999341057908</v>
      </c>
      <c r="BG76">
        <f t="shared" si="1043"/>
        <v>0.9999999341057908</v>
      </c>
      <c r="BH76">
        <f t="shared" si="1043"/>
        <v>0.9999999341057908</v>
      </c>
      <c r="BI76">
        <f t="shared" si="1043"/>
        <v>0.9999999341057908</v>
      </c>
      <c r="BJ76">
        <f t="shared" si="1043"/>
        <v>0.9999999341057908</v>
      </c>
      <c r="BK76">
        <f t="shared" si="1043"/>
        <v>0.9999999341057908</v>
      </c>
      <c r="BL76">
        <f t="shared" si="1043"/>
        <v>0.9999999341057908</v>
      </c>
      <c r="BM76">
        <f t="shared" si="1043"/>
        <v>0.9999999341057908</v>
      </c>
      <c r="BN76">
        <f t="shared" si="1043"/>
        <v>0.9999999341057908</v>
      </c>
      <c r="BO76">
        <f t="shared" si="1043"/>
        <v>0.9999999341057908</v>
      </c>
      <c r="BP76">
        <f t="shared" ref="BP76:EA76" si="1044">MIN(1,BP42)</f>
        <v>0.9999999341057908</v>
      </c>
      <c r="BQ76">
        <f t="shared" si="1044"/>
        <v>0.9999999341057908</v>
      </c>
      <c r="BR76">
        <f t="shared" si="1044"/>
        <v>0.9999999341057908</v>
      </c>
      <c r="BS76">
        <f t="shared" si="1044"/>
        <v>0.9999999341057908</v>
      </c>
      <c r="BT76">
        <f t="shared" si="1044"/>
        <v>0.9999999341057908</v>
      </c>
      <c r="BU76">
        <f t="shared" si="1044"/>
        <v>0.9999999341057908</v>
      </c>
      <c r="BV76">
        <f t="shared" si="1044"/>
        <v>0.9999999341057908</v>
      </c>
      <c r="BW76">
        <f t="shared" si="1044"/>
        <v>0.9999999341057908</v>
      </c>
      <c r="BX76">
        <f t="shared" si="1044"/>
        <v>0.9999999341057908</v>
      </c>
      <c r="BY76">
        <f t="shared" si="1044"/>
        <v>0.9999999341057908</v>
      </c>
      <c r="BZ76">
        <f t="shared" si="1044"/>
        <v>0.9999999341057908</v>
      </c>
      <c r="CA76">
        <f t="shared" si="1044"/>
        <v>0.9999999341057908</v>
      </c>
      <c r="CB76">
        <f t="shared" si="1044"/>
        <v>0.9999999341057908</v>
      </c>
      <c r="CC76">
        <f t="shared" si="1044"/>
        <v>0.9999999341057908</v>
      </c>
      <c r="CD76">
        <f t="shared" si="1044"/>
        <v>0.9999999341057908</v>
      </c>
      <c r="CE76">
        <f t="shared" si="1044"/>
        <v>0.9999999341057908</v>
      </c>
      <c r="CF76">
        <f t="shared" si="1044"/>
        <v>0.9999999341057908</v>
      </c>
      <c r="CG76">
        <f t="shared" si="1044"/>
        <v>0.9999999341057908</v>
      </c>
      <c r="CH76">
        <f t="shared" si="1044"/>
        <v>0.9999999341057908</v>
      </c>
      <c r="CI76">
        <f t="shared" si="1044"/>
        <v>0.9999999341057908</v>
      </c>
      <c r="CJ76">
        <f t="shared" si="1044"/>
        <v>0.9999999341057908</v>
      </c>
      <c r="CK76">
        <f t="shared" si="1044"/>
        <v>0.9999999341057908</v>
      </c>
      <c r="CL76">
        <f t="shared" si="1044"/>
        <v>0.9999999341057908</v>
      </c>
      <c r="CM76">
        <f t="shared" si="1044"/>
        <v>0.9999999341057908</v>
      </c>
      <c r="CN76">
        <f t="shared" si="1044"/>
        <v>0.9999999341057908</v>
      </c>
      <c r="CO76">
        <f t="shared" si="1044"/>
        <v>0.9999999341057908</v>
      </c>
      <c r="CP76">
        <f t="shared" si="1044"/>
        <v>0.9999999341057908</v>
      </c>
      <c r="CQ76">
        <f t="shared" si="1044"/>
        <v>0.9999999341057908</v>
      </c>
      <c r="CR76">
        <f t="shared" si="1044"/>
        <v>0.9999999341057908</v>
      </c>
      <c r="CS76">
        <f t="shared" si="1044"/>
        <v>0.9999999341057908</v>
      </c>
      <c r="CT76">
        <f t="shared" si="1044"/>
        <v>0.9999999341057908</v>
      </c>
      <c r="CU76">
        <f t="shared" si="1044"/>
        <v>0.9999999341057908</v>
      </c>
      <c r="CV76">
        <f t="shared" si="1044"/>
        <v>0.9999999341057908</v>
      </c>
      <c r="CW76">
        <f t="shared" si="1044"/>
        <v>0.9999999341057908</v>
      </c>
      <c r="CX76">
        <f t="shared" si="1044"/>
        <v>0.9999999341057908</v>
      </c>
      <c r="CY76">
        <f t="shared" si="1044"/>
        <v>0.9999999341057908</v>
      </c>
      <c r="CZ76">
        <f t="shared" si="1044"/>
        <v>0.9999999341057908</v>
      </c>
      <c r="DA76">
        <f t="shared" si="1044"/>
        <v>0.9999999341057908</v>
      </c>
      <c r="DB76">
        <f t="shared" si="1044"/>
        <v>0.9999999341057908</v>
      </c>
      <c r="DC76">
        <f t="shared" si="1044"/>
        <v>0.9999999341057908</v>
      </c>
      <c r="DD76">
        <f t="shared" si="1044"/>
        <v>0.9999999341057908</v>
      </c>
      <c r="DE76">
        <f t="shared" si="1044"/>
        <v>0.9999999341057908</v>
      </c>
      <c r="DF76">
        <f t="shared" si="1044"/>
        <v>0.9999999341057908</v>
      </c>
      <c r="DG76">
        <f t="shared" si="1044"/>
        <v>0.9999999341057908</v>
      </c>
      <c r="DH76">
        <f t="shared" si="1044"/>
        <v>0.9999999341057908</v>
      </c>
      <c r="DI76">
        <f t="shared" si="1044"/>
        <v>0.9999999341057908</v>
      </c>
      <c r="DJ76">
        <f t="shared" si="1044"/>
        <v>0.9999999341057908</v>
      </c>
      <c r="DK76">
        <f t="shared" si="1044"/>
        <v>0.9999999341057908</v>
      </c>
      <c r="DL76">
        <f t="shared" si="1044"/>
        <v>0.9999999341057908</v>
      </c>
      <c r="DM76">
        <f t="shared" si="1044"/>
        <v>0.9999999341057908</v>
      </c>
      <c r="DN76">
        <f t="shared" si="1044"/>
        <v>0.9999999341057908</v>
      </c>
      <c r="DO76">
        <f t="shared" si="1044"/>
        <v>0.9999999341057908</v>
      </c>
      <c r="DP76">
        <f t="shared" si="1044"/>
        <v>0.9999999341057908</v>
      </c>
      <c r="DQ76">
        <f t="shared" si="1044"/>
        <v>0.9999999341057908</v>
      </c>
      <c r="DR76">
        <f t="shared" si="1044"/>
        <v>0.9999999341057908</v>
      </c>
      <c r="DS76">
        <f t="shared" si="1044"/>
        <v>0.9999999341057908</v>
      </c>
      <c r="DT76">
        <f t="shared" si="1044"/>
        <v>0.9999999341057908</v>
      </c>
      <c r="DU76">
        <f t="shared" si="1044"/>
        <v>0.9999999341057908</v>
      </c>
      <c r="DV76">
        <f t="shared" si="1044"/>
        <v>0.9999999341057908</v>
      </c>
      <c r="DW76">
        <f t="shared" si="1044"/>
        <v>0.9999999341057908</v>
      </c>
      <c r="DX76">
        <f t="shared" si="1044"/>
        <v>0.9999999341057908</v>
      </c>
      <c r="DY76">
        <f t="shared" si="1044"/>
        <v>0.9999999341057908</v>
      </c>
      <c r="DZ76">
        <f t="shared" si="1044"/>
        <v>0.9999999341057908</v>
      </c>
      <c r="EA76">
        <f t="shared" si="1044"/>
        <v>0.9999999341057908</v>
      </c>
      <c r="EB76">
        <f t="shared" ref="EB76:GM76" si="1045">MIN(1,EB42)</f>
        <v>0.9999999341057908</v>
      </c>
      <c r="EC76">
        <f t="shared" si="1045"/>
        <v>0.9999999341057908</v>
      </c>
      <c r="ED76">
        <f t="shared" si="1045"/>
        <v>0.9999999341057908</v>
      </c>
      <c r="EE76">
        <f t="shared" si="1045"/>
        <v>0.9999999341057908</v>
      </c>
      <c r="EF76">
        <f t="shared" si="1045"/>
        <v>0.9999999341057908</v>
      </c>
      <c r="EG76">
        <f t="shared" si="1045"/>
        <v>0.9999999341057908</v>
      </c>
      <c r="EH76">
        <f t="shared" si="1045"/>
        <v>0.9999999341057908</v>
      </c>
      <c r="EI76">
        <f t="shared" si="1045"/>
        <v>0.9999999341057908</v>
      </c>
      <c r="EJ76">
        <f t="shared" si="1045"/>
        <v>0.9999999341057908</v>
      </c>
      <c r="EK76">
        <f t="shared" si="1045"/>
        <v>0.9999999341057908</v>
      </c>
      <c r="EL76">
        <f t="shared" si="1045"/>
        <v>0.9999999341057908</v>
      </c>
      <c r="EM76">
        <f t="shared" si="1045"/>
        <v>0.9999999341057908</v>
      </c>
      <c r="EN76">
        <f t="shared" si="1045"/>
        <v>0.9999999341057908</v>
      </c>
      <c r="EO76">
        <f t="shared" si="1045"/>
        <v>0.9999999341057908</v>
      </c>
      <c r="EP76">
        <f t="shared" si="1045"/>
        <v>0.9999999341057908</v>
      </c>
      <c r="EQ76">
        <f t="shared" si="1045"/>
        <v>0.9999999341057908</v>
      </c>
      <c r="ER76">
        <f t="shared" si="1045"/>
        <v>0.9999999341057908</v>
      </c>
      <c r="ES76">
        <f t="shared" si="1045"/>
        <v>0.9999999341057908</v>
      </c>
      <c r="ET76">
        <f t="shared" si="1045"/>
        <v>0.9999999341057908</v>
      </c>
      <c r="EU76">
        <f t="shared" si="1045"/>
        <v>0.9999999341057908</v>
      </c>
      <c r="EV76">
        <f t="shared" si="1045"/>
        <v>0.9999999341057908</v>
      </c>
      <c r="EW76">
        <f t="shared" si="1045"/>
        <v>0.9999999341057908</v>
      </c>
      <c r="EX76">
        <f t="shared" si="1045"/>
        <v>0.9999999341057908</v>
      </c>
      <c r="EY76">
        <f t="shared" si="1045"/>
        <v>0.9999999341057908</v>
      </c>
      <c r="EZ76">
        <f t="shared" si="1045"/>
        <v>0.9999999341057908</v>
      </c>
      <c r="FA76">
        <f t="shared" si="1045"/>
        <v>0.9999999341057908</v>
      </c>
      <c r="FB76">
        <f t="shared" si="1045"/>
        <v>0.9999999341057908</v>
      </c>
      <c r="FC76">
        <f t="shared" si="1045"/>
        <v>0.9999999341057908</v>
      </c>
      <c r="FD76">
        <f t="shared" si="1045"/>
        <v>0.9999999341057908</v>
      </c>
      <c r="FE76">
        <f t="shared" si="1045"/>
        <v>0.9999999341057908</v>
      </c>
      <c r="FF76">
        <f t="shared" si="1045"/>
        <v>0.9999999341057908</v>
      </c>
      <c r="FG76">
        <f t="shared" si="1045"/>
        <v>0.9999999341057908</v>
      </c>
      <c r="FH76">
        <f t="shared" si="1045"/>
        <v>0.9999999341057908</v>
      </c>
      <c r="FI76">
        <f t="shared" si="1045"/>
        <v>0.9999999341057908</v>
      </c>
      <c r="FJ76">
        <f t="shared" si="1045"/>
        <v>0.9999999341057908</v>
      </c>
      <c r="FK76">
        <f t="shared" si="1045"/>
        <v>0.9999999341057908</v>
      </c>
      <c r="FL76">
        <f t="shared" si="1045"/>
        <v>0.9999999341057908</v>
      </c>
      <c r="FM76">
        <f t="shared" si="1045"/>
        <v>0.9999999341057908</v>
      </c>
      <c r="FN76">
        <f t="shared" si="1045"/>
        <v>0.9999999341057908</v>
      </c>
      <c r="FO76">
        <f t="shared" si="1045"/>
        <v>0.9999999341057908</v>
      </c>
      <c r="FP76">
        <f t="shared" si="1045"/>
        <v>0.9999999341057908</v>
      </c>
      <c r="FQ76">
        <f t="shared" si="1045"/>
        <v>0.9999999341057908</v>
      </c>
      <c r="FR76">
        <f t="shared" si="1045"/>
        <v>0.9999999341057908</v>
      </c>
      <c r="FS76">
        <f t="shared" si="1045"/>
        <v>0.9999999341057908</v>
      </c>
      <c r="FT76">
        <f t="shared" si="1045"/>
        <v>0.9999999341057908</v>
      </c>
      <c r="FU76">
        <f t="shared" si="1045"/>
        <v>0.9999999341057908</v>
      </c>
      <c r="FV76">
        <f t="shared" si="1045"/>
        <v>0.9999999341057908</v>
      </c>
      <c r="FW76">
        <f t="shared" si="1045"/>
        <v>0.9999999341057908</v>
      </c>
      <c r="FX76">
        <f t="shared" si="1045"/>
        <v>0.9999999341057908</v>
      </c>
      <c r="FY76">
        <f t="shared" si="1045"/>
        <v>0.9999999341057908</v>
      </c>
      <c r="FZ76">
        <f t="shared" si="1045"/>
        <v>0.9999999341057908</v>
      </c>
      <c r="GA76">
        <f t="shared" si="1045"/>
        <v>0.9999999341057908</v>
      </c>
      <c r="GB76">
        <f t="shared" si="1045"/>
        <v>0.9999999341057908</v>
      </c>
      <c r="GC76">
        <f t="shared" si="1045"/>
        <v>0.9999999341057908</v>
      </c>
      <c r="GD76">
        <f t="shared" si="1045"/>
        <v>0.9999999341057908</v>
      </c>
      <c r="GE76">
        <f t="shared" si="1045"/>
        <v>0.9999999341057908</v>
      </c>
      <c r="GF76">
        <f t="shared" si="1045"/>
        <v>0.9999999341057908</v>
      </c>
      <c r="GG76">
        <f t="shared" si="1045"/>
        <v>0.9999999341057908</v>
      </c>
      <c r="GH76">
        <f t="shared" si="1045"/>
        <v>0.9999999341057908</v>
      </c>
      <c r="GI76">
        <f t="shared" si="1045"/>
        <v>0.9999999341057908</v>
      </c>
      <c r="GJ76">
        <f t="shared" si="1045"/>
        <v>0.9999999341057908</v>
      </c>
      <c r="GK76">
        <f t="shared" si="1045"/>
        <v>0.9999999341057908</v>
      </c>
      <c r="GL76">
        <f t="shared" si="1045"/>
        <v>0.9999999341057908</v>
      </c>
      <c r="GM76">
        <f t="shared" si="1045"/>
        <v>0.9999999341057908</v>
      </c>
      <c r="GN76">
        <f t="shared" ref="GN76:IV76" si="1046">MIN(1,GN42)</f>
        <v>0.9999999341057908</v>
      </c>
      <c r="GO76">
        <f t="shared" si="1046"/>
        <v>0.9999999341057908</v>
      </c>
      <c r="GP76">
        <f t="shared" si="1046"/>
        <v>0.9999999341057908</v>
      </c>
      <c r="GQ76">
        <f t="shared" si="1046"/>
        <v>0.9999999341057908</v>
      </c>
      <c r="GR76">
        <f t="shared" si="1046"/>
        <v>0.9999999341057908</v>
      </c>
      <c r="GS76">
        <f t="shared" si="1046"/>
        <v>0.9999999341057908</v>
      </c>
      <c r="GT76">
        <f t="shared" si="1046"/>
        <v>0.9999999341057908</v>
      </c>
      <c r="GU76">
        <f t="shared" si="1046"/>
        <v>0.9999999341057908</v>
      </c>
      <c r="GV76">
        <f t="shared" si="1046"/>
        <v>0.9999999341057908</v>
      </c>
      <c r="GW76">
        <f t="shared" si="1046"/>
        <v>0.9999999341057908</v>
      </c>
      <c r="GX76">
        <f t="shared" si="1046"/>
        <v>0.9999999341057908</v>
      </c>
      <c r="GY76">
        <f t="shared" si="1046"/>
        <v>0.9999999341057908</v>
      </c>
      <c r="GZ76">
        <f t="shared" si="1046"/>
        <v>0.9999999341057908</v>
      </c>
      <c r="HA76">
        <f t="shared" si="1046"/>
        <v>0.9999999341057908</v>
      </c>
      <c r="HB76">
        <f t="shared" si="1046"/>
        <v>0.9999999341057908</v>
      </c>
      <c r="HC76">
        <f t="shared" si="1046"/>
        <v>0.9999999341057908</v>
      </c>
      <c r="HD76">
        <f t="shared" si="1046"/>
        <v>0.9999999341057908</v>
      </c>
      <c r="HE76">
        <f t="shared" si="1046"/>
        <v>0.9999999341057908</v>
      </c>
      <c r="HF76">
        <f t="shared" si="1046"/>
        <v>0.9999999341057908</v>
      </c>
      <c r="HG76">
        <f t="shared" si="1046"/>
        <v>0.9999999341057908</v>
      </c>
      <c r="HH76">
        <f t="shared" si="1046"/>
        <v>0.9999999341057908</v>
      </c>
      <c r="HI76">
        <f t="shared" si="1046"/>
        <v>0.9999999341057908</v>
      </c>
      <c r="HJ76">
        <f t="shared" si="1046"/>
        <v>0.9999999341057908</v>
      </c>
      <c r="HK76">
        <f t="shared" si="1046"/>
        <v>0.9999999341057908</v>
      </c>
      <c r="HL76">
        <f t="shared" si="1046"/>
        <v>0.9999999341057908</v>
      </c>
      <c r="HM76">
        <f t="shared" si="1046"/>
        <v>0.9999999341057908</v>
      </c>
      <c r="HN76">
        <f t="shared" si="1046"/>
        <v>0.9999999341057908</v>
      </c>
      <c r="HO76">
        <f t="shared" si="1046"/>
        <v>0.9999999341057908</v>
      </c>
      <c r="HP76">
        <f t="shared" si="1046"/>
        <v>0.9999999341057908</v>
      </c>
      <c r="HQ76">
        <f t="shared" si="1046"/>
        <v>0.9999999341057908</v>
      </c>
      <c r="HR76">
        <f t="shared" si="1046"/>
        <v>0.9999999341057908</v>
      </c>
      <c r="HS76">
        <f t="shared" si="1046"/>
        <v>0.9999999341057908</v>
      </c>
      <c r="HT76">
        <f t="shared" si="1046"/>
        <v>0.9999999341057908</v>
      </c>
      <c r="HU76">
        <f t="shared" si="1046"/>
        <v>0.9999999341057908</v>
      </c>
      <c r="HV76">
        <f t="shared" si="1046"/>
        <v>0.9999999341057908</v>
      </c>
      <c r="HW76">
        <f t="shared" si="1046"/>
        <v>0.9999999341057908</v>
      </c>
      <c r="HX76">
        <f t="shared" si="1046"/>
        <v>0.9999999341057908</v>
      </c>
      <c r="HY76">
        <f t="shared" si="1046"/>
        <v>0.9999999341057908</v>
      </c>
      <c r="HZ76">
        <f t="shared" si="1046"/>
        <v>0.9999999341057908</v>
      </c>
      <c r="IA76">
        <f t="shared" si="1046"/>
        <v>0.9999999341057908</v>
      </c>
      <c r="IB76">
        <f t="shared" si="1046"/>
        <v>0.9999999341057908</v>
      </c>
      <c r="IC76">
        <f t="shared" si="1046"/>
        <v>0.9999999341057908</v>
      </c>
      <c r="ID76">
        <f t="shared" si="1046"/>
        <v>0.9999999341057908</v>
      </c>
      <c r="IE76">
        <f t="shared" si="1046"/>
        <v>0.9999999341057908</v>
      </c>
      <c r="IF76">
        <f t="shared" si="1046"/>
        <v>0.9999999341057908</v>
      </c>
      <c r="IG76">
        <f t="shared" si="1046"/>
        <v>0.9999999341057908</v>
      </c>
      <c r="IH76">
        <f t="shared" si="1046"/>
        <v>0.9999999341057908</v>
      </c>
      <c r="II76">
        <f t="shared" si="1046"/>
        <v>0.9999999341057908</v>
      </c>
      <c r="IJ76">
        <f t="shared" si="1046"/>
        <v>0.9999999341057908</v>
      </c>
      <c r="IK76">
        <f t="shared" si="1046"/>
        <v>0.9999999341057908</v>
      </c>
      <c r="IL76">
        <f t="shared" si="1046"/>
        <v>0.9999999341057908</v>
      </c>
      <c r="IM76">
        <f t="shared" si="1046"/>
        <v>0.9999999341057908</v>
      </c>
      <c r="IN76">
        <f t="shared" si="1046"/>
        <v>0.9999999341057908</v>
      </c>
      <c r="IO76">
        <f t="shared" si="1046"/>
        <v>0.9999999341057908</v>
      </c>
      <c r="IP76">
        <f t="shared" si="1046"/>
        <v>0.9999999341057908</v>
      </c>
      <c r="IQ76">
        <f t="shared" si="1046"/>
        <v>0.9999999341057908</v>
      </c>
      <c r="IR76">
        <f t="shared" si="1046"/>
        <v>0.9999999341057908</v>
      </c>
      <c r="IS76">
        <f t="shared" si="1046"/>
        <v>0.9999999341057908</v>
      </c>
      <c r="IT76">
        <f t="shared" si="1046"/>
        <v>0.9999999341057908</v>
      </c>
      <c r="IU76">
        <f t="shared" si="1046"/>
        <v>0.9999999341057908</v>
      </c>
      <c r="IV76">
        <f t="shared" si="1046"/>
        <v>0.9999999341057908</v>
      </c>
    </row>
    <row r="77" spans="1:256" x14ac:dyDescent="0.2">
      <c r="A77" t="s">
        <v>548</v>
      </c>
      <c r="B77">
        <f>MIN(1,B43)</f>
        <v>0.10000000000000003</v>
      </c>
      <c r="C77">
        <f>MIN(1,C43)</f>
        <v>0.10000000000000003</v>
      </c>
      <c r="D77">
        <f t="shared" ref="D77:BO77" si="1047">MIN(1,D43)</f>
        <v>0.10000000000000003</v>
      </c>
      <c r="E77">
        <f t="shared" si="1047"/>
        <v>0.10000000000000003</v>
      </c>
      <c r="F77">
        <f t="shared" si="1047"/>
        <v>0.10000000000000003</v>
      </c>
      <c r="G77">
        <f t="shared" si="1047"/>
        <v>0.10000000000000003</v>
      </c>
      <c r="H77">
        <f t="shared" si="1047"/>
        <v>0.10000000000000003</v>
      </c>
      <c r="I77">
        <f t="shared" si="1047"/>
        <v>0.10000000000000003</v>
      </c>
      <c r="J77">
        <f t="shared" si="1047"/>
        <v>0.2</v>
      </c>
      <c r="K77">
        <f t="shared" si="1047"/>
        <v>0.2</v>
      </c>
      <c r="L77">
        <f t="shared" si="1047"/>
        <v>0.2</v>
      </c>
      <c r="M77">
        <f t="shared" si="1047"/>
        <v>0.2</v>
      </c>
      <c r="N77">
        <f t="shared" si="1047"/>
        <v>0.2</v>
      </c>
      <c r="O77">
        <f t="shared" si="1047"/>
        <v>0.2</v>
      </c>
      <c r="P77">
        <f t="shared" si="1047"/>
        <v>0.2</v>
      </c>
      <c r="Q77">
        <f t="shared" si="1047"/>
        <v>0.2</v>
      </c>
      <c r="R77">
        <f t="shared" si="1047"/>
        <v>0.39999999999999997</v>
      </c>
      <c r="S77">
        <f t="shared" si="1047"/>
        <v>0.39999999999999997</v>
      </c>
      <c r="T77">
        <f t="shared" si="1047"/>
        <v>0.39999999999999997</v>
      </c>
      <c r="U77">
        <f t="shared" si="1047"/>
        <v>0.39999999999999997</v>
      </c>
      <c r="V77">
        <f t="shared" si="1047"/>
        <v>0.39999999999999997</v>
      </c>
      <c r="W77">
        <f t="shared" si="1047"/>
        <v>0.39999999999999997</v>
      </c>
      <c r="X77">
        <f t="shared" si="1047"/>
        <v>0.39999999999999997</v>
      </c>
      <c r="Y77">
        <f t="shared" si="1047"/>
        <v>0.39999999999999997</v>
      </c>
      <c r="Z77">
        <f t="shared" si="1047"/>
        <v>0.3164976873931683</v>
      </c>
      <c r="AA77">
        <f t="shared" si="1047"/>
        <v>0.3164976873931683</v>
      </c>
      <c r="AB77">
        <f t="shared" si="1047"/>
        <v>0.3164976873931683</v>
      </c>
      <c r="AC77">
        <f t="shared" si="1047"/>
        <v>0.3164976873931683</v>
      </c>
      <c r="AD77">
        <f t="shared" si="1047"/>
        <v>0.3164976873931683</v>
      </c>
      <c r="AE77">
        <f t="shared" si="1047"/>
        <v>0.3164976873931683</v>
      </c>
      <c r="AF77">
        <f t="shared" si="1047"/>
        <v>0.3164976873931683</v>
      </c>
      <c r="AG77">
        <f t="shared" si="1047"/>
        <v>0.3164976873931683</v>
      </c>
      <c r="AH77">
        <f t="shared" si="1047"/>
        <v>0.53973793029785155</v>
      </c>
      <c r="AI77">
        <f t="shared" si="1047"/>
        <v>0.53973793029785155</v>
      </c>
      <c r="AJ77">
        <f t="shared" si="1047"/>
        <v>0.53973793029785155</v>
      </c>
      <c r="AK77">
        <f t="shared" si="1047"/>
        <v>0.53973793029785155</v>
      </c>
      <c r="AL77">
        <f t="shared" si="1047"/>
        <v>0.53973793029785155</v>
      </c>
      <c r="AM77">
        <f t="shared" si="1047"/>
        <v>0.53973793029785155</v>
      </c>
      <c r="AN77">
        <f t="shared" si="1047"/>
        <v>0.53973793029785155</v>
      </c>
      <c r="AO77">
        <f t="shared" si="1047"/>
        <v>0.53973793029785155</v>
      </c>
      <c r="AP77">
        <f t="shared" si="1047"/>
        <v>0.1</v>
      </c>
      <c r="AQ77">
        <f t="shared" si="1047"/>
        <v>0.1</v>
      </c>
      <c r="AR77">
        <f t="shared" si="1047"/>
        <v>0.1</v>
      </c>
      <c r="AS77">
        <f t="shared" si="1047"/>
        <v>0.1</v>
      </c>
      <c r="AT77">
        <f t="shared" si="1047"/>
        <v>0.1</v>
      </c>
      <c r="AU77">
        <f t="shared" si="1047"/>
        <v>0.1</v>
      </c>
      <c r="AV77">
        <f t="shared" si="1047"/>
        <v>0.1</v>
      </c>
      <c r="AW77">
        <f t="shared" si="1047"/>
        <v>0.1</v>
      </c>
      <c r="AX77">
        <f t="shared" si="1047"/>
        <v>0.1</v>
      </c>
      <c r="AY77">
        <f t="shared" si="1047"/>
        <v>0.1</v>
      </c>
      <c r="AZ77">
        <f t="shared" si="1047"/>
        <v>0.1</v>
      </c>
      <c r="BA77">
        <f t="shared" si="1047"/>
        <v>0.1</v>
      </c>
      <c r="BB77">
        <f t="shared" si="1047"/>
        <v>0.1</v>
      </c>
      <c r="BC77">
        <f t="shared" si="1047"/>
        <v>0.1</v>
      </c>
      <c r="BD77">
        <f t="shared" si="1047"/>
        <v>0.1</v>
      </c>
      <c r="BE77">
        <f t="shared" si="1047"/>
        <v>0.1</v>
      </c>
      <c r="BF77">
        <f t="shared" si="1047"/>
        <v>0.1</v>
      </c>
      <c r="BG77">
        <f t="shared" si="1047"/>
        <v>0.1</v>
      </c>
      <c r="BH77">
        <f t="shared" si="1047"/>
        <v>0.1</v>
      </c>
      <c r="BI77">
        <f t="shared" si="1047"/>
        <v>0.1</v>
      </c>
      <c r="BJ77">
        <f t="shared" si="1047"/>
        <v>0.1</v>
      </c>
      <c r="BK77">
        <f t="shared" si="1047"/>
        <v>0.1</v>
      </c>
      <c r="BL77">
        <f t="shared" si="1047"/>
        <v>0.1</v>
      </c>
      <c r="BM77">
        <f t="shared" si="1047"/>
        <v>0.1</v>
      </c>
      <c r="BN77">
        <f t="shared" si="1047"/>
        <v>0.1</v>
      </c>
      <c r="BO77">
        <f t="shared" si="1047"/>
        <v>0.1</v>
      </c>
      <c r="BP77">
        <f t="shared" ref="BP77:EA77" si="1048">MIN(1,BP43)</f>
        <v>0.1</v>
      </c>
      <c r="BQ77">
        <f t="shared" si="1048"/>
        <v>0.1</v>
      </c>
      <c r="BR77">
        <f t="shared" si="1048"/>
        <v>0.1</v>
      </c>
      <c r="BS77">
        <f t="shared" si="1048"/>
        <v>0.1</v>
      </c>
      <c r="BT77">
        <f t="shared" si="1048"/>
        <v>0.1</v>
      </c>
      <c r="BU77">
        <f t="shared" si="1048"/>
        <v>0.1</v>
      </c>
      <c r="BV77">
        <f t="shared" si="1048"/>
        <v>0.1</v>
      </c>
      <c r="BW77">
        <f t="shared" si="1048"/>
        <v>0.1</v>
      </c>
      <c r="BX77">
        <f t="shared" si="1048"/>
        <v>0.1</v>
      </c>
      <c r="BY77">
        <f t="shared" si="1048"/>
        <v>0.1</v>
      </c>
      <c r="BZ77">
        <f t="shared" si="1048"/>
        <v>0.1</v>
      </c>
      <c r="CA77">
        <f t="shared" si="1048"/>
        <v>0.1</v>
      </c>
      <c r="CB77">
        <f t="shared" si="1048"/>
        <v>0.1</v>
      </c>
      <c r="CC77">
        <f t="shared" si="1048"/>
        <v>0.1</v>
      </c>
      <c r="CD77">
        <f t="shared" si="1048"/>
        <v>0.1</v>
      </c>
      <c r="CE77">
        <f t="shared" si="1048"/>
        <v>0.1</v>
      </c>
      <c r="CF77">
        <f t="shared" si="1048"/>
        <v>0.1</v>
      </c>
      <c r="CG77">
        <f t="shared" si="1048"/>
        <v>0.1</v>
      </c>
      <c r="CH77">
        <f t="shared" si="1048"/>
        <v>0.1</v>
      </c>
      <c r="CI77">
        <f t="shared" si="1048"/>
        <v>0.1</v>
      </c>
      <c r="CJ77">
        <f t="shared" si="1048"/>
        <v>0.1</v>
      </c>
      <c r="CK77">
        <f t="shared" si="1048"/>
        <v>0.1</v>
      </c>
      <c r="CL77">
        <f t="shared" si="1048"/>
        <v>0.1</v>
      </c>
      <c r="CM77">
        <f t="shared" si="1048"/>
        <v>0.1</v>
      </c>
      <c r="CN77">
        <f t="shared" si="1048"/>
        <v>0.1</v>
      </c>
      <c r="CO77">
        <f t="shared" si="1048"/>
        <v>0.1</v>
      </c>
      <c r="CP77">
        <f t="shared" si="1048"/>
        <v>0.1</v>
      </c>
      <c r="CQ77">
        <f t="shared" si="1048"/>
        <v>0.1</v>
      </c>
      <c r="CR77">
        <f t="shared" si="1048"/>
        <v>0.1</v>
      </c>
      <c r="CS77">
        <f t="shared" si="1048"/>
        <v>0.1</v>
      </c>
      <c r="CT77">
        <f t="shared" si="1048"/>
        <v>0.1</v>
      </c>
      <c r="CU77">
        <f t="shared" si="1048"/>
        <v>0.1</v>
      </c>
      <c r="CV77">
        <f t="shared" si="1048"/>
        <v>0.1</v>
      </c>
      <c r="CW77">
        <f t="shared" si="1048"/>
        <v>0.1</v>
      </c>
      <c r="CX77">
        <f t="shared" si="1048"/>
        <v>0.1</v>
      </c>
      <c r="CY77">
        <f t="shared" si="1048"/>
        <v>0.1</v>
      </c>
      <c r="CZ77">
        <f t="shared" si="1048"/>
        <v>0.1</v>
      </c>
      <c r="DA77">
        <f t="shared" si="1048"/>
        <v>0.1</v>
      </c>
      <c r="DB77">
        <f t="shared" si="1048"/>
        <v>0.1</v>
      </c>
      <c r="DC77">
        <f t="shared" si="1048"/>
        <v>0.1</v>
      </c>
      <c r="DD77">
        <f t="shared" si="1048"/>
        <v>0.1</v>
      </c>
      <c r="DE77">
        <f t="shared" si="1048"/>
        <v>0.1</v>
      </c>
      <c r="DF77">
        <f t="shared" si="1048"/>
        <v>0.1</v>
      </c>
      <c r="DG77">
        <f t="shared" si="1048"/>
        <v>0.1</v>
      </c>
      <c r="DH77">
        <f t="shared" si="1048"/>
        <v>0.1</v>
      </c>
      <c r="DI77">
        <f t="shared" si="1048"/>
        <v>0.1</v>
      </c>
      <c r="DJ77">
        <f t="shared" si="1048"/>
        <v>0.1</v>
      </c>
      <c r="DK77">
        <f t="shared" si="1048"/>
        <v>0.1</v>
      </c>
      <c r="DL77">
        <f t="shared" si="1048"/>
        <v>0.1</v>
      </c>
      <c r="DM77">
        <f t="shared" si="1048"/>
        <v>0.1</v>
      </c>
      <c r="DN77">
        <f t="shared" si="1048"/>
        <v>0.1</v>
      </c>
      <c r="DO77">
        <f t="shared" si="1048"/>
        <v>0.1</v>
      </c>
      <c r="DP77">
        <f t="shared" si="1048"/>
        <v>0.1</v>
      </c>
      <c r="DQ77">
        <f t="shared" si="1048"/>
        <v>0.1</v>
      </c>
      <c r="DR77">
        <f t="shared" si="1048"/>
        <v>0.1</v>
      </c>
      <c r="DS77">
        <f t="shared" si="1048"/>
        <v>0.1</v>
      </c>
      <c r="DT77">
        <f t="shared" si="1048"/>
        <v>0.1</v>
      </c>
      <c r="DU77">
        <f t="shared" si="1048"/>
        <v>0.1</v>
      </c>
      <c r="DV77">
        <f t="shared" si="1048"/>
        <v>0.1</v>
      </c>
      <c r="DW77">
        <f t="shared" si="1048"/>
        <v>0.1</v>
      </c>
      <c r="DX77">
        <f t="shared" si="1048"/>
        <v>0.1</v>
      </c>
      <c r="DY77">
        <f t="shared" si="1048"/>
        <v>0.1</v>
      </c>
      <c r="DZ77">
        <f t="shared" si="1048"/>
        <v>0.1</v>
      </c>
      <c r="EA77">
        <f t="shared" si="1048"/>
        <v>0.1</v>
      </c>
      <c r="EB77">
        <f t="shared" ref="EB77:GM77" si="1049">MIN(1,EB43)</f>
        <v>0.1</v>
      </c>
      <c r="EC77">
        <f t="shared" si="1049"/>
        <v>0.1</v>
      </c>
      <c r="ED77">
        <f t="shared" si="1049"/>
        <v>0.1</v>
      </c>
      <c r="EE77">
        <f t="shared" si="1049"/>
        <v>0.1</v>
      </c>
      <c r="EF77">
        <f t="shared" si="1049"/>
        <v>0.1</v>
      </c>
      <c r="EG77">
        <f t="shared" si="1049"/>
        <v>0.1</v>
      </c>
      <c r="EH77">
        <f t="shared" si="1049"/>
        <v>0.1</v>
      </c>
      <c r="EI77">
        <f t="shared" si="1049"/>
        <v>0.1</v>
      </c>
      <c r="EJ77">
        <f t="shared" si="1049"/>
        <v>0.1</v>
      </c>
      <c r="EK77">
        <f t="shared" si="1049"/>
        <v>0.1</v>
      </c>
      <c r="EL77">
        <f t="shared" si="1049"/>
        <v>0.1</v>
      </c>
      <c r="EM77">
        <f t="shared" si="1049"/>
        <v>0.1</v>
      </c>
      <c r="EN77">
        <f t="shared" si="1049"/>
        <v>0.1</v>
      </c>
      <c r="EO77">
        <f t="shared" si="1049"/>
        <v>0.1</v>
      </c>
      <c r="EP77">
        <f t="shared" si="1049"/>
        <v>0.1</v>
      </c>
      <c r="EQ77">
        <f t="shared" si="1049"/>
        <v>0.1</v>
      </c>
      <c r="ER77">
        <f t="shared" si="1049"/>
        <v>0.1</v>
      </c>
      <c r="ES77">
        <f t="shared" si="1049"/>
        <v>0.1</v>
      </c>
      <c r="ET77">
        <f t="shared" si="1049"/>
        <v>0.1</v>
      </c>
      <c r="EU77">
        <f t="shared" si="1049"/>
        <v>0.1</v>
      </c>
      <c r="EV77">
        <f t="shared" si="1049"/>
        <v>0.1</v>
      </c>
      <c r="EW77">
        <f t="shared" si="1049"/>
        <v>0.1</v>
      </c>
      <c r="EX77">
        <f t="shared" si="1049"/>
        <v>0.1</v>
      </c>
      <c r="EY77">
        <f t="shared" si="1049"/>
        <v>0.1</v>
      </c>
      <c r="EZ77">
        <f t="shared" si="1049"/>
        <v>0.1</v>
      </c>
      <c r="FA77">
        <f t="shared" si="1049"/>
        <v>0.1</v>
      </c>
      <c r="FB77">
        <f t="shared" si="1049"/>
        <v>0.1</v>
      </c>
      <c r="FC77">
        <f t="shared" si="1049"/>
        <v>0.1</v>
      </c>
      <c r="FD77">
        <f t="shared" si="1049"/>
        <v>0.1</v>
      </c>
      <c r="FE77">
        <f t="shared" si="1049"/>
        <v>0.1</v>
      </c>
      <c r="FF77">
        <f t="shared" si="1049"/>
        <v>0.1</v>
      </c>
      <c r="FG77">
        <f t="shared" si="1049"/>
        <v>0.1</v>
      </c>
      <c r="FH77">
        <f t="shared" si="1049"/>
        <v>0.1</v>
      </c>
      <c r="FI77">
        <f t="shared" si="1049"/>
        <v>0.1</v>
      </c>
      <c r="FJ77">
        <f t="shared" si="1049"/>
        <v>0.1</v>
      </c>
      <c r="FK77">
        <f t="shared" si="1049"/>
        <v>0.1</v>
      </c>
      <c r="FL77">
        <f t="shared" si="1049"/>
        <v>0.1</v>
      </c>
      <c r="FM77">
        <f t="shared" si="1049"/>
        <v>0.1</v>
      </c>
      <c r="FN77">
        <f t="shared" si="1049"/>
        <v>0.1</v>
      </c>
      <c r="FO77">
        <f t="shared" si="1049"/>
        <v>0.1</v>
      </c>
      <c r="FP77">
        <f t="shared" si="1049"/>
        <v>0.1</v>
      </c>
      <c r="FQ77">
        <f t="shared" si="1049"/>
        <v>0.1</v>
      </c>
      <c r="FR77">
        <f t="shared" si="1049"/>
        <v>0.1</v>
      </c>
      <c r="FS77">
        <f t="shared" si="1049"/>
        <v>0.1</v>
      </c>
      <c r="FT77">
        <f t="shared" si="1049"/>
        <v>0.1</v>
      </c>
      <c r="FU77">
        <f t="shared" si="1049"/>
        <v>0.1</v>
      </c>
      <c r="FV77">
        <f t="shared" si="1049"/>
        <v>0.1</v>
      </c>
      <c r="FW77">
        <f t="shared" si="1049"/>
        <v>0.1</v>
      </c>
      <c r="FX77">
        <f t="shared" si="1049"/>
        <v>0.1</v>
      </c>
      <c r="FY77">
        <f t="shared" si="1049"/>
        <v>0.1</v>
      </c>
      <c r="FZ77">
        <f t="shared" si="1049"/>
        <v>0.1</v>
      </c>
      <c r="GA77">
        <f t="shared" si="1049"/>
        <v>0.1</v>
      </c>
      <c r="GB77">
        <f t="shared" si="1049"/>
        <v>0.1</v>
      </c>
      <c r="GC77">
        <f t="shared" si="1049"/>
        <v>0.1</v>
      </c>
      <c r="GD77">
        <f t="shared" si="1049"/>
        <v>0.1</v>
      </c>
      <c r="GE77">
        <f t="shared" si="1049"/>
        <v>0.1</v>
      </c>
      <c r="GF77">
        <f t="shared" si="1049"/>
        <v>0.1</v>
      </c>
      <c r="GG77">
        <f t="shared" si="1049"/>
        <v>0.1</v>
      </c>
      <c r="GH77">
        <f t="shared" si="1049"/>
        <v>0.1</v>
      </c>
      <c r="GI77">
        <f t="shared" si="1049"/>
        <v>0.1</v>
      </c>
      <c r="GJ77">
        <f t="shared" si="1049"/>
        <v>0.1</v>
      </c>
      <c r="GK77">
        <f t="shared" si="1049"/>
        <v>0.1</v>
      </c>
      <c r="GL77">
        <f t="shared" si="1049"/>
        <v>0.1</v>
      </c>
      <c r="GM77">
        <f t="shared" si="1049"/>
        <v>0.1</v>
      </c>
      <c r="GN77">
        <f t="shared" ref="GN77:IV77" si="1050">MIN(1,GN43)</f>
        <v>0.1</v>
      </c>
      <c r="GO77">
        <f t="shared" si="1050"/>
        <v>0.1</v>
      </c>
      <c r="GP77">
        <f t="shared" si="1050"/>
        <v>0.1</v>
      </c>
      <c r="GQ77">
        <f t="shared" si="1050"/>
        <v>0.1</v>
      </c>
      <c r="GR77">
        <f t="shared" si="1050"/>
        <v>0.1</v>
      </c>
      <c r="GS77">
        <f t="shared" si="1050"/>
        <v>0.1</v>
      </c>
      <c r="GT77">
        <f t="shared" si="1050"/>
        <v>0.1</v>
      </c>
      <c r="GU77">
        <f t="shared" si="1050"/>
        <v>0.1</v>
      </c>
      <c r="GV77">
        <f t="shared" si="1050"/>
        <v>0.1</v>
      </c>
      <c r="GW77">
        <f t="shared" si="1050"/>
        <v>0.1</v>
      </c>
      <c r="GX77">
        <f t="shared" si="1050"/>
        <v>0.1</v>
      </c>
      <c r="GY77">
        <f t="shared" si="1050"/>
        <v>0.1</v>
      </c>
      <c r="GZ77">
        <f t="shared" si="1050"/>
        <v>0.1</v>
      </c>
      <c r="HA77">
        <f t="shared" si="1050"/>
        <v>0.1</v>
      </c>
      <c r="HB77">
        <f t="shared" si="1050"/>
        <v>0.1</v>
      </c>
      <c r="HC77">
        <f t="shared" si="1050"/>
        <v>0.1</v>
      </c>
      <c r="HD77">
        <f t="shared" si="1050"/>
        <v>0.1</v>
      </c>
      <c r="HE77">
        <f t="shared" si="1050"/>
        <v>0.1</v>
      </c>
      <c r="HF77">
        <f t="shared" si="1050"/>
        <v>0.1</v>
      </c>
      <c r="HG77">
        <f t="shared" si="1050"/>
        <v>0.1</v>
      </c>
      <c r="HH77">
        <f t="shared" si="1050"/>
        <v>0.1</v>
      </c>
      <c r="HI77">
        <f t="shared" si="1050"/>
        <v>0.1</v>
      </c>
      <c r="HJ77">
        <f t="shared" si="1050"/>
        <v>0.1</v>
      </c>
      <c r="HK77">
        <f t="shared" si="1050"/>
        <v>0.1</v>
      </c>
      <c r="HL77">
        <f t="shared" si="1050"/>
        <v>0.1</v>
      </c>
      <c r="HM77">
        <f t="shared" si="1050"/>
        <v>0.1</v>
      </c>
      <c r="HN77">
        <f t="shared" si="1050"/>
        <v>0.1</v>
      </c>
      <c r="HO77">
        <f t="shared" si="1050"/>
        <v>0.1</v>
      </c>
      <c r="HP77">
        <f t="shared" si="1050"/>
        <v>0.1</v>
      </c>
      <c r="HQ77">
        <f t="shared" si="1050"/>
        <v>0.1</v>
      </c>
      <c r="HR77">
        <f t="shared" si="1050"/>
        <v>0.1</v>
      </c>
      <c r="HS77">
        <f t="shared" si="1050"/>
        <v>0.1</v>
      </c>
      <c r="HT77">
        <f t="shared" si="1050"/>
        <v>0.1</v>
      </c>
      <c r="HU77">
        <f t="shared" si="1050"/>
        <v>0.1</v>
      </c>
      <c r="HV77">
        <f t="shared" si="1050"/>
        <v>0.1</v>
      </c>
      <c r="HW77">
        <f t="shared" si="1050"/>
        <v>0.1</v>
      </c>
      <c r="HX77">
        <f t="shared" si="1050"/>
        <v>0.1</v>
      </c>
      <c r="HY77">
        <f t="shared" si="1050"/>
        <v>0.1</v>
      </c>
      <c r="HZ77">
        <f t="shared" si="1050"/>
        <v>0.1</v>
      </c>
      <c r="IA77">
        <f t="shared" si="1050"/>
        <v>0.1</v>
      </c>
      <c r="IB77">
        <f t="shared" si="1050"/>
        <v>0.1</v>
      </c>
      <c r="IC77">
        <f t="shared" si="1050"/>
        <v>0.1</v>
      </c>
      <c r="ID77">
        <f t="shared" si="1050"/>
        <v>0.1</v>
      </c>
      <c r="IE77">
        <f t="shared" si="1050"/>
        <v>0.1</v>
      </c>
      <c r="IF77">
        <f t="shared" si="1050"/>
        <v>0.1</v>
      </c>
      <c r="IG77">
        <f t="shared" si="1050"/>
        <v>0.1</v>
      </c>
      <c r="IH77">
        <f t="shared" si="1050"/>
        <v>0.1</v>
      </c>
      <c r="II77">
        <f t="shared" si="1050"/>
        <v>0.1</v>
      </c>
      <c r="IJ77">
        <f t="shared" si="1050"/>
        <v>0.1</v>
      </c>
      <c r="IK77">
        <f t="shared" si="1050"/>
        <v>0.1</v>
      </c>
      <c r="IL77">
        <f t="shared" si="1050"/>
        <v>0.1</v>
      </c>
      <c r="IM77">
        <f t="shared" si="1050"/>
        <v>0.1</v>
      </c>
      <c r="IN77">
        <f t="shared" si="1050"/>
        <v>0.1</v>
      </c>
      <c r="IO77">
        <f t="shared" si="1050"/>
        <v>0.1</v>
      </c>
      <c r="IP77">
        <f t="shared" si="1050"/>
        <v>0.1</v>
      </c>
      <c r="IQ77">
        <f t="shared" si="1050"/>
        <v>0.1</v>
      </c>
      <c r="IR77">
        <f t="shared" si="1050"/>
        <v>0.1</v>
      </c>
      <c r="IS77">
        <f t="shared" si="1050"/>
        <v>0.1</v>
      </c>
      <c r="IT77">
        <f t="shared" si="1050"/>
        <v>0.1</v>
      </c>
      <c r="IU77">
        <f t="shared" si="1050"/>
        <v>0.1</v>
      </c>
      <c r="IV77">
        <f t="shared" si="1050"/>
        <v>0.1</v>
      </c>
    </row>
    <row r="78" spans="1:256" x14ac:dyDescent="0.2">
      <c r="A78" t="s">
        <v>549</v>
      </c>
      <c r="B78">
        <f>MIN(1,B44*B89*B96)</f>
        <v>0.243797766000306</v>
      </c>
      <c r="C78">
        <f>MIN(1,C44*C89*C96)</f>
        <v>1</v>
      </c>
      <c r="D78">
        <f t="shared" ref="D78:BO78" si="1051">MIN(1,D44*D89*D96)</f>
        <v>1</v>
      </c>
      <c r="E78">
        <f t="shared" si="1051"/>
        <v>1</v>
      </c>
      <c r="F78">
        <f t="shared" si="1051"/>
        <v>1</v>
      </c>
      <c r="G78">
        <f t="shared" si="1051"/>
        <v>1</v>
      </c>
      <c r="H78">
        <f t="shared" si="1051"/>
        <v>1</v>
      </c>
      <c r="I78">
        <f t="shared" si="1051"/>
        <v>1</v>
      </c>
      <c r="J78">
        <f t="shared" si="1051"/>
        <v>1</v>
      </c>
      <c r="K78">
        <f t="shared" si="1051"/>
        <v>1</v>
      </c>
      <c r="L78">
        <f t="shared" si="1051"/>
        <v>1</v>
      </c>
      <c r="M78">
        <f t="shared" si="1051"/>
        <v>1</v>
      </c>
      <c r="N78">
        <f t="shared" si="1051"/>
        <v>1</v>
      </c>
      <c r="O78">
        <f t="shared" si="1051"/>
        <v>1</v>
      </c>
      <c r="P78">
        <f t="shared" si="1051"/>
        <v>1</v>
      </c>
      <c r="Q78">
        <f t="shared" si="1051"/>
        <v>1</v>
      </c>
      <c r="R78">
        <f t="shared" si="1051"/>
        <v>0.78784861674797801</v>
      </c>
      <c r="S78">
        <f t="shared" si="1051"/>
        <v>0.80704889709878003</v>
      </c>
      <c r="T78">
        <f t="shared" si="1051"/>
        <v>0.82594097034788239</v>
      </c>
      <c r="U78">
        <f t="shared" si="1051"/>
        <v>0.84451891768465248</v>
      </c>
      <c r="V78">
        <f t="shared" si="1051"/>
        <v>0.86277747552610151</v>
      </c>
      <c r="W78">
        <f t="shared" si="1051"/>
        <v>0.88071200065477739</v>
      </c>
      <c r="X78">
        <f t="shared" si="1051"/>
        <v>0.89831843697341129</v>
      </c>
      <c r="Y78">
        <f t="shared" si="1051"/>
        <v>0.91559328380157601</v>
      </c>
      <c r="Z78">
        <f t="shared" si="1051"/>
        <v>0.120635781432668</v>
      </c>
      <c r="AA78">
        <f t="shared" si="1051"/>
        <v>0.12746777953583904</v>
      </c>
      <c r="AB78">
        <f t="shared" si="1051"/>
        <v>0.13434062706129929</v>
      </c>
      <c r="AC78">
        <f t="shared" si="1051"/>
        <v>0.14125033303636184</v>
      </c>
      <c r="AD78">
        <f t="shared" si="1051"/>
        <v>0.14819305004673819</v>
      </c>
      <c r="AE78">
        <f t="shared" si="1051"/>
        <v>0.15516506993712398</v>
      </c>
      <c r="AF78">
        <f t="shared" si="1051"/>
        <v>0.16216281963282131</v>
      </c>
      <c r="AG78">
        <f t="shared" si="1051"/>
        <v>0.16918285707904906</v>
      </c>
      <c r="AH78">
        <f t="shared" si="1051"/>
        <v>1</v>
      </c>
      <c r="AI78">
        <f t="shared" si="1051"/>
        <v>1</v>
      </c>
      <c r="AJ78">
        <f t="shared" si="1051"/>
        <v>1</v>
      </c>
      <c r="AK78">
        <f t="shared" si="1051"/>
        <v>1</v>
      </c>
      <c r="AL78">
        <f t="shared" si="1051"/>
        <v>1</v>
      </c>
      <c r="AM78">
        <f t="shared" si="1051"/>
        <v>1</v>
      </c>
      <c r="AN78">
        <f t="shared" si="1051"/>
        <v>1</v>
      </c>
      <c r="AO78">
        <f t="shared" si="1051"/>
        <v>1</v>
      </c>
      <c r="AP78">
        <f t="shared" si="1051"/>
        <v>1</v>
      </c>
      <c r="AQ78">
        <f t="shared" si="1051"/>
        <v>1</v>
      </c>
      <c r="AR78">
        <f t="shared" si="1051"/>
        <v>1</v>
      </c>
      <c r="AS78">
        <f t="shared" si="1051"/>
        <v>1</v>
      </c>
      <c r="AT78">
        <f t="shared" si="1051"/>
        <v>1</v>
      </c>
      <c r="AU78">
        <f t="shared" si="1051"/>
        <v>1</v>
      </c>
      <c r="AV78">
        <f t="shared" si="1051"/>
        <v>1</v>
      </c>
      <c r="AW78">
        <f t="shared" si="1051"/>
        <v>1</v>
      </c>
      <c r="AX78">
        <f t="shared" si="1051"/>
        <v>0.70912812156339877</v>
      </c>
      <c r="AY78">
        <f t="shared" si="1051"/>
        <v>0.73649940241239353</v>
      </c>
      <c r="AZ78">
        <f t="shared" si="1051"/>
        <v>0.76392753241428757</v>
      </c>
      <c r="BA78">
        <f t="shared" si="1051"/>
        <v>0.79141963094920131</v>
      </c>
      <c r="BB78">
        <f t="shared" si="1051"/>
        <v>0.81898290175151078</v>
      </c>
      <c r="BC78">
        <f t="shared" si="1051"/>
        <v>0.84662463326858206</v>
      </c>
      <c r="BD78">
        <f t="shared" si="1051"/>
        <v>0.8743522005819313</v>
      </c>
      <c r="BE78">
        <f t="shared" si="1051"/>
        <v>0.90217306861843949</v>
      </c>
      <c r="BF78">
        <f t="shared" si="1051"/>
        <v>0.93009479642539039</v>
      </c>
      <c r="BG78">
        <f t="shared" si="1051"/>
        <v>0.95812504232073292</v>
      </c>
      <c r="BH78">
        <f t="shared" si="1051"/>
        <v>0.98627156976080199</v>
      </c>
      <c r="BI78">
        <f t="shared" si="1051"/>
        <v>1</v>
      </c>
      <c r="BJ78">
        <f t="shared" si="1051"/>
        <v>1</v>
      </c>
      <c r="BK78">
        <f t="shared" si="1051"/>
        <v>1</v>
      </c>
      <c r="BL78">
        <f t="shared" si="1051"/>
        <v>1</v>
      </c>
      <c r="BM78">
        <f t="shared" si="1051"/>
        <v>1</v>
      </c>
      <c r="BN78">
        <f t="shared" si="1051"/>
        <v>1</v>
      </c>
      <c r="BO78">
        <f t="shared" si="1051"/>
        <v>1</v>
      </c>
      <c r="BP78">
        <f t="shared" ref="BP78:EA78" si="1052">MIN(1,BP44*BP89*BP96)</f>
        <v>1</v>
      </c>
      <c r="BQ78">
        <f t="shared" si="1052"/>
        <v>1</v>
      </c>
      <c r="BR78">
        <f t="shared" si="1052"/>
        <v>1</v>
      </c>
      <c r="BS78">
        <f t="shared" si="1052"/>
        <v>1</v>
      </c>
      <c r="BT78">
        <f t="shared" si="1052"/>
        <v>1</v>
      </c>
      <c r="BU78">
        <f t="shared" si="1052"/>
        <v>1</v>
      </c>
      <c r="BV78">
        <f t="shared" si="1052"/>
        <v>1</v>
      </c>
      <c r="BW78">
        <f t="shared" si="1052"/>
        <v>1</v>
      </c>
      <c r="BX78">
        <f t="shared" si="1052"/>
        <v>1</v>
      </c>
      <c r="BY78">
        <f t="shared" si="1052"/>
        <v>1</v>
      </c>
      <c r="BZ78">
        <f t="shared" si="1052"/>
        <v>1</v>
      </c>
      <c r="CA78">
        <f t="shared" si="1052"/>
        <v>1</v>
      </c>
      <c r="CB78">
        <f t="shared" si="1052"/>
        <v>1</v>
      </c>
      <c r="CC78">
        <f t="shared" si="1052"/>
        <v>1</v>
      </c>
      <c r="CD78">
        <f t="shared" si="1052"/>
        <v>1</v>
      </c>
      <c r="CE78">
        <f t="shared" si="1052"/>
        <v>1</v>
      </c>
      <c r="CF78">
        <f t="shared" si="1052"/>
        <v>1</v>
      </c>
      <c r="CG78">
        <f t="shared" si="1052"/>
        <v>1</v>
      </c>
      <c r="CH78">
        <f t="shared" si="1052"/>
        <v>1</v>
      </c>
      <c r="CI78">
        <f t="shared" si="1052"/>
        <v>1</v>
      </c>
      <c r="CJ78">
        <f t="shared" si="1052"/>
        <v>1</v>
      </c>
      <c r="CK78">
        <f t="shared" si="1052"/>
        <v>1</v>
      </c>
      <c r="CL78">
        <f t="shared" si="1052"/>
        <v>1</v>
      </c>
      <c r="CM78">
        <f t="shared" si="1052"/>
        <v>1</v>
      </c>
      <c r="CN78">
        <f t="shared" si="1052"/>
        <v>1</v>
      </c>
      <c r="CO78">
        <f t="shared" si="1052"/>
        <v>1</v>
      </c>
      <c r="CP78">
        <f t="shared" si="1052"/>
        <v>1</v>
      </c>
      <c r="CQ78">
        <f t="shared" si="1052"/>
        <v>1</v>
      </c>
      <c r="CR78">
        <f t="shared" si="1052"/>
        <v>1</v>
      </c>
      <c r="CS78">
        <f t="shared" si="1052"/>
        <v>1</v>
      </c>
      <c r="CT78">
        <f t="shared" si="1052"/>
        <v>1</v>
      </c>
      <c r="CU78">
        <f t="shared" si="1052"/>
        <v>1</v>
      </c>
      <c r="CV78">
        <f t="shared" si="1052"/>
        <v>1</v>
      </c>
      <c r="CW78">
        <f t="shared" si="1052"/>
        <v>1</v>
      </c>
      <c r="CX78">
        <f t="shared" si="1052"/>
        <v>1</v>
      </c>
      <c r="CY78">
        <f t="shared" si="1052"/>
        <v>1</v>
      </c>
      <c r="CZ78">
        <f t="shared" si="1052"/>
        <v>1</v>
      </c>
      <c r="DA78">
        <f t="shared" si="1052"/>
        <v>1</v>
      </c>
      <c r="DB78">
        <f t="shared" si="1052"/>
        <v>1</v>
      </c>
      <c r="DC78">
        <f t="shared" si="1052"/>
        <v>1</v>
      </c>
      <c r="DD78">
        <f t="shared" si="1052"/>
        <v>1</v>
      </c>
      <c r="DE78">
        <f t="shared" si="1052"/>
        <v>1</v>
      </c>
      <c r="DF78">
        <f t="shared" si="1052"/>
        <v>1</v>
      </c>
      <c r="DG78">
        <f t="shared" si="1052"/>
        <v>1</v>
      </c>
      <c r="DH78">
        <f t="shared" si="1052"/>
        <v>1</v>
      </c>
      <c r="DI78">
        <f t="shared" si="1052"/>
        <v>1</v>
      </c>
      <c r="DJ78">
        <f t="shared" si="1052"/>
        <v>1</v>
      </c>
      <c r="DK78">
        <f t="shared" si="1052"/>
        <v>1</v>
      </c>
      <c r="DL78">
        <f t="shared" si="1052"/>
        <v>1</v>
      </c>
      <c r="DM78">
        <f t="shared" si="1052"/>
        <v>1</v>
      </c>
      <c r="DN78">
        <f t="shared" si="1052"/>
        <v>1</v>
      </c>
      <c r="DO78">
        <f t="shared" si="1052"/>
        <v>1</v>
      </c>
      <c r="DP78">
        <f t="shared" si="1052"/>
        <v>1</v>
      </c>
      <c r="DQ78">
        <f t="shared" si="1052"/>
        <v>1</v>
      </c>
      <c r="DR78">
        <f t="shared" si="1052"/>
        <v>1</v>
      </c>
      <c r="DS78">
        <f t="shared" si="1052"/>
        <v>1</v>
      </c>
      <c r="DT78">
        <f t="shared" si="1052"/>
        <v>1</v>
      </c>
      <c r="DU78">
        <f t="shared" si="1052"/>
        <v>1</v>
      </c>
      <c r="DV78">
        <f t="shared" si="1052"/>
        <v>1</v>
      </c>
      <c r="DW78">
        <f t="shared" si="1052"/>
        <v>1</v>
      </c>
      <c r="DX78">
        <f t="shared" si="1052"/>
        <v>1</v>
      </c>
      <c r="DY78">
        <f t="shared" si="1052"/>
        <v>1</v>
      </c>
      <c r="DZ78">
        <f t="shared" si="1052"/>
        <v>1</v>
      </c>
      <c r="EA78">
        <f t="shared" si="1052"/>
        <v>1</v>
      </c>
      <c r="EB78">
        <f t="shared" ref="EB78:GM78" si="1053">MIN(1,EB44*EB89*EB96)</f>
        <v>1</v>
      </c>
      <c r="EC78">
        <f t="shared" si="1053"/>
        <v>1</v>
      </c>
      <c r="ED78">
        <f t="shared" si="1053"/>
        <v>1</v>
      </c>
      <c r="EE78">
        <f t="shared" si="1053"/>
        <v>1</v>
      </c>
      <c r="EF78">
        <f t="shared" si="1053"/>
        <v>1</v>
      </c>
      <c r="EG78">
        <f t="shared" si="1053"/>
        <v>1</v>
      </c>
      <c r="EH78">
        <f t="shared" si="1053"/>
        <v>1</v>
      </c>
      <c r="EI78">
        <f t="shared" si="1053"/>
        <v>1</v>
      </c>
      <c r="EJ78">
        <f t="shared" si="1053"/>
        <v>1</v>
      </c>
      <c r="EK78">
        <f t="shared" si="1053"/>
        <v>1</v>
      </c>
      <c r="EL78">
        <f t="shared" si="1053"/>
        <v>1</v>
      </c>
      <c r="EM78">
        <f t="shared" si="1053"/>
        <v>1</v>
      </c>
      <c r="EN78">
        <f t="shared" si="1053"/>
        <v>1</v>
      </c>
      <c r="EO78">
        <f t="shared" si="1053"/>
        <v>1</v>
      </c>
      <c r="EP78">
        <f t="shared" si="1053"/>
        <v>1</v>
      </c>
      <c r="EQ78">
        <f t="shared" si="1053"/>
        <v>1</v>
      </c>
      <c r="ER78">
        <f t="shared" si="1053"/>
        <v>1</v>
      </c>
      <c r="ES78">
        <f t="shared" si="1053"/>
        <v>1</v>
      </c>
      <c r="ET78">
        <f t="shared" si="1053"/>
        <v>1</v>
      </c>
      <c r="EU78">
        <f t="shared" si="1053"/>
        <v>1</v>
      </c>
      <c r="EV78">
        <f t="shared" si="1053"/>
        <v>1</v>
      </c>
      <c r="EW78">
        <f t="shared" si="1053"/>
        <v>1</v>
      </c>
      <c r="EX78">
        <f t="shared" si="1053"/>
        <v>1</v>
      </c>
      <c r="EY78">
        <f t="shared" si="1053"/>
        <v>1</v>
      </c>
      <c r="EZ78">
        <f t="shared" si="1053"/>
        <v>1</v>
      </c>
      <c r="FA78">
        <f t="shared" si="1053"/>
        <v>1</v>
      </c>
      <c r="FB78">
        <f t="shared" si="1053"/>
        <v>1</v>
      </c>
      <c r="FC78">
        <f t="shared" si="1053"/>
        <v>1</v>
      </c>
      <c r="FD78">
        <f t="shared" si="1053"/>
        <v>1</v>
      </c>
      <c r="FE78">
        <f t="shared" si="1053"/>
        <v>1</v>
      </c>
      <c r="FF78">
        <f t="shared" si="1053"/>
        <v>1</v>
      </c>
      <c r="FG78">
        <f t="shared" si="1053"/>
        <v>1</v>
      </c>
      <c r="FH78">
        <f t="shared" si="1053"/>
        <v>1</v>
      </c>
      <c r="FI78">
        <f t="shared" si="1053"/>
        <v>1</v>
      </c>
      <c r="FJ78">
        <f t="shared" si="1053"/>
        <v>1</v>
      </c>
      <c r="FK78">
        <f t="shared" si="1053"/>
        <v>1</v>
      </c>
      <c r="FL78">
        <f t="shared" si="1053"/>
        <v>1</v>
      </c>
      <c r="FM78">
        <f t="shared" si="1053"/>
        <v>1</v>
      </c>
      <c r="FN78">
        <f t="shared" si="1053"/>
        <v>1</v>
      </c>
      <c r="FO78">
        <f t="shared" si="1053"/>
        <v>1</v>
      </c>
      <c r="FP78">
        <f t="shared" si="1053"/>
        <v>1</v>
      </c>
      <c r="FQ78">
        <f t="shared" si="1053"/>
        <v>1</v>
      </c>
      <c r="FR78">
        <f t="shared" si="1053"/>
        <v>1</v>
      </c>
      <c r="FS78">
        <f t="shared" si="1053"/>
        <v>1</v>
      </c>
      <c r="FT78">
        <f t="shared" si="1053"/>
        <v>1</v>
      </c>
      <c r="FU78">
        <f t="shared" si="1053"/>
        <v>1</v>
      </c>
      <c r="FV78">
        <f t="shared" si="1053"/>
        <v>1</v>
      </c>
      <c r="FW78">
        <f t="shared" si="1053"/>
        <v>1</v>
      </c>
      <c r="FX78">
        <f t="shared" si="1053"/>
        <v>1</v>
      </c>
      <c r="FY78">
        <f t="shared" si="1053"/>
        <v>1</v>
      </c>
      <c r="FZ78">
        <f t="shared" si="1053"/>
        <v>1</v>
      </c>
      <c r="GA78">
        <f t="shared" si="1053"/>
        <v>1</v>
      </c>
      <c r="GB78">
        <f t="shared" si="1053"/>
        <v>1</v>
      </c>
      <c r="GC78">
        <f t="shared" si="1053"/>
        <v>1</v>
      </c>
      <c r="GD78">
        <f t="shared" si="1053"/>
        <v>1</v>
      </c>
      <c r="GE78">
        <f t="shared" si="1053"/>
        <v>1</v>
      </c>
      <c r="GF78">
        <f t="shared" si="1053"/>
        <v>1</v>
      </c>
      <c r="GG78">
        <f t="shared" si="1053"/>
        <v>1</v>
      </c>
      <c r="GH78">
        <f t="shared" si="1053"/>
        <v>1</v>
      </c>
      <c r="GI78">
        <f t="shared" si="1053"/>
        <v>1</v>
      </c>
      <c r="GJ78">
        <f t="shared" si="1053"/>
        <v>1</v>
      </c>
      <c r="GK78">
        <f t="shared" si="1053"/>
        <v>1</v>
      </c>
      <c r="GL78">
        <f t="shared" si="1053"/>
        <v>1</v>
      </c>
      <c r="GM78">
        <f t="shared" si="1053"/>
        <v>1</v>
      </c>
      <c r="GN78">
        <f t="shared" ref="GN78:IV78" si="1054">MIN(1,GN44*GN89*GN96)</f>
        <v>1</v>
      </c>
      <c r="GO78">
        <f t="shared" si="1054"/>
        <v>1</v>
      </c>
      <c r="GP78">
        <f t="shared" si="1054"/>
        <v>1</v>
      </c>
      <c r="GQ78">
        <f t="shared" si="1054"/>
        <v>1</v>
      </c>
      <c r="GR78">
        <f t="shared" si="1054"/>
        <v>1</v>
      </c>
      <c r="GS78">
        <f t="shared" si="1054"/>
        <v>1</v>
      </c>
      <c r="GT78">
        <f t="shared" si="1054"/>
        <v>1</v>
      </c>
      <c r="GU78">
        <f t="shared" si="1054"/>
        <v>1</v>
      </c>
      <c r="GV78">
        <f t="shared" si="1054"/>
        <v>1</v>
      </c>
      <c r="GW78">
        <f t="shared" si="1054"/>
        <v>1</v>
      </c>
      <c r="GX78">
        <f t="shared" si="1054"/>
        <v>1</v>
      </c>
      <c r="GY78">
        <f t="shared" si="1054"/>
        <v>1</v>
      </c>
      <c r="GZ78">
        <f t="shared" si="1054"/>
        <v>1</v>
      </c>
      <c r="HA78">
        <f t="shared" si="1054"/>
        <v>1</v>
      </c>
      <c r="HB78">
        <f t="shared" si="1054"/>
        <v>1</v>
      </c>
      <c r="HC78">
        <f t="shared" si="1054"/>
        <v>1</v>
      </c>
      <c r="HD78">
        <f t="shared" si="1054"/>
        <v>1</v>
      </c>
      <c r="HE78">
        <f t="shared" si="1054"/>
        <v>1</v>
      </c>
      <c r="HF78">
        <f t="shared" si="1054"/>
        <v>1</v>
      </c>
      <c r="HG78">
        <f t="shared" si="1054"/>
        <v>1</v>
      </c>
      <c r="HH78">
        <f t="shared" si="1054"/>
        <v>1</v>
      </c>
      <c r="HI78">
        <f t="shared" si="1054"/>
        <v>1</v>
      </c>
      <c r="HJ78">
        <f t="shared" si="1054"/>
        <v>1</v>
      </c>
      <c r="HK78">
        <f t="shared" si="1054"/>
        <v>1</v>
      </c>
      <c r="HL78">
        <f t="shared" si="1054"/>
        <v>1</v>
      </c>
      <c r="HM78">
        <f t="shared" si="1054"/>
        <v>1</v>
      </c>
      <c r="HN78">
        <f t="shared" si="1054"/>
        <v>1</v>
      </c>
      <c r="HO78">
        <f t="shared" si="1054"/>
        <v>1</v>
      </c>
      <c r="HP78">
        <f t="shared" si="1054"/>
        <v>1</v>
      </c>
      <c r="HQ78">
        <f t="shared" si="1054"/>
        <v>1</v>
      </c>
      <c r="HR78">
        <f t="shared" si="1054"/>
        <v>1</v>
      </c>
      <c r="HS78">
        <f t="shared" si="1054"/>
        <v>1</v>
      </c>
      <c r="HT78">
        <f t="shared" si="1054"/>
        <v>1</v>
      </c>
      <c r="HU78">
        <f t="shared" si="1054"/>
        <v>1</v>
      </c>
      <c r="HV78">
        <f t="shared" si="1054"/>
        <v>1</v>
      </c>
      <c r="HW78">
        <f t="shared" si="1054"/>
        <v>1</v>
      </c>
      <c r="HX78">
        <f t="shared" si="1054"/>
        <v>1</v>
      </c>
      <c r="HY78">
        <f t="shared" si="1054"/>
        <v>1</v>
      </c>
      <c r="HZ78">
        <f t="shared" si="1054"/>
        <v>1</v>
      </c>
      <c r="IA78">
        <f t="shared" si="1054"/>
        <v>1</v>
      </c>
      <c r="IB78">
        <f t="shared" si="1054"/>
        <v>1</v>
      </c>
      <c r="IC78">
        <f t="shared" si="1054"/>
        <v>1</v>
      </c>
      <c r="ID78">
        <f t="shared" si="1054"/>
        <v>1</v>
      </c>
      <c r="IE78">
        <f t="shared" si="1054"/>
        <v>1</v>
      </c>
      <c r="IF78">
        <f t="shared" si="1054"/>
        <v>1</v>
      </c>
      <c r="IG78">
        <f t="shared" si="1054"/>
        <v>1</v>
      </c>
      <c r="IH78">
        <f t="shared" si="1054"/>
        <v>1</v>
      </c>
      <c r="II78">
        <f t="shared" si="1054"/>
        <v>1</v>
      </c>
      <c r="IJ78">
        <f t="shared" si="1054"/>
        <v>1</v>
      </c>
      <c r="IK78">
        <f t="shared" si="1054"/>
        <v>1</v>
      </c>
      <c r="IL78">
        <f t="shared" si="1054"/>
        <v>1</v>
      </c>
      <c r="IM78">
        <f t="shared" si="1054"/>
        <v>1</v>
      </c>
      <c r="IN78">
        <f t="shared" si="1054"/>
        <v>1</v>
      </c>
      <c r="IO78">
        <f t="shared" si="1054"/>
        <v>1</v>
      </c>
      <c r="IP78">
        <f t="shared" si="1054"/>
        <v>1</v>
      </c>
      <c r="IQ78">
        <f t="shared" si="1054"/>
        <v>1</v>
      </c>
      <c r="IR78">
        <f t="shared" si="1054"/>
        <v>1</v>
      </c>
      <c r="IS78">
        <f t="shared" si="1054"/>
        <v>1</v>
      </c>
      <c r="IT78">
        <f t="shared" si="1054"/>
        <v>1</v>
      </c>
      <c r="IU78">
        <f t="shared" si="1054"/>
        <v>1</v>
      </c>
      <c r="IV78">
        <f t="shared" si="1054"/>
        <v>1</v>
      </c>
    </row>
    <row r="79" spans="1:256" x14ac:dyDescent="0.2">
      <c r="A79" t="s">
        <v>550</v>
      </c>
      <c r="B79">
        <f>MIN(1,B45*1/B100)</f>
        <v>0.13393134036485133</v>
      </c>
      <c r="C79">
        <f>MIN(1,C45*1/C100)</f>
        <v>9.993822790280435E-2</v>
      </c>
      <c r="D79">
        <f t="shared" ref="D79:BO79" si="1055">MIN(1,D45*1/D100)</f>
        <v>9.9792988469570645E-2</v>
      </c>
      <c r="E79">
        <f t="shared" si="1055"/>
        <v>9.9649978203864009E-2</v>
      </c>
      <c r="F79">
        <f t="shared" si="1055"/>
        <v>9.9509157231932044E-2</v>
      </c>
      <c r="G79">
        <f t="shared" si="1055"/>
        <v>9.9370486550410211E-2</v>
      </c>
      <c r="H79">
        <f t="shared" si="1055"/>
        <v>9.9233928002946517E-2</v>
      </c>
      <c r="I79">
        <f t="shared" si="1055"/>
        <v>9.9099444257579467E-2</v>
      </c>
      <c r="J79">
        <f t="shared" si="1055"/>
        <v>0.19793399756968252</v>
      </c>
      <c r="K79">
        <f t="shared" si="1055"/>
        <v>0.19767311167311855</v>
      </c>
      <c r="L79">
        <f t="shared" si="1055"/>
        <v>0.19741616085065888</v>
      </c>
      <c r="M79">
        <f t="shared" si="1055"/>
        <v>0.19716307660927515</v>
      </c>
      <c r="N79">
        <f t="shared" si="1055"/>
        <v>0.19691379189920757</v>
      </c>
      <c r="O79">
        <f t="shared" si="1055"/>
        <v>0.19666824107665665</v>
      </c>
      <c r="P79">
        <f t="shared" si="1055"/>
        <v>0.19642635986763188</v>
      </c>
      <c r="Q79">
        <f t="shared" si="1055"/>
        <v>0.19618808533291757</v>
      </c>
      <c r="R79">
        <f t="shared" si="1055"/>
        <v>0.39190671166822849</v>
      </c>
      <c r="S79">
        <f t="shared" si="1055"/>
        <v>0.39144422200143553</v>
      </c>
      <c r="T79">
        <f t="shared" si="1055"/>
        <v>0.39098858339639858</v>
      </c>
      <c r="U79">
        <f t="shared" si="1055"/>
        <v>0.39053967999409994</v>
      </c>
      <c r="V79">
        <f t="shared" si="1055"/>
        <v>0.39009739828551515</v>
      </c>
      <c r="W79">
        <f t="shared" si="1055"/>
        <v>0.38966162705336177</v>
      </c>
      <c r="X79">
        <f t="shared" si="1055"/>
        <v>0.38923225731558386</v>
      </c>
      <c r="Y79">
        <f t="shared" si="1055"/>
        <v>0.38880918227051003</v>
      </c>
      <c r="Z79">
        <f t="shared" si="1055"/>
        <v>0.7767845944872559</v>
      </c>
      <c r="AA79">
        <f t="shared" si="1055"/>
        <v>0.77596299927183965</v>
      </c>
      <c r="AB79">
        <f t="shared" si="1055"/>
        <v>0.775153377747411</v>
      </c>
      <c r="AC79">
        <f t="shared" si="1055"/>
        <v>0.77435553271988311</v>
      </c>
      <c r="AD79">
        <f t="shared" si="1055"/>
        <v>0.77356927085385363</v>
      </c>
      <c r="AE79">
        <f t="shared" si="1055"/>
        <v>0.77279440258073651</v>
      </c>
      <c r="AF79">
        <f t="shared" si="1055"/>
        <v>0.77203074200951949</v>
      </c>
      <c r="AG79">
        <f t="shared" si="1055"/>
        <v>0.77127810684006337</v>
      </c>
      <c r="AH79">
        <f t="shared" si="1055"/>
        <v>0.31859687106160534</v>
      </c>
      <c r="AI79">
        <f t="shared" si="1055"/>
        <v>0.31929634177933797</v>
      </c>
      <c r="AJ79">
        <f t="shared" si="1055"/>
        <v>0.32000634236393277</v>
      </c>
      <c r="AK79">
        <f t="shared" si="1055"/>
        <v>0.32072669527592074</v>
      </c>
      <c r="AL79">
        <f t="shared" si="1055"/>
        <v>0.32145722641649371</v>
      </c>
      <c r="AM79">
        <f t="shared" si="1055"/>
        <v>0.32219776499374003</v>
      </c>
      <c r="AN79">
        <f t="shared" si="1055"/>
        <v>0.32294814339449857</v>
      </c>
      <c r="AO79">
        <f t="shared" si="1055"/>
        <v>0.32370819706157511</v>
      </c>
      <c r="AP79">
        <f t="shared" si="1055"/>
        <v>0.64895552875216145</v>
      </c>
      <c r="AQ79">
        <f t="shared" si="1055"/>
        <v>0.64817900482488156</v>
      </c>
      <c r="AR79">
        <f t="shared" si="1055"/>
        <v>0.64741400893388701</v>
      </c>
      <c r="AS79">
        <f t="shared" si="1055"/>
        <v>0.64666034544408213</v>
      </c>
      <c r="AT79">
        <f t="shared" si="1055"/>
        <v>0.64591782270708509</v>
      </c>
      <c r="AU79">
        <f t="shared" si="1055"/>
        <v>0.64518625296189391</v>
      </c>
      <c r="AV79">
        <f t="shared" si="1055"/>
        <v>0.64446545223852325</v>
      </c>
      <c r="AW79">
        <f t="shared" si="1055"/>
        <v>0.6437552402645127</v>
      </c>
      <c r="AX79">
        <f t="shared" si="1055"/>
        <v>1</v>
      </c>
      <c r="AY79">
        <f t="shared" si="1055"/>
        <v>1</v>
      </c>
      <c r="AZ79">
        <f t="shared" si="1055"/>
        <v>1</v>
      </c>
      <c r="BA79">
        <f t="shared" si="1055"/>
        <v>1</v>
      </c>
      <c r="BB79">
        <f t="shared" si="1055"/>
        <v>1</v>
      </c>
      <c r="BC79">
        <f t="shared" si="1055"/>
        <v>1</v>
      </c>
      <c r="BD79">
        <f t="shared" si="1055"/>
        <v>1</v>
      </c>
      <c r="BE79">
        <f t="shared" si="1055"/>
        <v>1</v>
      </c>
      <c r="BF79">
        <f t="shared" si="1055"/>
        <v>1</v>
      </c>
      <c r="BG79">
        <f t="shared" si="1055"/>
        <v>1</v>
      </c>
      <c r="BH79">
        <f t="shared" si="1055"/>
        <v>1</v>
      </c>
      <c r="BI79">
        <f t="shared" si="1055"/>
        <v>1</v>
      </c>
      <c r="BJ79">
        <f t="shared" si="1055"/>
        <v>1</v>
      </c>
      <c r="BK79">
        <f t="shared" si="1055"/>
        <v>1</v>
      </c>
      <c r="BL79">
        <f t="shared" si="1055"/>
        <v>1</v>
      </c>
      <c r="BM79">
        <f t="shared" si="1055"/>
        <v>1</v>
      </c>
      <c r="BN79">
        <f t="shared" si="1055"/>
        <v>1</v>
      </c>
      <c r="BO79">
        <f t="shared" si="1055"/>
        <v>1</v>
      </c>
      <c r="BP79">
        <f t="shared" ref="BP79:EA79" si="1056">MIN(1,BP45*1/BP100)</f>
        <v>1</v>
      </c>
      <c r="BQ79">
        <f t="shared" si="1056"/>
        <v>1</v>
      </c>
      <c r="BR79">
        <f t="shared" si="1056"/>
        <v>1</v>
      </c>
      <c r="BS79">
        <f t="shared" si="1056"/>
        <v>1</v>
      </c>
      <c r="BT79">
        <f t="shared" si="1056"/>
        <v>1</v>
      </c>
      <c r="BU79">
        <f t="shared" si="1056"/>
        <v>1</v>
      </c>
      <c r="BV79">
        <f t="shared" si="1056"/>
        <v>1</v>
      </c>
      <c r="BW79">
        <f t="shared" si="1056"/>
        <v>1</v>
      </c>
      <c r="BX79">
        <f t="shared" si="1056"/>
        <v>1</v>
      </c>
      <c r="BY79">
        <f t="shared" si="1056"/>
        <v>1</v>
      </c>
      <c r="BZ79">
        <f t="shared" si="1056"/>
        <v>1</v>
      </c>
      <c r="CA79">
        <f t="shared" si="1056"/>
        <v>1</v>
      </c>
      <c r="CB79">
        <f t="shared" si="1056"/>
        <v>1</v>
      </c>
      <c r="CC79">
        <f t="shared" si="1056"/>
        <v>1</v>
      </c>
      <c r="CD79">
        <f t="shared" si="1056"/>
        <v>1</v>
      </c>
      <c r="CE79">
        <f t="shared" si="1056"/>
        <v>1</v>
      </c>
      <c r="CF79">
        <f t="shared" si="1056"/>
        <v>1</v>
      </c>
      <c r="CG79">
        <f t="shared" si="1056"/>
        <v>1</v>
      </c>
      <c r="CH79">
        <f t="shared" si="1056"/>
        <v>1</v>
      </c>
      <c r="CI79">
        <f t="shared" si="1056"/>
        <v>0.99964235520392364</v>
      </c>
      <c r="CJ79">
        <f t="shared" si="1056"/>
        <v>0.99890525043823541</v>
      </c>
      <c r="CK79">
        <f t="shared" si="1056"/>
        <v>0.99817842544458624</v>
      </c>
      <c r="CL79">
        <f t="shared" si="1056"/>
        <v>0.9974617229757865</v>
      </c>
      <c r="CM79">
        <f t="shared" si="1056"/>
        <v>0.99675498855477562</v>
      </c>
      <c r="CN79">
        <f t="shared" si="1056"/>
        <v>0.9960580704163341</v>
      </c>
      <c r="CO79">
        <f t="shared" si="1056"/>
        <v>0.9953708194502654</v>
      </c>
      <c r="CP79">
        <f t="shared" si="1056"/>
        <v>0.99469308914600219</v>
      </c>
      <c r="CQ79">
        <f t="shared" si="1056"/>
        <v>0.99402473553860149</v>
      </c>
      <c r="CR79">
        <f t="shared" si="1056"/>
        <v>0.99336561715608052</v>
      </c>
      <c r="CS79">
        <f t="shared" si="1056"/>
        <v>0.99271559496805828</v>
      </c>
      <c r="CT79">
        <f t="shared" si="1056"/>
        <v>0.99207453233566534</v>
      </c>
      <c r="CU79">
        <f t="shared" si="1056"/>
        <v>0.99144229496268343</v>
      </c>
      <c r="CV79">
        <f t="shared" si="1056"/>
        <v>0.99081875084787852</v>
      </c>
      <c r="CW79">
        <f t="shared" si="1056"/>
        <v>0.99020377023849726</v>
      </c>
      <c r="CX79">
        <f t="shared" si="1056"/>
        <v>0.98959722558488872</v>
      </c>
      <c r="CY79">
        <f t="shared" si="1056"/>
        <v>0.98899899149622272</v>
      </c>
      <c r="CZ79">
        <f t="shared" si="1056"/>
        <v>0.98840894469727203</v>
      </c>
      <c r="DA79">
        <f t="shared" si="1056"/>
        <v>0.98782696398622849</v>
      </c>
      <c r="DB79">
        <f t="shared" si="1056"/>
        <v>0.98725293019352678</v>
      </c>
      <c r="DC79">
        <f t="shared" si="1056"/>
        <v>0.98668672614164155</v>
      </c>
      <c r="DD79">
        <f t="shared" si="1056"/>
        <v>0.98612823660583837</v>
      </c>
      <c r="DE79">
        <f t="shared" si="1056"/>
        <v>0.98557734827584575</v>
      </c>
      <c r="DF79">
        <f t="shared" si="1056"/>
        <v>0.98503394971842662</v>
      </c>
      <c r="DG79">
        <f t="shared" si="1056"/>
        <v>0.98449793134082164</v>
      </c>
      <c r="DH79">
        <f t="shared" si="1056"/>
        <v>0.98396918535504452</v>
      </c>
      <c r="DI79">
        <f t="shared" si="1056"/>
        <v>0.98344760574300061</v>
      </c>
      <c r="DJ79">
        <f t="shared" si="1056"/>
        <v>0.98293308822241154</v>
      </c>
      <c r="DK79">
        <f t="shared" si="1056"/>
        <v>0.98242553021352075</v>
      </c>
      <c r="DL79">
        <f t="shared" si="1056"/>
        <v>0.98192483080656057</v>
      </c>
      <c r="DM79">
        <f t="shared" si="1056"/>
        <v>0.98143089072995904</v>
      </c>
      <c r="DN79">
        <f t="shared" si="1056"/>
        <v>0.98094361231926841</v>
      </c>
      <c r="DO79">
        <f t="shared" si="1056"/>
        <v>0.98046289948679444</v>
      </c>
      <c r="DP79">
        <f t="shared" si="1056"/>
        <v>0.97998865769190791</v>
      </c>
      <c r="DQ79">
        <f t="shared" si="1056"/>
        <v>0.97952079391202318</v>
      </c>
      <c r="DR79">
        <f t="shared" si="1056"/>
        <v>0.97905921661422191</v>
      </c>
      <c r="DS79">
        <f t="shared" si="1056"/>
        <v>0.97860383572750753</v>
      </c>
      <c r="DT79">
        <f t="shared" si="1056"/>
        <v>0.97815456261567502</v>
      </c>
      <c r="DU79">
        <f t="shared" si="1056"/>
        <v>0.97771131005077605</v>
      </c>
      <c r="DV79">
        <f t="shared" si="1056"/>
        <v>0.97727399218716904</v>
      </c>
      <c r="DW79">
        <f t="shared" si="1056"/>
        <v>0.97684252453613563</v>
      </c>
      <c r="DX79">
        <f t="shared" si="1056"/>
        <v>0.97641682394104834</v>
      </c>
      <c r="DY79">
        <f t="shared" si="1056"/>
        <v>0.97599680855308013</v>
      </c>
      <c r="DZ79">
        <f t="shared" si="1056"/>
        <v>0.9755823978074365</v>
      </c>
      <c r="EA79">
        <f t="shared" si="1056"/>
        <v>0.97517351240009853</v>
      </c>
      <c r="EB79">
        <f t="shared" ref="EB79:GM79" si="1057">MIN(1,EB45*1/EB100)</f>
        <v>0.97477007426506723</v>
      </c>
      <c r="EC79">
        <f t="shared" si="1057"/>
        <v>0.97437200655209144</v>
      </c>
      <c r="ED79">
        <f t="shared" si="1057"/>
        <v>0.9739792336048706</v>
      </c>
      <c r="EE79">
        <f t="shared" si="1057"/>
        <v>0.97359168093971871</v>
      </c>
      <c r="EF79">
        <f t="shared" si="1057"/>
        <v>0.97320927522468037</v>
      </c>
      <c r="EG79">
        <f t="shared" si="1057"/>
        <v>0.9728319442590837</v>
      </c>
      <c r="EH79">
        <f t="shared" si="1057"/>
        <v>0.97245961695352345</v>
      </c>
      <c r="EI79">
        <f t="shared" si="1057"/>
        <v>0.97209222331026157</v>
      </c>
      <c r="EJ79">
        <f t="shared" si="1057"/>
        <v>0.97172969440403467</v>
      </c>
      <c r="EK79">
        <f t="shared" si="1057"/>
        <v>0.97137196236325885</v>
      </c>
      <c r="EL79">
        <f t="shared" si="1057"/>
        <v>0.9710189603516246</v>
      </c>
      <c r="EM79">
        <f t="shared" si="1057"/>
        <v>0.97067062255006664</v>
      </c>
      <c r="EN79">
        <f t="shared" si="1057"/>
        <v>0.9703268841391065</v>
      </c>
      <c r="EO79">
        <f t="shared" si="1057"/>
        <v>0.96998768128155322</v>
      </c>
      <c r="EP79">
        <f t="shared" si="1057"/>
        <v>0.96965295110555705</v>
      </c>
      <c r="EQ79">
        <f t="shared" si="1057"/>
        <v>0.96932263168800537</v>
      </c>
      <c r="ER79">
        <f t="shared" si="1057"/>
        <v>0.96899666203825485</v>
      </c>
      <c r="ES79">
        <f t="shared" si="1057"/>
        <v>0.96867498208219049</v>
      </c>
      <c r="ET79">
        <f t="shared" si="1057"/>
        <v>0.96835753264660396</v>
      </c>
      <c r="EU79">
        <f t="shared" si="1057"/>
        <v>0.96804425544388362</v>
      </c>
      <c r="EV79">
        <f t="shared" si="1057"/>
        <v>0.96773509305700933</v>
      </c>
      <c r="EW79">
        <f t="shared" si="1057"/>
        <v>0.96742998892484533</v>
      </c>
      <c r="EX79">
        <f t="shared" si="1057"/>
        <v>0.96712888732772317</v>
      </c>
      <c r="EY79">
        <f t="shared" si="1057"/>
        <v>0.96683173337330841</v>
      </c>
      <c r="EZ79">
        <f t="shared" si="1057"/>
        <v>0.96653847298274342</v>
      </c>
      <c r="FA79">
        <f t="shared" si="1057"/>
        <v>0.96624905287706442</v>
      </c>
      <c r="FB79">
        <f t="shared" si="1057"/>
        <v>0.96596342056387885</v>
      </c>
      <c r="FC79">
        <f t="shared" si="1057"/>
        <v>0.96568152432430454</v>
      </c>
      <c r="FD79">
        <f t="shared" si="1057"/>
        <v>0.96540331320015949</v>
      </c>
      <c r="FE79">
        <f t="shared" si="1057"/>
        <v>0.96512873698140023</v>
      </c>
      <c r="FF79">
        <f t="shared" si="1057"/>
        <v>0.96485774619380071</v>
      </c>
      <c r="FG79">
        <f t="shared" si="1057"/>
        <v>0.96459029208686575</v>
      </c>
      <c r="FH79">
        <f t="shared" si="1057"/>
        <v>0.96432632662197826</v>
      </c>
      <c r="FI79">
        <f t="shared" si="1057"/>
        <v>0.96406580246076812</v>
      </c>
      <c r="FJ79">
        <f t="shared" si="1057"/>
        <v>0.96380867295370531</v>
      </c>
      <c r="FK79">
        <f t="shared" si="1057"/>
        <v>0.96355489212890466</v>
      </c>
      <c r="FL79">
        <f t="shared" si="1057"/>
        <v>0.96330441468114414</v>
      </c>
      <c r="FM79">
        <f t="shared" si="1057"/>
        <v>0.96305719596108852</v>
      </c>
      <c r="FN79">
        <f t="shared" si="1057"/>
        <v>0.96281319196471338</v>
      </c>
      <c r="FO79">
        <f t="shared" si="1057"/>
        <v>0.9625723593229274</v>
      </c>
      <c r="FP79">
        <f t="shared" si="1057"/>
        <v>0.96233465529138795</v>
      </c>
      <c r="FQ79">
        <f t="shared" si="1057"/>
        <v>0.96210003774050312</v>
      </c>
      <c r="FR79">
        <f t="shared" si="1057"/>
        <v>0.96186846514562052</v>
      </c>
      <c r="FS79">
        <f t="shared" si="1057"/>
        <v>0.96163989657739546</v>
      </c>
      <c r="FT79">
        <f t="shared" si="1057"/>
        <v>0.96141429169233583</v>
      </c>
      <c r="FU79">
        <f t="shared" si="1057"/>
        <v>0.96119161072352011</v>
      </c>
      <c r="FV79">
        <f t="shared" si="1057"/>
        <v>0.96097181447148361</v>
      </c>
      <c r="FW79">
        <f t="shared" si="1057"/>
        <v>0.96075486429527257</v>
      </c>
      <c r="FX79">
        <f t="shared" si="1057"/>
        <v>0.96054072210365704</v>
      </c>
      <c r="FY79">
        <f t="shared" si="1057"/>
        <v>0.96032935034650424</v>
      </c>
      <c r="FZ79">
        <f t="shared" si="1057"/>
        <v>0.96012071200630789</v>
      </c>
      <c r="GA79">
        <f t="shared" si="1057"/>
        <v>0.95991477058986707</v>
      </c>
      <c r="GB79">
        <f t="shared" si="1057"/>
        <v>0.95971149012011614</v>
      </c>
      <c r="GC79">
        <f t="shared" si="1057"/>
        <v>0.95951083512809909</v>
      </c>
      <c r="GD79">
        <f t="shared" si="1057"/>
        <v>0.95931277064508702</v>
      </c>
      <c r="GE79">
        <f t="shared" si="1057"/>
        <v>0.95911726219483462</v>
      </c>
      <c r="GF79">
        <f t="shared" si="1057"/>
        <v>0.95892427578597517</v>
      </c>
      <c r="GG79">
        <f t="shared" si="1057"/>
        <v>0.95873377790454695</v>
      </c>
      <c r="GH79">
        <f t="shared" si="1057"/>
        <v>0.95854573550665267</v>
      </c>
      <c r="GI79">
        <f t="shared" si="1057"/>
        <v>0.95836011601124738</v>
      </c>
      <c r="GJ79">
        <f t="shared" si="1057"/>
        <v>0.95817688729305106</v>
      </c>
      <c r="GK79">
        <f t="shared" si="1057"/>
        <v>0.95799601767558651</v>
      </c>
      <c r="GL79">
        <f t="shared" si="1057"/>
        <v>0.95781747592433542</v>
      </c>
      <c r="GM79">
        <f t="shared" si="1057"/>
        <v>0.9576412312400161</v>
      </c>
      <c r="GN79">
        <f t="shared" ref="GN79:IV79" si="1058">MIN(1,GN45*1/GN100)</f>
        <v>0.95746725325197379</v>
      </c>
      <c r="GO79">
        <f t="shared" si="1058"/>
        <v>0.95729551201168728</v>
      </c>
      <c r="GP79">
        <f t="shared" si="1058"/>
        <v>0.95712597798638654</v>
      </c>
      <c r="GQ79">
        <f t="shared" si="1058"/>
        <v>0.95695862205277749</v>
      </c>
      <c r="GR79">
        <f t="shared" si="1058"/>
        <v>0.95679341549087682</v>
      </c>
      <c r="GS79">
        <f t="shared" si="1058"/>
        <v>0.95663032997794961</v>
      </c>
      <c r="GT79">
        <f t="shared" si="1058"/>
        <v>0.95646933758255004</v>
      </c>
      <c r="GU79">
        <f t="shared" si="1058"/>
        <v>0.95631041075866408</v>
      </c>
      <c r="GV79">
        <f t="shared" si="1058"/>
        <v>0.95615352233994955</v>
      </c>
      <c r="GW79">
        <f t="shared" si="1058"/>
        <v>0.95599864553407399</v>
      </c>
      <c r="GX79">
        <f t="shared" si="1058"/>
        <v>0.95584575391714777</v>
      </c>
      <c r="GY79">
        <f t="shared" si="1058"/>
        <v>0.95569482142824891</v>
      </c>
      <c r="GZ79">
        <f t="shared" si="1058"/>
        <v>0.95554582236404073</v>
      </c>
      <c r="HA79">
        <f t="shared" si="1058"/>
        <v>0.95539873137347864</v>
      </c>
      <c r="HB79">
        <f t="shared" si="1058"/>
        <v>0.95525352345260495</v>
      </c>
      <c r="HC79">
        <f t="shared" si="1058"/>
        <v>0.95511017393942943</v>
      </c>
      <c r="HD79">
        <f t="shared" si="1058"/>
        <v>0.95496865850889434</v>
      </c>
      <c r="HE79">
        <f t="shared" si="1058"/>
        <v>0.95482895316792349</v>
      </c>
      <c r="HF79">
        <f t="shared" si="1058"/>
        <v>0.95469103425055113</v>
      </c>
      <c r="HG79">
        <f t="shared" si="1058"/>
        <v>0.95455487841313191</v>
      </c>
      <c r="HH79">
        <f t="shared" si="1058"/>
        <v>0.95442046262962843</v>
      </c>
      <c r="HI79">
        <f t="shared" si="1058"/>
        <v>0.95428776418697558</v>
      </c>
      <c r="HJ79">
        <f t="shared" si="1058"/>
        <v>0.9541567606805208</v>
      </c>
      <c r="HK79">
        <f t="shared" si="1058"/>
        <v>0.95402743000953805</v>
      </c>
      <c r="HL79">
        <f t="shared" si="1058"/>
        <v>0.95389975037281383</v>
      </c>
      <c r="HM79">
        <f t="shared" si="1058"/>
        <v>0.95377370026430608</v>
      </c>
      <c r="HN79">
        <f t="shared" si="1058"/>
        <v>0.9536492584688705</v>
      </c>
      <c r="HO79">
        <f t="shared" si="1058"/>
        <v>0.95352640405805755</v>
      </c>
      <c r="HP79">
        <f t="shared" si="1058"/>
        <v>0.95340511638597647</v>
      </c>
      <c r="HQ79">
        <f t="shared" si="1058"/>
        <v>0.95328537508522415</v>
      </c>
      <c r="HR79">
        <f t="shared" si="1058"/>
        <v>0.95316716006288127</v>
      </c>
      <c r="HS79">
        <f t="shared" si="1058"/>
        <v>0.95305045149656931</v>
      </c>
      <c r="HT79">
        <f t="shared" si="1058"/>
        <v>0.95293522983057244</v>
      </c>
      <c r="HU79">
        <f t="shared" si="1058"/>
        <v>0.95282147577201992</v>
      </c>
      <c r="HV79">
        <f t="shared" si="1058"/>
        <v>0.95270917028712854</v>
      </c>
      <c r="HW79">
        <f t="shared" si="1058"/>
        <v>0.95259829459750522</v>
      </c>
      <c r="HX79">
        <f t="shared" si="1058"/>
        <v>0.95248883017650654</v>
      </c>
      <c r="HY79">
        <f t="shared" si="1058"/>
        <v>0.95238075874565686</v>
      </c>
      <c r="HZ79">
        <f t="shared" si="1058"/>
        <v>0.95227406227112077</v>
      </c>
      <c r="IA79">
        <f t="shared" si="1058"/>
        <v>0.95216872296023225</v>
      </c>
      <c r="IB79">
        <f t="shared" si="1058"/>
        <v>0.95206472325807756</v>
      </c>
      <c r="IC79">
        <f t="shared" si="1058"/>
        <v>0.95196204584413036</v>
      </c>
      <c r="ID79">
        <f t="shared" si="1058"/>
        <v>0.95186067362894011</v>
      </c>
      <c r="IE79">
        <f t="shared" si="1058"/>
        <v>0.9517605897508713</v>
      </c>
      <c r="IF79">
        <f t="shared" si="1058"/>
        <v>0.95166177757289305</v>
      </c>
      <c r="IG79">
        <f t="shared" si="1058"/>
        <v>0.95156422067941893</v>
      </c>
      <c r="IH79">
        <f t="shared" si="1058"/>
        <v>0.95146790287319372</v>
      </c>
      <c r="II79">
        <f t="shared" si="1058"/>
        <v>0.95137280817223036</v>
      </c>
      <c r="IJ79">
        <f t="shared" si="1058"/>
        <v>0.95127892080679122</v>
      </c>
      <c r="IK79">
        <f t="shared" si="1058"/>
        <v>0.95118622521641805</v>
      </c>
      <c r="IL79">
        <f t="shared" si="1058"/>
        <v>0.95109470604700541</v>
      </c>
      <c r="IM79">
        <f t="shared" si="1058"/>
        <v>0.95100434814792001</v>
      </c>
      <c r="IN79">
        <f t="shared" si="1058"/>
        <v>0.95091513656916249</v>
      </c>
      <c r="IO79">
        <f t="shared" si="1058"/>
        <v>0.95082705655857291</v>
      </c>
      <c r="IP79">
        <f t="shared" si="1058"/>
        <v>0.9507400935590794</v>
      </c>
      <c r="IQ79">
        <f t="shared" si="1058"/>
        <v>0.9506542332059873</v>
      </c>
      <c r="IR79">
        <f t="shared" si="1058"/>
        <v>0.95056946132430886</v>
      </c>
      <c r="IS79">
        <f t="shared" si="1058"/>
        <v>0.95048576392613471</v>
      </c>
      <c r="IT79">
        <f t="shared" si="1058"/>
        <v>0.95040312720804321</v>
      </c>
      <c r="IU79">
        <f t="shared" si="1058"/>
        <v>0.95032153754854964</v>
      </c>
      <c r="IV79">
        <f t="shared" si="1058"/>
        <v>0.95024098150559322</v>
      </c>
    </row>
    <row r="80" spans="1:256" x14ac:dyDescent="0.2">
      <c r="A80" t="s">
        <v>551</v>
      </c>
      <c r="B80">
        <f>MIN(1,B46*B88*B89*B90*B94*B95*B96*B103)</f>
        <v>1.6075439662467149E-3</v>
      </c>
      <c r="C80">
        <f>MIN(1,C46*C88*C89*C90*C94*C95*C96*C103)</f>
        <v>9.5226230587936347E-2</v>
      </c>
      <c r="D80">
        <f t="shared" ref="D80:BO80" si="1059">MIN(1,D46*D88*D89*D90*D94*D95*D96*D103)</f>
        <v>9.6748960205023563E-2</v>
      </c>
      <c r="E80">
        <f t="shared" si="1059"/>
        <v>9.8174029197934595E-2</v>
      </c>
      <c r="F80">
        <f t="shared" si="1059"/>
        <v>9.9508489024313251E-2</v>
      </c>
      <c r="G80">
        <f t="shared" si="1059"/>
        <v>0.10075908012114844</v>
      </c>
      <c r="H80">
        <f t="shared" si="1059"/>
        <v>0.10193223172733566</v>
      </c>
      <c r="I80">
        <f t="shared" si="1059"/>
        <v>0.10303406442674153</v>
      </c>
      <c r="J80">
        <f t="shared" si="1059"/>
        <v>0.10407039493320329</v>
      </c>
      <c r="K80">
        <f t="shared" si="1059"/>
        <v>0.10251025369421361</v>
      </c>
      <c r="L80">
        <f t="shared" si="1059"/>
        <v>0.10090455410325543</v>
      </c>
      <c r="M80">
        <f t="shared" si="1059"/>
        <v>9.9257890768148838E-2</v>
      </c>
      <c r="N80">
        <f t="shared" si="1059"/>
        <v>9.7574722469951261E-2</v>
      </c>
      <c r="O80">
        <f t="shared" si="1059"/>
        <v>9.5859366636226781E-2</v>
      </c>
      <c r="P80">
        <f t="shared" si="1059"/>
        <v>9.4115994672361036E-2</v>
      </c>
      <c r="Q80">
        <f t="shared" si="1059"/>
        <v>9.2348628110426906E-2</v>
      </c>
      <c r="R80">
        <f t="shared" si="1059"/>
        <v>9.05611355347236E-2</v>
      </c>
      <c r="S80">
        <f t="shared" si="1059"/>
        <v>9.118125492391127E-2</v>
      </c>
      <c r="T80">
        <f t="shared" si="1059"/>
        <v>9.1730549725127897E-2</v>
      </c>
      <c r="U80">
        <f t="shared" si="1059"/>
        <v>9.2210461414567041E-2</v>
      </c>
      <c r="V80">
        <f t="shared" si="1059"/>
        <v>9.2622372177663809E-2</v>
      </c>
      <c r="W80">
        <f t="shared" si="1059"/>
        <v>9.2967613353504272E-2</v>
      </c>
      <c r="X80">
        <f t="shared" si="1059"/>
        <v>9.3247473913235401E-2</v>
      </c>
      <c r="Y80">
        <f t="shared" si="1059"/>
        <v>9.3463208821845667E-2</v>
      </c>
      <c r="Z80">
        <f t="shared" si="1059"/>
        <v>9.3616047155495971E-2</v>
      </c>
      <c r="AA80">
        <f t="shared" si="1059"/>
        <v>9.5969618582782662E-2</v>
      </c>
      <c r="AB80">
        <f t="shared" si="1059"/>
        <v>9.8130899396668581E-2</v>
      </c>
      <c r="AC80">
        <f t="shared" si="1059"/>
        <v>0.10010625010665819</v>
      </c>
      <c r="AD80">
        <f t="shared" si="1059"/>
        <v>0.10190216215883967</v>
      </c>
      <c r="AE80">
        <f t="shared" si="1059"/>
        <v>0.10352521522187547</v>
      </c>
      <c r="AF80">
        <f t="shared" si="1059"/>
        <v>0.10498203868209498</v>
      </c>
      <c r="AG80">
        <f t="shared" si="1059"/>
        <v>0.10627927707816394</v>
      </c>
      <c r="AH80">
        <f t="shared" si="1059"/>
        <v>0.77918559790538777</v>
      </c>
      <c r="AI80">
        <f t="shared" si="1059"/>
        <v>0.81054740805441516</v>
      </c>
      <c r="AJ80">
        <f t="shared" si="1059"/>
        <v>0.84348202544601802</v>
      </c>
      <c r="AK80">
        <f t="shared" si="1059"/>
        <v>0.87812847888287249</v>
      </c>
      <c r="AL80">
        <f t="shared" si="1059"/>
        <v>0.91463992235873115</v>
      </c>
      <c r="AM80">
        <f t="shared" si="1059"/>
        <v>0.95318537203301612</v>
      </c>
      <c r="AN80">
        <f t="shared" si="1059"/>
        <v>0.99395169892971491</v>
      </c>
      <c r="AO80">
        <f t="shared" si="1059"/>
        <v>1</v>
      </c>
      <c r="AP80">
        <f t="shared" si="1059"/>
        <v>1</v>
      </c>
      <c r="AQ80">
        <f t="shared" si="1059"/>
        <v>1</v>
      </c>
      <c r="AR80">
        <f t="shared" si="1059"/>
        <v>1</v>
      </c>
      <c r="AS80">
        <f t="shared" si="1059"/>
        <v>1</v>
      </c>
      <c r="AT80">
        <f t="shared" si="1059"/>
        <v>1</v>
      </c>
      <c r="AU80">
        <f t="shared" si="1059"/>
        <v>1</v>
      </c>
      <c r="AV80">
        <f t="shared" si="1059"/>
        <v>1</v>
      </c>
      <c r="AW80">
        <f t="shared" si="1059"/>
        <v>1</v>
      </c>
      <c r="AX80">
        <f t="shared" si="1059"/>
        <v>0.71470054580204656</v>
      </c>
      <c r="AY80">
        <f t="shared" si="1059"/>
        <v>0.75087310502617066</v>
      </c>
      <c r="AZ80">
        <f t="shared" si="1059"/>
        <v>0.78829263396778415</v>
      </c>
      <c r="BA80">
        <f t="shared" si="1059"/>
        <v>0.82707994893974801</v>
      </c>
      <c r="BB80">
        <f t="shared" si="1059"/>
        <v>0.8673661879105633</v>
      </c>
      <c r="BC80">
        <f t="shared" si="1059"/>
        <v>0.90929395934166346</v>
      </c>
      <c r="BD80">
        <f t="shared" si="1059"/>
        <v>0.95301868018853286</v>
      </c>
      <c r="BE80">
        <f t="shared" si="1059"/>
        <v>0.99871013162984135</v>
      </c>
      <c r="BF80">
        <f t="shared" si="1059"/>
        <v>1</v>
      </c>
      <c r="BG80">
        <f t="shared" si="1059"/>
        <v>1</v>
      </c>
      <c r="BH80">
        <f t="shared" si="1059"/>
        <v>1</v>
      </c>
      <c r="BI80">
        <f t="shared" si="1059"/>
        <v>1</v>
      </c>
      <c r="BJ80">
        <f t="shared" si="1059"/>
        <v>1</v>
      </c>
      <c r="BK80">
        <f t="shared" si="1059"/>
        <v>1</v>
      </c>
      <c r="BL80">
        <f t="shared" si="1059"/>
        <v>1</v>
      </c>
      <c r="BM80">
        <f t="shared" si="1059"/>
        <v>1</v>
      </c>
      <c r="BN80">
        <f t="shared" si="1059"/>
        <v>1</v>
      </c>
      <c r="BO80">
        <f t="shared" si="1059"/>
        <v>1</v>
      </c>
      <c r="BP80">
        <f t="shared" ref="BP80:EA80" si="1060">MIN(1,BP46*BP88*BP89*BP90*BP94*BP95*BP96*BP103)</f>
        <v>1</v>
      </c>
      <c r="BQ80">
        <f t="shared" si="1060"/>
        <v>1</v>
      </c>
      <c r="BR80">
        <f t="shared" si="1060"/>
        <v>1</v>
      </c>
      <c r="BS80">
        <f t="shared" si="1060"/>
        <v>1</v>
      </c>
      <c r="BT80">
        <f t="shared" si="1060"/>
        <v>1</v>
      </c>
      <c r="BU80">
        <f t="shared" si="1060"/>
        <v>1</v>
      </c>
      <c r="BV80">
        <f t="shared" si="1060"/>
        <v>1</v>
      </c>
      <c r="BW80">
        <f t="shared" si="1060"/>
        <v>1</v>
      </c>
      <c r="BX80">
        <f t="shared" si="1060"/>
        <v>1</v>
      </c>
      <c r="BY80">
        <f t="shared" si="1060"/>
        <v>1</v>
      </c>
      <c r="BZ80">
        <f t="shared" si="1060"/>
        <v>1</v>
      </c>
      <c r="CA80">
        <f t="shared" si="1060"/>
        <v>1</v>
      </c>
      <c r="CB80">
        <f t="shared" si="1060"/>
        <v>1</v>
      </c>
      <c r="CC80">
        <f t="shared" si="1060"/>
        <v>1</v>
      </c>
      <c r="CD80">
        <f t="shared" si="1060"/>
        <v>1</v>
      </c>
      <c r="CE80">
        <f t="shared" si="1060"/>
        <v>1</v>
      </c>
      <c r="CF80">
        <f t="shared" si="1060"/>
        <v>1</v>
      </c>
      <c r="CG80">
        <f t="shared" si="1060"/>
        <v>1</v>
      </c>
      <c r="CH80">
        <f t="shared" si="1060"/>
        <v>1</v>
      </c>
      <c r="CI80">
        <f t="shared" si="1060"/>
        <v>1</v>
      </c>
      <c r="CJ80">
        <f t="shared" si="1060"/>
        <v>1</v>
      </c>
      <c r="CK80">
        <f t="shared" si="1060"/>
        <v>1</v>
      </c>
      <c r="CL80">
        <f t="shared" si="1060"/>
        <v>1</v>
      </c>
      <c r="CM80">
        <f t="shared" si="1060"/>
        <v>1</v>
      </c>
      <c r="CN80">
        <f t="shared" si="1060"/>
        <v>1</v>
      </c>
      <c r="CO80">
        <f t="shared" si="1060"/>
        <v>1</v>
      </c>
      <c r="CP80">
        <f t="shared" si="1060"/>
        <v>1</v>
      </c>
      <c r="CQ80">
        <f t="shared" si="1060"/>
        <v>1</v>
      </c>
      <c r="CR80">
        <f t="shared" si="1060"/>
        <v>1</v>
      </c>
      <c r="CS80">
        <f t="shared" si="1060"/>
        <v>1</v>
      </c>
      <c r="CT80">
        <f t="shared" si="1060"/>
        <v>1</v>
      </c>
      <c r="CU80">
        <f t="shared" si="1060"/>
        <v>1</v>
      </c>
      <c r="CV80">
        <f t="shared" si="1060"/>
        <v>1</v>
      </c>
      <c r="CW80">
        <f t="shared" si="1060"/>
        <v>1</v>
      </c>
      <c r="CX80">
        <f t="shared" si="1060"/>
        <v>1</v>
      </c>
      <c r="CY80">
        <f t="shared" si="1060"/>
        <v>1</v>
      </c>
      <c r="CZ80">
        <f t="shared" si="1060"/>
        <v>1</v>
      </c>
      <c r="DA80">
        <f t="shared" si="1060"/>
        <v>1</v>
      </c>
      <c r="DB80">
        <f t="shared" si="1060"/>
        <v>1</v>
      </c>
      <c r="DC80">
        <f t="shared" si="1060"/>
        <v>1</v>
      </c>
      <c r="DD80">
        <f t="shared" si="1060"/>
        <v>1</v>
      </c>
      <c r="DE80">
        <f t="shared" si="1060"/>
        <v>1</v>
      </c>
      <c r="DF80">
        <f t="shared" si="1060"/>
        <v>1</v>
      </c>
      <c r="DG80">
        <f t="shared" si="1060"/>
        <v>1</v>
      </c>
      <c r="DH80">
        <f t="shared" si="1060"/>
        <v>1</v>
      </c>
      <c r="DI80">
        <f t="shared" si="1060"/>
        <v>1</v>
      </c>
      <c r="DJ80">
        <f t="shared" si="1060"/>
        <v>1</v>
      </c>
      <c r="DK80">
        <f t="shared" si="1060"/>
        <v>1</v>
      </c>
      <c r="DL80">
        <f t="shared" si="1060"/>
        <v>1</v>
      </c>
      <c r="DM80">
        <f t="shared" si="1060"/>
        <v>1</v>
      </c>
      <c r="DN80">
        <f t="shared" si="1060"/>
        <v>1</v>
      </c>
      <c r="DO80">
        <f t="shared" si="1060"/>
        <v>1</v>
      </c>
      <c r="DP80">
        <f t="shared" si="1060"/>
        <v>1</v>
      </c>
      <c r="DQ80">
        <f t="shared" si="1060"/>
        <v>1</v>
      </c>
      <c r="DR80">
        <f t="shared" si="1060"/>
        <v>1</v>
      </c>
      <c r="DS80">
        <f t="shared" si="1060"/>
        <v>1</v>
      </c>
      <c r="DT80">
        <f t="shared" si="1060"/>
        <v>1</v>
      </c>
      <c r="DU80">
        <f t="shared" si="1060"/>
        <v>1</v>
      </c>
      <c r="DV80">
        <f t="shared" si="1060"/>
        <v>1</v>
      </c>
      <c r="DW80">
        <f t="shared" si="1060"/>
        <v>1</v>
      </c>
      <c r="DX80">
        <f t="shared" si="1060"/>
        <v>1</v>
      </c>
      <c r="DY80">
        <f t="shared" si="1060"/>
        <v>1</v>
      </c>
      <c r="DZ80">
        <f t="shared" si="1060"/>
        <v>1</v>
      </c>
      <c r="EA80">
        <f t="shared" si="1060"/>
        <v>1</v>
      </c>
      <c r="EB80">
        <f t="shared" ref="EB80:GM80" si="1061">MIN(1,EB46*EB88*EB89*EB90*EB94*EB95*EB96*EB103)</f>
        <v>1</v>
      </c>
      <c r="EC80">
        <f t="shared" si="1061"/>
        <v>1</v>
      </c>
      <c r="ED80">
        <f t="shared" si="1061"/>
        <v>1</v>
      </c>
      <c r="EE80">
        <f t="shared" si="1061"/>
        <v>1</v>
      </c>
      <c r="EF80">
        <f t="shared" si="1061"/>
        <v>1</v>
      </c>
      <c r="EG80">
        <f t="shared" si="1061"/>
        <v>1</v>
      </c>
      <c r="EH80">
        <f t="shared" si="1061"/>
        <v>1</v>
      </c>
      <c r="EI80">
        <f t="shared" si="1061"/>
        <v>1</v>
      </c>
      <c r="EJ80">
        <f t="shared" si="1061"/>
        <v>1</v>
      </c>
      <c r="EK80">
        <f t="shared" si="1061"/>
        <v>1</v>
      </c>
      <c r="EL80">
        <f t="shared" si="1061"/>
        <v>1</v>
      </c>
      <c r="EM80">
        <f t="shared" si="1061"/>
        <v>1</v>
      </c>
      <c r="EN80">
        <f t="shared" si="1061"/>
        <v>1</v>
      </c>
      <c r="EO80">
        <f t="shared" si="1061"/>
        <v>1</v>
      </c>
      <c r="EP80">
        <f t="shared" si="1061"/>
        <v>1</v>
      </c>
      <c r="EQ80">
        <f t="shared" si="1061"/>
        <v>1</v>
      </c>
      <c r="ER80">
        <f t="shared" si="1061"/>
        <v>1</v>
      </c>
      <c r="ES80">
        <f t="shared" si="1061"/>
        <v>1</v>
      </c>
      <c r="ET80">
        <f t="shared" si="1061"/>
        <v>1</v>
      </c>
      <c r="EU80">
        <f t="shared" si="1061"/>
        <v>1</v>
      </c>
      <c r="EV80">
        <f t="shared" si="1061"/>
        <v>1</v>
      </c>
      <c r="EW80">
        <f t="shared" si="1061"/>
        <v>1</v>
      </c>
      <c r="EX80">
        <f t="shared" si="1061"/>
        <v>1</v>
      </c>
      <c r="EY80">
        <f t="shared" si="1061"/>
        <v>1</v>
      </c>
      <c r="EZ80">
        <f t="shared" si="1061"/>
        <v>1</v>
      </c>
      <c r="FA80">
        <f t="shared" si="1061"/>
        <v>1</v>
      </c>
      <c r="FB80">
        <f t="shared" si="1061"/>
        <v>1</v>
      </c>
      <c r="FC80">
        <f t="shared" si="1061"/>
        <v>1</v>
      </c>
      <c r="FD80">
        <f t="shared" si="1061"/>
        <v>1</v>
      </c>
      <c r="FE80">
        <f t="shared" si="1061"/>
        <v>1</v>
      </c>
      <c r="FF80">
        <f t="shared" si="1061"/>
        <v>1</v>
      </c>
      <c r="FG80">
        <f t="shared" si="1061"/>
        <v>1</v>
      </c>
      <c r="FH80">
        <f t="shared" si="1061"/>
        <v>1</v>
      </c>
      <c r="FI80">
        <f t="shared" si="1061"/>
        <v>1</v>
      </c>
      <c r="FJ80">
        <f t="shared" si="1061"/>
        <v>1</v>
      </c>
      <c r="FK80">
        <f t="shared" si="1061"/>
        <v>1</v>
      </c>
      <c r="FL80">
        <f t="shared" si="1061"/>
        <v>1</v>
      </c>
      <c r="FM80">
        <f t="shared" si="1061"/>
        <v>1</v>
      </c>
      <c r="FN80">
        <f t="shared" si="1061"/>
        <v>1</v>
      </c>
      <c r="FO80">
        <f t="shared" si="1061"/>
        <v>1</v>
      </c>
      <c r="FP80">
        <f t="shared" si="1061"/>
        <v>1</v>
      </c>
      <c r="FQ80">
        <f t="shared" si="1061"/>
        <v>1</v>
      </c>
      <c r="FR80">
        <f t="shared" si="1061"/>
        <v>1</v>
      </c>
      <c r="FS80">
        <f t="shared" si="1061"/>
        <v>1</v>
      </c>
      <c r="FT80">
        <f t="shared" si="1061"/>
        <v>1</v>
      </c>
      <c r="FU80">
        <f t="shared" si="1061"/>
        <v>1</v>
      </c>
      <c r="FV80">
        <f t="shared" si="1061"/>
        <v>1</v>
      </c>
      <c r="FW80">
        <f t="shared" si="1061"/>
        <v>1</v>
      </c>
      <c r="FX80">
        <f t="shared" si="1061"/>
        <v>1</v>
      </c>
      <c r="FY80">
        <f t="shared" si="1061"/>
        <v>1</v>
      </c>
      <c r="FZ80">
        <f t="shared" si="1061"/>
        <v>1</v>
      </c>
      <c r="GA80">
        <f t="shared" si="1061"/>
        <v>1</v>
      </c>
      <c r="GB80">
        <f t="shared" si="1061"/>
        <v>1</v>
      </c>
      <c r="GC80">
        <f t="shared" si="1061"/>
        <v>1</v>
      </c>
      <c r="GD80">
        <f t="shared" si="1061"/>
        <v>1</v>
      </c>
      <c r="GE80">
        <f t="shared" si="1061"/>
        <v>1</v>
      </c>
      <c r="GF80">
        <f t="shared" si="1061"/>
        <v>1</v>
      </c>
      <c r="GG80">
        <f t="shared" si="1061"/>
        <v>1</v>
      </c>
      <c r="GH80">
        <f t="shared" si="1061"/>
        <v>1</v>
      </c>
      <c r="GI80">
        <f t="shared" si="1061"/>
        <v>1</v>
      </c>
      <c r="GJ80">
        <f t="shared" si="1061"/>
        <v>1</v>
      </c>
      <c r="GK80">
        <f t="shared" si="1061"/>
        <v>1</v>
      </c>
      <c r="GL80">
        <f t="shared" si="1061"/>
        <v>1</v>
      </c>
      <c r="GM80">
        <f t="shared" si="1061"/>
        <v>1</v>
      </c>
      <c r="GN80">
        <f t="shared" ref="GN80:IV80" si="1062">MIN(1,GN46*GN88*GN89*GN90*GN94*GN95*GN96*GN103)</f>
        <v>1</v>
      </c>
      <c r="GO80">
        <f t="shared" si="1062"/>
        <v>1</v>
      </c>
      <c r="GP80">
        <f t="shared" si="1062"/>
        <v>1</v>
      </c>
      <c r="GQ80">
        <f t="shared" si="1062"/>
        <v>1</v>
      </c>
      <c r="GR80">
        <f t="shared" si="1062"/>
        <v>1</v>
      </c>
      <c r="GS80">
        <f t="shared" si="1062"/>
        <v>1</v>
      </c>
      <c r="GT80">
        <f t="shared" si="1062"/>
        <v>1</v>
      </c>
      <c r="GU80">
        <f t="shared" si="1062"/>
        <v>1</v>
      </c>
      <c r="GV80">
        <f t="shared" si="1062"/>
        <v>1</v>
      </c>
      <c r="GW80">
        <f t="shared" si="1062"/>
        <v>1</v>
      </c>
      <c r="GX80">
        <f t="shared" si="1062"/>
        <v>1</v>
      </c>
      <c r="GY80">
        <f t="shared" si="1062"/>
        <v>1</v>
      </c>
      <c r="GZ80">
        <f t="shared" si="1062"/>
        <v>1</v>
      </c>
      <c r="HA80">
        <f t="shared" si="1062"/>
        <v>1</v>
      </c>
      <c r="HB80">
        <f t="shared" si="1062"/>
        <v>1</v>
      </c>
      <c r="HC80">
        <f t="shared" si="1062"/>
        <v>1</v>
      </c>
      <c r="HD80">
        <f t="shared" si="1062"/>
        <v>1</v>
      </c>
      <c r="HE80">
        <f t="shared" si="1062"/>
        <v>1</v>
      </c>
      <c r="HF80">
        <f t="shared" si="1062"/>
        <v>1</v>
      </c>
      <c r="HG80">
        <f t="shared" si="1062"/>
        <v>1</v>
      </c>
      <c r="HH80">
        <f t="shared" si="1062"/>
        <v>1</v>
      </c>
      <c r="HI80">
        <f t="shared" si="1062"/>
        <v>1</v>
      </c>
      <c r="HJ80">
        <f t="shared" si="1062"/>
        <v>1</v>
      </c>
      <c r="HK80">
        <f t="shared" si="1062"/>
        <v>1</v>
      </c>
      <c r="HL80">
        <f t="shared" si="1062"/>
        <v>1</v>
      </c>
      <c r="HM80">
        <f t="shared" si="1062"/>
        <v>1</v>
      </c>
      <c r="HN80">
        <f t="shared" si="1062"/>
        <v>1</v>
      </c>
      <c r="HO80">
        <f t="shared" si="1062"/>
        <v>1</v>
      </c>
      <c r="HP80">
        <f t="shared" si="1062"/>
        <v>1</v>
      </c>
      <c r="HQ80">
        <f t="shared" si="1062"/>
        <v>1</v>
      </c>
      <c r="HR80">
        <f t="shared" si="1062"/>
        <v>1</v>
      </c>
      <c r="HS80">
        <f t="shared" si="1062"/>
        <v>1</v>
      </c>
      <c r="HT80">
        <f t="shared" si="1062"/>
        <v>1</v>
      </c>
      <c r="HU80">
        <f t="shared" si="1062"/>
        <v>1</v>
      </c>
      <c r="HV80">
        <f t="shared" si="1062"/>
        <v>1</v>
      </c>
      <c r="HW80">
        <f t="shared" si="1062"/>
        <v>1</v>
      </c>
      <c r="HX80">
        <f t="shared" si="1062"/>
        <v>1</v>
      </c>
      <c r="HY80">
        <f t="shared" si="1062"/>
        <v>1</v>
      </c>
      <c r="HZ80">
        <f t="shared" si="1062"/>
        <v>1</v>
      </c>
      <c r="IA80">
        <f t="shared" si="1062"/>
        <v>1</v>
      </c>
      <c r="IB80">
        <f t="shared" si="1062"/>
        <v>1</v>
      </c>
      <c r="IC80">
        <f t="shared" si="1062"/>
        <v>1</v>
      </c>
      <c r="ID80">
        <f t="shared" si="1062"/>
        <v>1</v>
      </c>
      <c r="IE80">
        <f t="shared" si="1062"/>
        <v>1</v>
      </c>
      <c r="IF80">
        <f t="shared" si="1062"/>
        <v>1</v>
      </c>
      <c r="IG80">
        <f t="shared" si="1062"/>
        <v>1</v>
      </c>
      <c r="IH80">
        <f t="shared" si="1062"/>
        <v>1</v>
      </c>
      <c r="II80">
        <f t="shared" si="1062"/>
        <v>1</v>
      </c>
      <c r="IJ80">
        <f t="shared" si="1062"/>
        <v>1</v>
      </c>
      <c r="IK80">
        <f t="shared" si="1062"/>
        <v>1</v>
      </c>
      <c r="IL80">
        <f t="shared" si="1062"/>
        <v>1</v>
      </c>
      <c r="IM80">
        <f t="shared" si="1062"/>
        <v>1</v>
      </c>
      <c r="IN80">
        <f t="shared" si="1062"/>
        <v>1</v>
      </c>
      <c r="IO80">
        <f t="shared" si="1062"/>
        <v>1</v>
      </c>
      <c r="IP80">
        <f t="shared" si="1062"/>
        <v>1</v>
      </c>
      <c r="IQ80">
        <f t="shared" si="1062"/>
        <v>1</v>
      </c>
      <c r="IR80">
        <f t="shared" si="1062"/>
        <v>1</v>
      </c>
      <c r="IS80">
        <f t="shared" si="1062"/>
        <v>1</v>
      </c>
      <c r="IT80">
        <f t="shared" si="1062"/>
        <v>1</v>
      </c>
      <c r="IU80">
        <f t="shared" si="1062"/>
        <v>1</v>
      </c>
      <c r="IV80">
        <f t="shared" si="1062"/>
        <v>1</v>
      </c>
    </row>
    <row r="81" spans="1:256" x14ac:dyDescent="0.2">
      <c r="A81" t="s">
        <v>552</v>
      </c>
      <c r="B81">
        <f>MIN(1,B47*B90*B93)</f>
        <v>0.81403066605362118</v>
      </c>
      <c r="C81">
        <f>MIN(1,C47*C90*C93)</f>
        <v>1</v>
      </c>
      <c r="D81">
        <f t="shared" ref="D81:BO81" si="1063">MIN(1,D47*D90*D93)</f>
        <v>1</v>
      </c>
      <c r="E81">
        <f t="shared" si="1063"/>
        <v>1</v>
      </c>
      <c r="F81">
        <f t="shared" si="1063"/>
        <v>1</v>
      </c>
      <c r="G81">
        <f t="shared" si="1063"/>
        <v>1</v>
      </c>
      <c r="H81">
        <f t="shared" si="1063"/>
        <v>1</v>
      </c>
      <c r="I81">
        <f t="shared" si="1063"/>
        <v>1</v>
      </c>
      <c r="J81">
        <f t="shared" si="1063"/>
        <v>0.25661837123546055</v>
      </c>
      <c r="K81">
        <f t="shared" si="1063"/>
        <v>0.25198602063910408</v>
      </c>
      <c r="L81">
        <f t="shared" si="1063"/>
        <v>0.24743106473927426</v>
      </c>
      <c r="M81">
        <f t="shared" si="1063"/>
        <v>0.24295225982554206</v>
      </c>
      <c r="N81">
        <f t="shared" si="1063"/>
        <v>0.23854839841224312</v>
      </c>
      <c r="O81">
        <f t="shared" si="1063"/>
        <v>0.23421830658872111</v>
      </c>
      <c r="P81">
        <f t="shared" si="1063"/>
        <v>0.22996084158114513</v>
      </c>
      <c r="Q81">
        <f t="shared" si="1063"/>
        <v>0.22577488951115871</v>
      </c>
      <c r="R81">
        <f t="shared" si="1063"/>
        <v>0.11082968166876238</v>
      </c>
      <c r="S81">
        <f t="shared" si="1063"/>
        <v>0.10890647554136797</v>
      </c>
      <c r="T81">
        <f t="shared" si="1063"/>
        <v>0.10701561683225504</v>
      </c>
      <c r="U81">
        <f t="shared" si="1063"/>
        <v>0.10515654038491387</v>
      </c>
      <c r="V81">
        <f t="shared" si="1063"/>
        <v>0.10332869926978434</v>
      </c>
      <c r="W81">
        <f t="shared" si="1063"/>
        <v>0.10153156345270715</v>
      </c>
      <c r="X81">
        <f t="shared" si="1063"/>
        <v>9.9764618574680247E-2</v>
      </c>
      <c r="Y81">
        <f t="shared" si="1063"/>
        <v>9.8027364834194816E-2</v>
      </c>
      <c r="Z81">
        <f t="shared" si="1063"/>
        <v>9.6319315964078916E-2</v>
      </c>
      <c r="AA81">
        <f t="shared" si="1063"/>
        <v>9.5356286593612768E-2</v>
      </c>
      <c r="AB81">
        <f t="shared" si="1063"/>
        <v>9.4406245450364842E-2</v>
      </c>
      <c r="AC81">
        <f t="shared" si="1063"/>
        <v>9.3468804387027066E-2</v>
      </c>
      <c r="AD81">
        <f t="shared" si="1063"/>
        <v>9.2543596576922474E-2</v>
      </c>
      <c r="AE81">
        <f t="shared" si="1063"/>
        <v>9.1630275205049003E-2</v>
      </c>
      <c r="AF81">
        <f t="shared" si="1063"/>
        <v>9.0728512238259257E-2</v>
      </c>
      <c r="AG81">
        <f t="shared" si="1063"/>
        <v>8.9837997269861691E-2</v>
      </c>
      <c r="AH81">
        <f t="shared" si="1063"/>
        <v>0.30514989511953244</v>
      </c>
      <c r="AI81">
        <f t="shared" si="1063"/>
        <v>0.3095962718973877</v>
      </c>
      <c r="AJ81">
        <f t="shared" si="1063"/>
        <v>0.31402605058841693</v>
      </c>
      <c r="AK81">
        <f t="shared" si="1063"/>
        <v>0.31844210520738547</v>
      </c>
      <c r="AL81">
        <f t="shared" si="1063"/>
        <v>0.32284728454092587</v>
      </c>
      <c r="AM81">
        <f t="shared" si="1063"/>
        <v>0.32724441829946282</v>
      </c>
      <c r="AN81">
        <f t="shared" si="1063"/>
        <v>0.33163632287716643</v>
      </c>
      <c r="AO81">
        <f t="shared" si="1063"/>
        <v>0.33602580677976235</v>
      </c>
      <c r="AP81">
        <f t="shared" si="1063"/>
        <v>9.923924844402264E-2</v>
      </c>
      <c r="AQ81">
        <f t="shared" si="1063"/>
        <v>0.10228093790619884</v>
      </c>
      <c r="AR81">
        <f t="shared" si="1063"/>
        <v>0.10531101574961534</v>
      </c>
      <c r="AS81">
        <f t="shared" si="1063"/>
        <v>0.10832984709968248</v>
      </c>
      <c r="AT81">
        <f t="shared" si="1063"/>
        <v>0.11133780130819011</v>
      </c>
      <c r="AU81">
        <f t="shared" si="1063"/>
        <v>0.11433525490806522</v>
      </c>
      <c r="AV81">
        <f t="shared" si="1063"/>
        <v>0.11732259417888907</v>
      </c>
      <c r="AW81">
        <f t="shared" si="1063"/>
        <v>0.12030021738937437</v>
      </c>
      <c r="AX81">
        <f t="shared" si="1063"/>
        <v>0.12326853677191807</v>
      </c>
      <c r="AY81">
        <f t="shared" si="1063"/>
        <v>0.12675636410567193</v>
      </c>
      <c r="AZ81">
        <f t="shared" si="1063"/>
        <v>0.13027111542707193</v>
      </c>
      <c r="BA81">
        <f t="shared" si="1063"/>
        <v>0.13381420477492231</v>
      </c>
      <c r="BB81">
        <f t="shared" si="1063"/>
        <v>0.13738709869486429</v>
      </c>
      <c r="BC81">
        <f t="shared" si="1063"/>
        <v>0.14099132418403315</v>
      </c>
      <c r="BD81">
        <f t="shared" si="1063"/>
        <v>0.14462847596752934</v>
      </c>
      <c r="BE81">
        <f t="shared" si="1063"/>
        <v>0.14830022327205411</v>
      </c>
      <c r="BF81">
        <f t="shared" si="1063"/>
        <v>0.15200831623116681</v>
      </c>
      <c r="BG81">
        <f t="shared" si="1063"/>
        <v>0.15575459203307568</v>
      </c>
      <c r="BH81">
        <f t="shared" si="1063"/>
        <v>0.15951855074203819</v>
      </c>
      <c r="BI81">
        <f t="shared" si="1063"/>
        <v>0.16327250526178977</v>
      </c>
      <c r="BJ81">
        <f t="shared" si="1063"/>
        <v>0.16701566030065659</v>
      </c>
      <c r="BK81">
        <f t="shared" si="1063"/>
        <v>0.17074725337290794</v>
      </c>
      <c r="BL81">
        <f t="shared" si="1063"/>
        <v>0.17446655382063467</v>
      </c>
      <c r="BM81">
        <f t="shared" si="1063"/>
        <v>0.17817286186196643</v>
      </c>
      <c r="BN81">
        <f t="shared" si="1063"/>
        <v>0.18186550766494836</v>
      </c>
      <c r="BO81">
        <f t="shared" si="1063"/>
        <v>0.18554385044641386</v>
      </c>
      <c r="BP81">
        <f t="shared" ref="BP81:EA81" si="1064">MIN(1,BP47*BP90*BP93)</f>
        <v>0.18920727759520803</v>
      </c>
      <c r="BQ81">
        <f t="shared" si="1064"/>
        <v>0.19285520381913249</v>
      </c>
      <c r="BR81">
        <f t="shared" si="1064"/>
        <v>0.19648707031499746</v>
      </c>
      <c r="BS81">
        <f t="shared" si="1064"/>
        <v>0.20010234396118368</v>
      </c>
      <c r="BT81">
        <f t="shared" si="1064"/>
        <v>0.20370051653213056</v>
      </c>
      <c r="BU81">
        <f t="shared" si="1064"/>
        <v>0.20728110393418342</v>
      </c>
      <c r="BV81">
        <f t="shared" si="1064"/>
        <v>0.21084364546224571</v>
      </c>
      <c r="BW81">
        <f t="shared" si="1064"/>
        <v>0.21438770307669575</v>
      </c>
      <c r="BX81">
        <f t="shared" si="1064"/>
        <v>0.2179128607000439</v>
      </c>
      <c r="BY81">
        <f t="shared" si="1064"/>
        <v>0.22141872353281597</v>
      </c>
      <c r="BZ81">
        <f t="shared" si="1064"/>
        <v>0.22490491738816368</v>
      </c>
      <c r="CA81">
        <f t="shared" si="1064"/>
        <v>0.22837108804471576</v>
      </c>
      <c r="CB81">
        <f t="shared" si="1064"/>
        <v>0.23181690061719493</v>
      </c>
      <c r="CC81">
        <f t="shared" si="1064"/>
        <v>0.23524203894433757</v>
      </c>
      <c r="CD81">
        <f t="shared" si="1064"/>
        <v>0.23864620499366679</v>
      </c>
      <c r="CE81">
        <f t="shared" si="1064"/>
        <v>0.2420291182826782</v>
      </c>
      <c r="CF81">
        <f t="shared" si="1064"/>
        <v>0.24539051531601153</v>
      </c>
      <c r="CG81">
        <f t="shared" si="1064"/>
        <v>0.24873014903818913</v>
      </c>
      <c r="CH81">
        <f t="shared" si="1064"/>
        <v>0.25204778830151792</v>
      </c>
      <c r="CI81">
        <f t="shared" si="1064"/>
        <v>0.25534321734875426</v>
      </c>
      <c r="CJ81">
        <f t="shared" si="1064"/>
        <v>0.25861623531014993</v>
      </c>
      <c r="CK81">
        <f t="shared" si="1064"/>
        <v>0.26186665571449924</v>
      </c>
      <c r="CL81">
        <f t="shared" si="1064"/>
        <v>0.2650943060138235</v>
      </c>
      <c r="CM81">
        <f t="shared" si="1064"/>
        <v>0.26829902712133319</v>
      </c>
      <c r="CN81">
        <f t="shared" si="1064"/>
        <v>0.27148067296232115</v>
      </c>
      <c r="CO81">
        <f t="shared" si="1064"/>
        <v>0.27463911003764629</v>
      </c>
      <c r="CP81">
        <f t="shared" si="1064"/>
        <v>0.27777421699947802</v>
      </c>
      <c r="CQ81">
        <f t="shared" si="1064"/>
        <v>0.28088588423897864</v>
      </c>
      <c r="CR81">
        <f t="shared" si="1064"/>
        <v>0.28397401348560897</v>
      </c>
      <c r="CS81">
        <f t="shared" si="1064"/>
        <v>0.28703851741775316</v>
      </c>
      <c r="CT81">
        <f t="shared" si="1064"/>
        <v>0.29007931928436187</v>
      </c>
      <c r="CU81">
        <f t="shared" si="1064"/>
        <v>0.29309635253732536</v>
      </c>
      <c r="CV81">
        <f t="shared" si="1064"/>
        <v>0.29608956047429219</v>
      </c>
      <c r="CW81">
        <f t="shared" si="1064"/>
        <v>0.29905889589165829</v>
      </c>
      <c r="CX81">
        <f t="shared" si="1064"/>
        <v>0.30200432074745642</v>
      </c>
      <c r="CY81">
        <f t="shared" si="1064"/>
        <v>0.30492580583388529</v>
      </c>
      <c r="CZ81">
        <f t="shared" si="1064"/>
        <v>0.307823330459223</v>
      </c>
      <c r="DA81">
        <f t="shared" si="1064"/>
        <v>0.31069688213887436</v>
      </c>
      <c r="DB81">
        <f t="shared" si="1064"/>
        <v>0.31354645629531214</v>
      </c>
      <c r="DC81">
        <f t="shared" si="1064"/>
        <v>0.31637205596667473</v>
      </c>
      <c r="DD81">
        <f t="shared" si="1064"/>
        <v>0.31917369152378966</v>
      </c>
      <c r="DE81">
        <f t="shared" si="1064"/>
        <v>0.32195138039540044</v>
      </c>
      <c r="DF81">
        <f t="shared" si="1064"/>
        <v>0.3247051468013768</v>
      </c>
      <c r="DG81">
        <f t="shared" si="1064"/>
        <v>0.32743502149369591</v>
      </c>
      <c r="DH81">
        <f t="shared" si="1064"/>
        <v>0.33014104150498774</v>
      </c>
      <c r="DI81">
        <f t="shared" si="1064"/>
        <v>0.33282324990444229</v>
      </c>
      <c r="DJ81">
        <f t="shared" si="1064"/>
        <v>0.33548169556088059</v>
      </c>
      <c r="DK81">
        <f t="shared" si="1064"/>
        <v>0.33811643291280091</v>
      </c>
      <c r="DL81">
        <f t="shared" si="1064"/>
        <v>0.34072752174520893</v>
      </c>
      <c r="DM81">
        <f t="shared" si="1064"/>
        <v>0.34331502697305427</v>
      </c>
      <c r="DN81">
        <f t="shared" si="1064"/>
        <v>0.34587901843109231</v>
      </c>
      <c r="DO81">
        <f t="shared" si="1064"/>
        <v>0.34841957067000201</v>
      </c>
      <c r="DP81">
        <f t="shared" si="1064"/>
        <v>0.35093676275858765</v>
      </c>
      <c r="DQ81">
        <f t="shared" si="1064"/>
        <v>0.35343067809190459</v>
      </c>
      <c r="DR81">
        <f t="shared" si="1064"/>
        <v>0.35590140420514527</v>
      </c>
      <c r="DS81">
        <f t="shared" si="1064"/>
        <v>0.35834903259313372</v>
      </c>
      <c r="DT81">
        <f t="shared" si="1064"/>
        <v>0.36077365853527382</v>
      </c>
      <c r="DU81">
        <f t="shared" si="1064"/>
        <v>0.36317538092580581</v>
      </c>
      <c r="DV81">
        <f t="shared" si="1064"/>
        <v>0.36555430210922552</v>
      </c>
      <c r="DW81">
        <f t="shared" si="1064"/>
        <v>0.36791052772072819</v>
      </c>
      <c r="DX81">
        <f t="shared" si="1064"/>
        <v>0.37024416653153813</v>
      </c>
      <c r="DY81">
        <f t="shared" si="1064"/>
        <v>0.37255533029899324</v>
      </c>
      <c r="DZ81">
        <f t="shared" si="1064"/>
        <v>0.37484413362125385</v>
      </c>
      <c r="EA81">
        <f t="shared" si="1064"/>
        <v>0.37711069379650952</v>
      </c>
      <c r="EB81">
        <f t="shared" ref="EB81:GM81" si="1065">MIN(1,EB47*EB90*EB93)</f>
        <v>0.3793551306865619</v>
      </c>
      <c r="EC81">
        <f t="shared" si="1065"/>
        <v>0.38157756658466352</v>
      </c>
      <c r="ED81">
        <f t="shared" si="1065"/>
        <v>0.38377812608749517</v>
      </c>
      <c r="EE81">
        <f t="shared" si="1065"/>
        <v>0.38595693597116959</v>
      </c>
      <c r="EF81">
        <f t="shared" si="1065"/>
        <v>0.38811412507115045</v>
      </c>
      <c r="EG81">
        <f t="shared" si="1065"/>
        <v>0.39024982416597814</v>
      </c>
      <c r="EH81">
        <f t="shared" si="1065"/>
        <v>0.3923641658646988</v>
      </c>
      <c r="EI81">
        <f t="shared" si="1065"/>
        <v>0.39445728449789352</v>
      </c>
      <c r="EJ81">
        <f t="shared" si="1065"/>
        <v>0.39652931601220825</v>
      </c>
      <c r="EK81">
        <f t="shared" si="1065"/>
        <v>0.39858039786828819</v>
      </c>
      <c r="EL81">
        <f t="shared" si="1065"/>
        <v>0.40061066894202141</v>
      </c>
      <c r="EM81">
        <f t="shared" si="1065"/>
        <v>0.4026202694290002</v>
      </c>
      <c r="EN81">
        <f t="shared" si="1065"/>
        <v>0.40460934075211147</v>
      </c>
      <c r="EO81">
        <f t="shared" si="1065"/>
        <v>0.40657802547216715</v>
      </c>
      <c r="EP81">
        <f t="shared" si="1065"/>
        <v>0.40852646720149161</v>
      </c>
      <c r="EQ81">
        <f t="shared" si="1065"/>
        <v>0.41045481052038219</v>
      </c>
      <c r="ER81">
        <f t="shared" si="1065"/>
        <v>0.41236320089636341</v>
      </c>
      <c r="ES81">
        <f t="shared" si="1065"/>
        <v>0.41425178460615547</v>
      </c>
      <c r="ET81">
        <f t="shared" si="1065"/>
        <v>0.41612070866028122</v>
      </c>
      <c r="EU81">
        <f t="shared" si="1065"/>
        <v>0.41797012073023776</v>
      </c>
      <c r="EV81">
        <f t="shared" si="1065"/>
        <v>0.41980016907815931</v>
      </c>
      <c r="EW81">
        <f t="shared" si="1065"/>
        <v>0.42161100248890176</v>
      </c>
      <c r="EX81">
        <f t="shared" si="1065"/>
        <v>0.42340277020447964</v>
      </c>
      <c r="EY81">
        <f t="shared" si="1065"/>
        <v>0.42517562186079016</v>
      </c>
      <c r="EZ81">
        <f t="shared" si="1065"/>
        <v>0.42692970742655656</v>
      </c>
      <c r="FA81">
        <f t="shared" si="1065"/>
        <v>0.42866517714443103</v>
      </c>
      <c r="FB81">
        <f t="shared" si="1065"/>
        <v>0.43038218147419227</v>
      </c>
      <c r="FC81">
        <f t="shared" si="1065"/>
        <v>0.43208087103798032</v>
      </c>
      <c r="FD81">
        <f t="shared" si="1065"/>
        <v>0.43376139656750767</v>
      </c>
      <c r="FE81">
        <f t="shared" si="1065"/>
        <v>0.43542390885319338</v>
      </c>
      <c r="FF81">
        <f t="shared" si="1065"/>
        <v>0.43706855869516043</v>
      </c>
      <c r="FG81">
        <f t="shared" si="1065"/>
        <v>0.43869549685604659</v>
      </c>
      <c r="FH81">
        <f t="shared" si="1065"/>
        <v>0.44030487401557328</v>
      </c>
      <c r="FI81">
        <f t="shared" si="1065"/>
        <v>0.44189684072682334</v>
      </c>
      <c r="FJ81">
        <f t="shared" si="1065"/>
        <v>0.4434715473741771</v>
      </c>
      <c r="FK81">
        <f t="shared" si="1065"/>
        <v>0.44502914413285821</v>
      </c>
      <c r="FL81">
        <f t="shared" si="1065"/>
        <v>0.44656978093004357</v>
      </c>
      <c r="FM81">
        <f t="shared" si="1065"/>
        <v>0.44809360740748938</v>
      </c>
      <c r="FN81">
        <f t="shared" si="1065"/>
        <v>0.44960077288563038</v>
      </c>
      <c r="FO81">
        <f t="shared" si="1065"/>
        <v>0.45109142632910898</v>
      </c>
      <c r="FP81">
        <f t="shared" si="1065"/>
        <v>0.45256571631369008</v>
      </c>
      <c r="FQ81">
        <f t="shared" si="1065"/>
        <v>0.45402379099452334</v>
      </c>
      <c r="FR81">
        <f t="shared" si="1065"/>
        <v>0.45546579807571058</v>
      </c>
      <c r="FS81">
        <f t="shared" si="1065"/>
        <v>0.45689188478114034</v>
      </c>
      <c r="FT81">
        <f t="shared" si="1065"/>
        <v>0.45830219782655207</v>
      </c>
      <c r="FU81">
        <f t="shared" si="1065"/>
        <v>0.45969688339279247</v>
      </c>
      <c r="FV81">
        <f t="shared" si="1065"/>
        <v>0.46107608710022724</v>
      </c>
      <c r="FW81">
        <f t="shared" si="1065"/>
        <v>0.46243995398427751</v>
      </c>
      <c r="FX81">
        <f t="shared" si="1065"/>
        <v>0.46378862847203994</v>
      </c>
      <c r="FY81">
        <f t="shared" si="1065"/>
        <v>0.46512225435996468</v>
      </c>
      <c r="FZ81">
        <f t="shared" si="1065"/>
        <v>0.46644097479255442</v>
      </c>
      <c r="GA81">
        <f t="shared" si="1065"/>
        <v>0.46774493224205493</v>
      </c>
      <c r="GB81">
        <f t="shared" si="1065"/>
        <v>0.46903426848910634</v>
      </c>
      <c r="GC81">
        <f t="shared" si="1065"/>
        <v>0.47030912460432689</v>
      </c>
      <c r="GD81">
        <f t="shared" si="1065"/>
        <v>0.47156964093079723</v>
      </c>
      <c r="GE81">
        <f t="shared" si="1065"/>
        <v>0.47281595706742063</v>
      </c>
      <c r="GF81">
        <f t="shared" si="1065"/>
        <v>0.47404821185313079</v>
      </c>
      <c r="GG81">
        <f t="shared" si="1065"/>
        <v>0.47526654335191926</v>
      </c>
      <c r="GH81">
        <f t="shared" si="1065"/>
        <v>0.47647108883865924</v>
      </c>
      <c r="GI81">
        <f t="shared" si="1065"/>
        <v>0.47766198478569849</v>
      </c>
      <c r="GJ81">
        <f t="shared" si="1065"/>
        <v>0.47883936685019846</v>
      </c>
      <c r="GK81">
        <f t="shared" si="1065"/>
        <v>0.48000336986219538</v>
      </c>
      <c r="GL81">
        <f t="shared" si="1065"/>
        <v>0.48115412781336042</v>
      </c>
      <c r="GM81">
        <f t="shared" si="1065"/>
        <v>0.48229177384643612</v>
      </c>
      <c r="GN81">
        <f t="shared" ref="GN81:IV81" si="1066">MIN(1,GN47*GN90*GN93)</f>
        <v>0.48341644024532815</v>
      </c>
      <c r="GO81">
        <f t="shared" si="1066"/>
        <v>0.48452825842582986</v>
      </c>
      <c r="GP81">
        <f t="shared" si="1066"/>
        <v>0.48562735892696152</v>
      </c>
      <c r="GQ81">
        <f t="shared" si="1066"/>
        <v>0.48671387140290029</v>
      </c>
      <c r="GR81">
        <f t="shared" si="1066"/>
        <v>0.48778792461548603</v>
      </c>
      <c r="GS81">
        <f t="shared" si="1066"/>
        <v>0.48884964642728068</v>
      </c>
      <c r="GT81">
        <f t="shared" si="1066"/>
        <v>0.48989916379516368</v>
      </c>
      <c r="GU81">
        <f t="shared" si="1066"/>
        <v>0.49093660276444667</v>
      </c>
      <c r="GV81">
        <f t="shared" si="1066"/>
        <v>0.49196208846348849</v>
      </c>
      <c r="GW81">
        <f t="shared" si="1066"/>
        <v>0.49297574509879483</v>
      </c>
      <c r="GX81">
        <f t="shared" si="1066"/>
        <v>0.49397769595058522</v>
      </c>
      <c r="GY81">
        <f t="shared" si="1066"/>
        <v>0.49496806336881244</v>
      </c>
      <c r="GZ81">
        <f t="shared" si="1066"/>
        <v>0.4959469687696178</v>
      </c>
      <c r="HA81">
        <f t="shared" si="1066"/>
        <v>0.49691453263220764</v>
      </c>
      <c r="HB81">
        <f t="shared" si="1066"/>
        <v>0.49787087449613632</v>
      </c>
      <c r="HC81">
        <f t="shared" si="1066"/>
        <v>0.49881611295898259</v>
      </c>
      <c r="HD81">
        <f t="shared" si="1066"/>
        <v>0.49975036567440345</v>
      </c>
      <c r="HE81">
        <f t="shared" si="1066"/>
        <v>0.5006737493505532</v>
      </c>
      <c r="HF81">
        <f t="shared" si="1066"/>
        <v>0.50158637974885623</v>
      </c>
      <c r="HG81">
        <f t="shared" si="1066"/>
        <v>0.50248837168311689</v>
      </c>
      <c r="HH81">
        <f t="shared" si="1066"/>
        <v>0.50337983901895866</v>
      </c>
      <c r="HI81">
        <f t="shared" si="1066"/>
        <v>0.50426089467357726</v>
      </c>
      <c r="HJ81">
        <f t="shared" si="1066"/>
        <v>0.50513165061579801</v>
      </c>
      <c r="HK81">
        <f t="shared" si="1066"/>
        <v>0.50599221786642545</v>
      </c>
      <c r="HL81">
        <f t="shared" si="1066"/>
        <v>0.50684270649887464</v>
      </c>
      <c r="HM81">
        <f t="shared" si="1066"/>
        <v>0.50768322564007295</v>
      </c>
      <c r="HN81">
        <f t="shared" si="1066"/>
        <v>0.50851388347162174</v>
      </c>
      <c r="HO81">
        <f t="shared" si="1066"/>
        <v>0.50933478723121106</v>
      </c>
      <c r="HP81">
        <f t="shared" si="1066"/>
        <v>0.5101460432142717</v>
      </c>
      <c r="HQ81">
        <f t="shared" si="1066"/>
        <v>0.51094775677586091</v>
      </c>
      <c r="HR81">
        <f t="shared" si="1066"/>
        <v>0.51174003233277054</v>
      </c>
      <c r="HS81">
        <f t="shared" si="1066"/>
        <v>0.5125229733658464</v>
      </c>
      <c r="HT81">
        <f t="shared" si="1066"/>
        <v>0.51329668242251481</v>
      </c>
      <c r="HU81">
        <f t="shared" si="1066"/>
        <v>0.51406126111950334</v>
      </c>
      <c r="HV81">
        <f t="shared" si="1066"/>
        <v>0.51481681014575176</v>
      </c>
      <c r="HW81">
        <f t="shared" si="1066"/>
        <v>0.51556342926550169</v>
      </c>
      <c r="HX81">
        <f t="shared" si="1066"/>
        <v>0.51630121732155987</v>
      </c>
      <c r="HY81">
        <f t="shared" si="1066"/>
        <v>0.51703027223872655</v>
      </c>
      <c r="HZ81">
        <f t="shared" si="1066"/>
        <v>0.51775069102738214</v>
      </c>
      <c r="IA81">
        <f t="shared" si="1066"/>
        <v>0.51846256978722427</v>
      </c>
      <c r="IB81">
        <f t="shared" si="1066"/>
        <v>0.51916600371115074</v>
      </c>
      <c r="IC81">
        <f t="shared" si="1066"/>
        <v>0.51986108708927836</v>
      </c>
      <c r="ID81">
        <f t="shared" si="1066"/>
        <v>0.52054791331309491</v>
      </c>
      <c r="IE81">
        <f t="shared" si="1066"/>
        <v>0.52122657487973578</v>
      </c>
      <c r="IF81">
        <f t="shared" si="1066"/>
        <v>0.52189716339637993</v>
      </c>
      <c r="IG81">
        <f t="shared" si="1066"/>
        <v>0.52255976958475947</v>
      </c>
      <c r="IH81">
        <f t="shared" si="1066"/>
        <v>0.52321448328577735</v>
      </c>
      <c r="II81">
        <f t="shared" si="1066"/>
        <v>0.52386139346422722</v>
      </c>
      <c r="IJ81">
        <f t="shared" si="1066"/>
        <v>0.52450058821361112</v>
      </c>
      <c r="IK81">
        <f t="shared" si="1066"/>
        <v>0.52513215476104891</v>
      </c>
      <c r="IL81">
        <f t="shared" si="1066"/>
        <v>0.52575617947227515</v>
      </c>
      <c r="IM81">
        <f t="shared" si="1066"/>
        <v>0.52637274785671817</v>
      </c>
      <c r="IN81">
        <f t="shared" si="1066"/>
        <v>0.52698194457265712</v>
      </c>
      <c r="IO81">
        <f t="shared" si="1066"/>
        <v>0.52758385343245295</v>
      </c>
      <c r="IP81">
        <f t="shared" si="1066"/>
        <v>0.52817855740784692</v>
      </c>
      <c r="IQ81">
        <f t="shared" si="1066"/>
        <v>0.52876613863532562</v>
      </c>
      <c r="IR81">
        <f t="shared" si="1066"/>
        <v>0.52934667842154526</v>
      </c>
      <c r="IS81">
        <f t="shared" si="1066"/>
        <v>0.52992025724881398</v>
      </c>
      <c r="IT81">
        <f t="shared" si="1066"/>
        <v>0.53048695478062602</v>
      </c>
      <c r="IU81">
        <f t="shared" si="1066"/>
        <v>0.53104684986724626</v>
      </c>
      <c r="IV81">
        <f t="shared" si="1066"/>
        <v>0.53160002055133992</v>
      </c>
    </row>
    <row r="82" spans="1:256" x14ac:dyDescent="0.2">
      <c r="A82" t="s">
        <v>553</v>
      </c>
      <c r="B82">
        <f>MIN(1,B48*1/B89*1/B91*1/B93*1/B94*1/B95*1/B96*1/B98)</f>
        <v>1</v>
      </c>
      <c r="C82">
        <f>MIN(1,C48*1/C89*1/C91*1/C93*1/C94*1/C95*1/C96*1/C98)</f>
        <v>0.79004511198941119</v>
      </c>
      <c r="D82">
        <f t="shared" ref="D82:BO82" si="1067">MIN(1,D48*1/D89*1/D91*1/D93*1/D94*1/D95*1/D96*1/D98)</f>
        <v>0.77001778888653727</v>
      </c>
      <c r="E82">
        <f t="shared" si="1067"/>
        <v>0.75136316320651697</v>
      </c>
      <c r="F82">
        <f t="shared" si="1067"/>
        <v>0.73394184330542411</v>
      </c>
      <c r="G82">
        <f t="shared" si="1067"/>
        <v>0.7176311212068367</v>
      </c>
      <c r="H82">
        <f t="shared" si="1067"/>
        <v>0.70232255988558023</v>
      </c>
      <c r="I82">
        <f t="shared" si="1067"/>
        <v>0.68791998823265332</v>
      </c>
      <c r="J82">
        <f t="shared" si="1067"/>
        <v>1</v>
      </c>
      <c r="K82">
        <f t="shared" si="1067"/>
        <v>1</v>
      </c>
      <c r="L82">
        <f t="shared" si="1067"/>
        <v>1</v>
      </c>
      <c r="M82">
        <f t="shared" si="1067"/>
        <v>1</v>
      </c>
      <c r="N82">
        <f t="shared" si="1067"/>
        <v>1</v>
      </c>
      <c r="O82">
        <f t="shared" si="1067"/>
        <v>1</v>
      </c>
      <c r="P82">
        <f t="shared" si="1067"/>
        <v>1</v>
      </c>
      <c r="Q82">
        <f t="shared" si="1067"/>
        <v>1</v>
      </c>
      <c r="R82">
        <f t="shared" si="1067"/>
        <v>1</v>
      </c>
      <c r="S82">
        <f t="shared" si="1067"/>
        <v>1</v>
      </c>
      <c r="T82">
        <f t="shared" si="1067"/>
        <v>1</v>
      </c>
      <c r="U82">
        <f t="shared" si="1067"/>
        <v>1</v>
      </c>
      <c r="V82">
        <f t="shared" si="1067"/>
        <v>1</v>
      </c>
      <c r="W82">
        <f t="shared" si="1067"/>
        <v>1</v>
      </c>
      <c r="X82">
        <f t="shared" si="1067"/>
        <v>1</v>
      </c>
      <c r="Y82">
        <f t="shared" si="1067"/>
        <v>1</v>
      </c>
      <c r="Z82">
        <f t="shared" si="1067"/>
        <v>1</v>
      </c>
      <c r="AA82">
        <f t="shared" si="1067"/>
        <v>1</v>
      </c>
      <c r="AB82">
        <f t="shared" si="1067"/>
        <v>1</v>
      </c>
      <c r="AC82">
        <f t="shared" si="1067"/>
        <v>1</v>
      </c>
      <c r="AD82">
        <f t="shared" si="1067"/>
        <v>1</v>
      </c>
      <c r="AE82">
        <f t="shared" si="1067"/>
        <v>1</v>
      </c>
      <c r="AF82">
        <f t="shared" si="1067"/>
        <v>1</v>
      </c>
      <c r="AG82">
        <f t="shared" si="1067"/>
        <v>1</v>
      </c>
      <c r="AH82">
        <f t="shared" si="1067"/>
        <v>0.60880388022299958</v>
      </c>
      <c r="AI82">
        <f t="shared" si="1067"/>
        <v>0.59027539507058546</v>
      </c>
      <c r="AJ82">
        <f t="shared" si="1067"/>
        <v>0.57246532004166661</v>
      </c>
      <c r="AK82">
        <f t="shared" si="1067"/>
        <v>0.55533060198505479</v>
      </c>
      <c r="AL82">
        <f t="shared" si="1067"/>
        <v>0.53883135483896905</v>
      </c>
      <c r="AM82">
        <f t="shared" si="1067"/>
        <v>0.52293058580066609</v>
      </c>
      <c r="AN82">
        <f t="shared" si="1067"/>
        <v>0.50759394847705508</v>
      </c>
      <c r="AO82">
        <f t="shared" si="1067"/>
        <v>0.49278952004088405</v>
      </c>
      <c r="AP82">
        <f t="shared" si="1067"/>
        <v>0.95697519955183197</v>
      </c>
      <c r="AQ82">
        <f t="shared" si="1067"/>
        <v>0.94316801072133238</v>
      </c>
      <c r="AR82">
        <f t="shared" si="1067"/>
        <v>0.9301299071126069</v>
      </c>
      <c r="AS82">
        <f t="shared" si="1067"/>
        <v>0.91778340785342605</v>
      </c>
      <c r="AT82">
        <f t="shared" si="1067"/>
        <v>0.90605823758562287</v>
      </c>
      <c r="AU82">
        <f t="shared" si="1067"/>
        <v>0.89489042907926497</v>
      </c>
      <c r="AV82">
        <f t="shared" si="1067"/>
        <v>0.88422155928865775</v>
      </c>
      <c r="AW82">
        <f t="shared" si="1067"/>
        <v>0.87399809700042541</v>
      </c>
      <c r="AX82">
        <f t="shared" si="1067"/>
        <v>0.81659435553848092</v>
      </c>
      <c r="AY82">
        <f t="shared" si="1067"/>
        <v>0.79159707404186419</v>
      </c>
      <c r="AZ82">
        <f t="shared" si="1067"/>
        <v>0.76769216652537475</v>
      </c>
      <c r="BA82">
        <f t="shared" si="1067"/>
        <v>0.74474319878046036</v>
      </c>
      <c r="BB82">
        <f t="shared" si="1067"/>
        <v>0.72263373427815958</v>
      </c>
      <c r="BC82">
        <f t="shared" si="1067"/>
        <v>0.70126416511155176</v>
      </c>
      <c r="BD82">
        <f t="shared" si="1067"/>
        <v>0.68054913012095708</v>
      </c>
      <c r="BE82">
        <f t="shared" si="1067"/>
        <v>0.66041539564230856</v>
      </c>
      <c r="BF82">
        <f t="shared" si="1067"/>
        <v>0.64080010377571561</v>
      </c>
      <c r="BG82">
        <f t="shared" si="1067"/>
        <v>0.62164931493254716</v>
      </c>
      <c r="BH82">
        <f t="shared" si="1067"/>
        <v>0.60291678779559255</v>
      </c>
      <c r="BI82">
        <f t="shared" si="1067"/>
        <v>0.5845648462059404</v>
      </c>
      <c r="BJ82">
        <f t="shared" si="1067"/>
        <v>0.56671728311843328</v>
      </c>
      <c r="BK82">
        <f t="shared" si="1067"/>
        <v>0.54947126676193569</v>
      </c>
      <c r="BL82">
        <f t="shared" si="1067"/>
        <v>0.53278411186395103</v>
      </c>
      <c r="BM82">
        <f t="shared" si="1067"/>
        <v>0.51661885446808942</v>
      </c>
      <c r="BN82">
        <f t="shared" si="1067"/>
        <v>0.50094313501894328</v>
      </c>
      <c r="BO82">
        <f t="shared" si="1067"/>
        <v>0.48572860698740533</v>
      </c>
      <c r="BP82">
        <f t="shared" ref="BP82:EA82" si="1068">MIN(1,BP48*1/BP89*1/BP91*1/BP93*1/BP94*1/BP95*1/BP96*1/BP98)</f>
        <v>0.47095042116643254</v>
      </c>
      <c r="BQ82">
        <f t="shared" si="1068"/>
        <v>0.45658677448944679</v>
      </c>
      <c r="BR82">
        <f t="shared" si="1068"/>
        <v>0.44261851421146392</v>
      </c>
      <c r="BS82">
        <f t="shared" si="1068"/>
        <v>0.42902878988453907</v>
      </c>
      <c r="BT82">
        <f t="shared" si="1068"/>
        <v>0.41580274683745322</v>
      </c>
      <c r="BU82">
        <f t="shared" si="1068"/>
        <v>0.40292725589943273</v>
      </c>
      <c r="BV82">
        <f t="shared" si="1068"/>
        <v>0.39039067493987872</v>
      </c>
      <c r="BW82">
        <f t="shared" si="1068"/>
        <v>0.37822055055918818</v>
      </c>
      <c r="BX82">
        <f t="shared" si="1068"/>
        <v>0.36645010107107545</v>
      </c>
      <c r="BY82">
        <f t="shared" si="1068"/>
        <v>0.3550619150011855</v>
      </c>
      <c r="BZ82">
        <f t="shared" si="1068"/>
        <v>0.34404003706760111</v>
      </c>
      <c r="CA82">
        <f t="shared" si="1068"/>
        <v>0.33336979533157329</v>
      </c>
      <c r="CB82">
        <f t="shared" si="1068"/>
        <v>0.32303764879090147</v>
      </c>
      <c r="CC82">
        <f t="shared" si="1068"/>
        <v>0.31303105307726847</v>
      </c>
      <c r="CD82">
        <f t="shared" si="1068"/>
        <v>0.30333834220970324</v>
      </c>
      <c r="CE82">
        <f t="shared" si="1068"/>
        <v>0.29394862460284066</v>
      </c>
      <c r="CF82">
        <f t="shared" si="1068"/>
        <v>0.28485169173878161</v>
      </c>
      <c r="CG82">
        <f t="shared" si="1068"/>
        <v>0.27603793809166444</v>
      </c>
      <c r="CH82">
        <f t="shared" si="1068"/>
        <v>0.26749829104977768</v>
      </c>
      <c r="CI82">
        <f t="shared" si="1068"/>
        <v>0.25939445536778133</v>
      </c>
      <c r="CJ82">
        <f t="shared" si="1068"/>
        <v>0.25169847126627087</v>
      </c>
      <c r="CK82">
        <f t="shared" si="1068"/>
        <v>0.24438464018157491</v>
      </c>
      <c r="CL82">
        <f t="shared" si="1068"/>
        <v>0.23742723794763623</v>
      </c>
      <c r="CM82">
        <f t="shared" si="1068"/>
        <v>0.23080270642731152</v>
      </c>
      <c r="CN82">
        <f t="shared" si="1068"/>
        <v>0.2244894378106041</v>
      </c>
      <c r="CO82">
        <f t="shared" si="1068"/>
        <v>0.21846758349640608</v>
      </c>
      <c r="CP82">
        <f t="shared" si="1068"/>
        <v>0.21271888441336079</v>
      </c>
      <c r="CQ82">
        <f t="shared" si="1068"/>
        <v>0.20722652008053541</v>
      </c>
      <c r="CR82">
        <f t="shared" si="1068"/>
        <v>0.2019749740847627</v>
      </c>
      <c r="CS82">
        <f t="shared" si="1068"/>
        <v>0.19694991397032205</v>
      </c>
      <c r="CT82">
        <f t="shared" si="1068"/>
        <v>0.1921380838075599</v>
      </c>
      <c r="CU82">
        <f t="shared" si="1068"/>
        <v>0.18752720793789832</v>
      </c>
      <c r="CV82">
        <f t="shared" si="1068"/>
        <v>0.18310590458985976</v>
      </c>
      <c r="CW82">
        <f t="shared" si="1068"/>
        <v>0.17886360822958725</v>
      </c>
      <c r="CX82">
        <f t="shared" si="1068"/>
        <v>0.1747904996542638</v>
      </c>
      <c r="CY82">
        <f t="shared" si="1068"/>
        <v>0.17087744296151477</v>
      </c>
      <c r="CZ82">
        <f t="shared" si="1068"/>
        <v>0.16711592863538233</v>
      </c>
      <c r="DA82">
        <f t="shared" si="1068"/>
        <v>0.16349802208235359</v>
      </c>
      <c r="DB82">
        <f t="shared" si="1068"/>
        <v>0.16001631703136737</v>
      </c>
      <c r="DC82">
        <f t="shared" si="1068"/>
        <v>0.15666389328152192</v>
      </c>
      <c r="DD82">
        <f t="shared" si="1068"/>
        <v>0.15343427834189402</v>
      </c>
      <c r="DE82">
        <f t="shared" si="1068"/>
        <v>0.15032141256074585</v>
      </c>
      <c r="DF82">
        <f t="shared" si="1068"/>
        <v>0.14731961738753699</v>
      </c>
      <c r="DG82">
        <f t="shared" si="1068"/>
        <v>0.14442356645150461</v>
      </c>
      <c r="DH82">
        <f t="shared" si="1068"/>
        <v>0.14162825917591396</v>
      </c>
      <c r="DI82">
        <f t="shared" si="1068"/>
        <v>0.13892899667809278</v>
      </c>
      <c r="DJ82">
        <f t="shared" si="1068"/>
        <v>0.13632135973261955</v>
      </c>
      <c r="DK82">
        <f t="shared" si="1068"/>
        <v>0.13380118859903553</v>
      </c>
      <c r="DL82">
        <f t="shared" si="1068"/>
        <v>0.13136456453660958</v>
      </c>
      <c r="DM82">
        <f t="shared" si="1068"/>
        <v>0.12900779284738018</v>
      </c>
      <c r="DN82">
        <f t="shared" si="1068"/>
        <v>0.12672738730522984</v>
      </c>
      <c r="DO82">
        <f t="shared" si="1068"/>
        <v>0.12452005584339605</v>
      </c>
      <c r="DP82">
        <f t="shared" si="1068"/>
        <v>0.12238268738581766</v>
      </c>
      <c r="DQ82">
        <f t="shared" si="1068"/>
        <v>0.12031233971926181</v>
      </c>
      <c r="DR82">
        <f t="shared" si="1068"/>
        <v>0.11830622831344653</v>
      </c>
      <c r="DS82">
        <f t="shared" si="1068"/>
        <v>0.11636171600552599</v>
      </c>
      <c r="DT82">
        <f t="shared" si="1068"/>
        <v>0.11447630347346789</v>
      </c>
      <c r="DU82">
        <f t="shared" si="1068"/>
        <v>0.11264762043014383</v>
      </c>
      <c r="DV82">
        <f t="shared" si="1068"/>
        <v>0.11087341747647135</v>
      </c>
      <c r="DW82">
        <f t="shared" si="1068"/>
        <v>0.10915155855778805</v>
      </c>
      <c r="DX82">
        <f t="shared" si="1068"/>
        <v>0.1074800139728677</v>
      </c>
      <c r="DY82">
        <f t="shared" si="1068"/>
        <v>0.10585685388968778</v>
      </c>
      <c r="DZ82">
        <f t="shared" si="1068"/>
        <v>0.10428024232627675</v>
      </c>
      <c r="EA82">
        <f t="shared" si="1068"/>
        <v>0.10274843155876491</v>
      </c>
      <c r="EB82">
        <f t="shared" ref="EB82:GM82" si="1069">MIN(1,EB48*1/EB89*1/EB91*1/EB93*1/EB94*1/EB95*1/EB96*1/EB98)</f>
        <v>0.10125975692218223</v>
      </c>
      <c r="EC82">
        <f t="shared" si="1069"/>
        <v>9.9812631972624438E-2</v>
      </c>
      <c r="ED82">
        <f t="shared" si="1069"/>
        <v>9.8405543982191798E-2</v>
      </c>
      <c r="EE82">
        <f t="shared" si="1069"/>
        <v>9.7037049740612849E-2</v>
      </c>
      <c r="EF82">
        <f t="shared" si="1069"/>
        <v>9.5705771639737106E-2</v>
      </c>
      <c r="EG82">
        <f t="shared" si="1069"/>
        <v>9.4410394019133773E-2</v>
      </c>
      <c r="EH82">
        <f t="shared" si="1069"/>
        <v>9.3149659752894493E-2</v>
      </c>
      <c r="EI82">
        <f t="shared" si="1069"/>
        <v>9.1922367059424442E-2</v>
      </c>
      <c r="EJ82">
        <f t="shared" si="1069"/>
        <v>9.072736651753685E-2</v>
      </c>
      <c r="EK82">
        <f t="shared" si="1069"/>
        <v>8.9563558273556193E-2</v>
      </c>
      <c r="EL82">
        <f t="shared" si="1069"/>
        <v>8.842988942539784E-2</v>
      </c>
      <c r="EM82">
        <f t="shared" si="1069"/>
        <v>8.7325351570742185E-2</v>
      </c>
      <c r="EN82">
        <f t="shared" si="1069"/>
        <v>8.6248978507467211E-2</v>
      </c>
      <c r="EO82">
        <f t="shared" si="1069"/>
        <v>8.5199844075456249E-2</v>
      </c>
      <c r="EP82">
        <f t="shared" si="1069"/>
        <v>8.4177060129768458E-2</v>
      </c>
      <c r="EQ82">
        <f t="shared" si="1069"/>
        <v>8.3179774635951442E-2</v>
      </c>
      <c r="ER82">
        <f t="shared" si="1069"/>
        <v>8.2207169879000425E-2</v>
      </c>
      <c r="ES82">
        <f t="shared" si="1069"/>
        <v>8.1258460778131258E-2</v>
      </c>
      <c r="ET82">
        <f t="shared" si="1069"/>
        <v>8.0332893300138847E-2</v>
      </c>
      <c r="EU82">
        <f t="shared" si="1069"/>
        <v>7.9429742964667482E-2</v>
      </c>
      <c r="EV82">
        <f t="shared" si="1069"/>
        <v>7.854831343522789E-2</v>
      </c>
      <c r="EW82">
        <f t="shared" si="1069"/>
        <v>7.7687935190259072E-2</v>
      </c>
      <c r="EX82">
        <f t="shared" si="1069"/>
        <v>7.6847964268962052E-2</v>
      </c>
      <c r="EY82">
        <f t="shared" si="1069"/>
        <v>7.6027781087022198E-2</v>
      </c>
      <c r="EZ82">
        <f t="shared" si="1069"/>
        <v>7.5226789317697593E-2</v>
      </c>
      <c r="FA82">
        <f t="shared" si="1069"/>
        <v>7.4444414834080874E-2</v>
      </c>
      <c r="FB82">
        <f t="shared" si="1069"/>
        <v>7.3680104708645916E-2</v>
      </c>
      <c r="FC82">
        <f t="shared" si="1069"/>
        <v>7.2933326266470241E-2</v>
      </c>
      <c r="FD82">
        <f t="shared" si="1069"/>
        <v>7.2203566188781557E-2</v>
      </c>
      <c r="FE82">
        <f t="shared" si="1069"/>
        <v>7.1490329663713756E-2</v>
      </c>
      <c r="FF82">
        <f t="shared" si="1069"/>
        <v>7.0793139581376466E-2</v>
      </c>
      <c r="FG82">
        <f t="shared" si="1069"/>
        <v>7.0111535770543618E-2</v>
      </c>
      <c r="FH82">
        <f t="shared" si="1069"/>
        <v>6.9445074274453303E-2</v>
      </c>
      <c r="FI82">
        <f t="shared" si="1069"/>
        <v>6.8793326663381782E-2</v>
      </c>
      <c r="FJ82">
        <f t="shared" si="1069"/>
        <v>6.8155879381814402E-2</v>
      </c>
      <c r="FK82">
        <f t="shared" si="1069"/>
        <v>6.7532333128182645E-2</v>
      </c>
      <c r="FL82">
        <f t="shared" si="1069"/>
        <v>6.6922302265272113E-2</v>
      </c>
      <c r="FM82">
        <f t="shared" si="1069"/>
        <v>6.6325414259532325E-2</v>
      </c>
      <c r="FN82">
        <f t="shared" si="1069"/>
        <v>6.5741309147635374E-2</v>
      </c>
      <c r="FO82">
        <f t="shared" si="1069"/>
        <v>6.5169639028738541E-2</v>
      </c>
      <c r="FP82">
        <f t="shared" si="1069"/>
        <v>6.4610067581006167E-2</v>
      </c>
      <c r="FQ82">
        <f t="shared" si="1069"/>
        <v>6.4062269601038474E-2</v>
      </c>
      <c r="FR82">
        <f t="shared" si="1069"/>
        <v>6.3525930564941546E-2</v>
      </c>
      <c r="FS82">
        <f t="shared" si="1069"/>
        <v>6.3000746209852798E-2</v>
      </c>
      <c r="FT82">
        <f t="shared" si="1069"/>
        <v>6.248642213481008E-2</v>
      </c>
      <c r="FU82">
        <f t="shared" si="1069"/>
        <v>6.1982673419922654E-2</v>
      </c>
      <c r="FV82">
        <f t="shared" si="1069"/>
        <v>6.148922426286544E-2</v>
      </c>
      <c r="FW82">
        <f t="shared" si="1069"/>
        <v>6.1005807631778777E-2</v>
      </c>
      <c r="FX82">
        <f t="shared" si="1069"/>
        <v>6.0532164933711441E-2</v>
      </c>
      <c r="FY82">
        <f t="shared" si="1069"/>
        <v>6.006804569779621E-2</v>
      </c>
      <c r="FZ82">
        <f t="shared" si="1069"/>
        <v>5.9613207272396419E-2</v>
      </c>
      <c r="GA82">
        <f t="shared" si="1069"/>
        <v>5.9167414535506495E-2</v>
      </c>
      <c r="GB82">
        <f t="shared" si="1069"/>
        <v>5.8730439617732048E-2</v>
      </c>
      <c r="GC82">
        <f t="shared" si="1069"/>
        <v>5.8302061637214415E-2</v>
      </c>
      <c r="GD82">
        <f t="shared" si="1069"/>
        <v>5.788206644590102E-2</v>
      </c>
      <c r="GE82">
        <f t="shared" si="1069"/>
        <v>5.7470246386597916E-2</v>
      </c>
      <c r="GF82">
        <f t="shared" si="1069"/>
        <v>5.7066400060272374E-2</v>
      </c>
      <c r="GG82">
        <f t="shared" si="1069"/>
        <v>5.6670332103103981E-2</v>
      </c>
      <c r="GH82">
        <f t="shared" si="1069"/>
        <v>5.6281852972810686E-2</v>
      </c>
      <c r="GI82">
        <f t="shared" si="1069"/>
        <v>5.5900778743802476E-2</v>
      </c>
      <c r="GJ82">
        <f t="shared" si="1069"/>
        <v>5.5526930910740478E-2</v>
      </c>
      <c r="GK82">
        <f t="shared" si="1069"/>
        <v>5.5160136200101913E-2</v>
      </c>
      <c r="GL82">
        <f t="shared" si="1069"/>
        <v>5.4800226389373818E-2</v>
      </c>
      <c r="GM82">
        <f t="shared" si="1069"/>
        <v>5.4447038133517908E-2</v>
      </c>
      <c r="GN82">
        <f t="shared" ref="GN82:IV82" si="1070">MIN(1,GN48*1/GN89*1/GN91*1/GN93*1/GN94*1/GN95*1/GN96*1/GN98)</f>
        <v>5.4100412798369177E-2</v>
      </c>
      <c r="GO82">
        <f t="shared" si="1070"/>
        <v>5.3760196300647788E-2</v>
      </c>
      <c r="GP82">
        <f t="shared" si="1070"/>
        <v>5.3426238954281516E-2</v>
      </c>
      <c r="GQ82">
        <f t="shared" si="1070"/>
        <v>5.3098395322751499E-2</v>
      </c>
      <c r="GR82">
        <f t="shared" si="1070"/>
        <v>5.2776524077189198E-2</v>
      </c>
      <c r="GS82">
        <f t="shared" si="1070"/>
        <v>5.2460487859966182E-2</v>
      </c>
      <c r="GT82">
        <f t="shared" si="1070"/>
        <v>5.2150153153532372E-2</v>
      </c>
      <c r="GU82">
        <f t="shared" si="1070"/>
        <v>5.1845390154269713E-2</v>
      </c>
      <c r="GV82">
        <f t="shared" si="1070"/>
        <v>5.1546072651141382E-2</v>
      </c>
      <c r="GW82">
        <f t="shared" si="1070"/>
        <v>5.1252077908926344E-2</v>
      </c>
      <c r="GX82">
        <f t="shared" si="1070"/>
        <v>5.0963286555840502E-2</v>
      </c>
      <c r="GY82">
        <f t="shared" si="1070"/>
        <v>5.0679582475355485E-2</v>
      </c>
      <c r="GZ82">
        <f t="shared" si="1070"/>
        <v>5.0400852702034378E-2</v>
      </c>
      <c r="HA82">
        <f t="shared" si="1070"/>
        <v>5.0126987321214352E-2</v>
      </c>
      <c r="HB82">
        <f t="shared" si="1070"/>
        <v>4.9857879372372585E-2</v>
      </c>
      <c r="HC82">
        <f t="shared" si="1070"/>
        <v>4.9593424756020618E-2</v>
      </c>
      <c r="HD82">
        <f t="shared" si="1070"/>
        <v>4.9333522143980298E-2</v>
      </c>
      <c r="HE82">
        <f t="shared" si="1070"/>
        <v>4.9078072892899963E-2</v>
      </c>
      <c r="HF82">
        <f t="shared" si="1070"/>
        <v>4.8826980960877467E-2</v>
      </c>
      <c r="HG82">
        <f t="shared" si="1070"/>
        <v>4.8580152827062434E-2</v>
      </c>
      <c r="HH82">
        <f t="shared" si="1070"/>
        <v>4.8337497414116234E-2</v>
      </c>
      <c r="HI82">
        <f t="shared" si="1070"/>
        <v>4.8098926013413326E-2</v>
      </c>
      <c r="HJ82">
        <f t="shared" si="1070"/>
        <v>4.7864352212873794E-2</v>
      </c>
      <c r="HK82">
        <f t="shared" si="1070"/>
        <v>4.7633691827321231E-2</v>
      </c>
      <c r="HL82">
        <f t="shared" si="1070"/>
        <v>4.7406862831265544E-2</v>
      </c>
      <c r="HM82">
        <f t="shared" si="1070"/>
        <v>4.7183785294013868E-2</v>
      </c>
      <c r="HN82">
        <f t="shared" si="1070"/>
        <v>4.6964381317018557E-2</v>
      </c>
      <c r="HO82">
        <f t="shared" si="1070"/>
        <v>4.6748574973373862E-2</v>
      </c>
      <c r="HP82">
        <f t="shared" si="1070"/>
        <v>4.653629224937763E-2</v>
      </c>
      <c r="HQ82">
        <f t="shared" si="1070"/>
        <v>4.6327460988077968E-2</v>
      </c>
      <c r="HR82">
        <f t="shared" si="1070"/>
        <v>4.6122010834728208E-2</v>
      </c>
      <c r="HS82">
        <f t="shared" si="1070"/>
        <v>4.5919873184076691E-2</v>
      </c>
      <c r="HT82">
        <f t="shared" si="1070"/>
        <v>4.572098112942162E-2</v>
      </c>
      <c r="HU82">
        <f t="shared" si="1070"/>
        <v>4.5525269413363503E-2</v>
      </c>
      <c r="HV82">
        <f t="shared" si="1070"/>
        <v>4.5332674380191465E-2</v>
      </c>
      <c r="HW82">
        <f t="shared" si="1070"/>
        <v>4.5143133929841359E-2</v>
      </c>
      <c r="HX82">
        <f t="shared" si="1070"/>
        <v>4.4956587473367622E-2</v>
      </c>
      <c r="HY82">
        <f t="shared" si="1070"/>
        <v>4.47729758898716E-2</v>
      </c>
      <c r="HZ82">
        <f t="shared" si="1070"/>
        <v>4.4592241484833199E-2</v>
      </c>
      <c r="IA82">
        <f t="shared" si="1070"/>
        <v>4.4414327949793539E-2</v>
      </c>
      <c r="IB82">
        <f t="shared" si="1070"/>
        <v>4.4239180323339317E-2</v>
      </c>
      <c r="IC82">
        <f t="shared" si="1070"/>
        <v>4.4066744953341216E-2</v>
      </c>
      <c r="ID82">
        <f t="shared" si="1070"/>
        <v>4.3896969460400885E-2</v>
      </c>
      <c r="IE82">
        <f t="shared" si="1070"/>
        <v>4.3729802702462531E-2</v>
      </c>
      <c r="IF82">
        <f t="shared" si="1070"/>
        <v>4.3565194740547618E-2</v>
      </c>
      <c r="IG82">
        <f t="shared" si="1070"/>
        <v>4.3403096805571889E-2</v>
      </c>
      <c r="IH82">
        <f t="shared" si="1070"/>
        <v>4.3243461266206693E-2</v>
      </c>
      <c r="II82">
        <f t="shared" si="1070"/>
        <v>4.3086241597746718E-2</v>
      </c>
      <c r="IJ82">
        <f t="shared" si="1070"/>
        <v>4.2931392351949704E-2</v>
      </c>
      <c r="IK82">
        <f t="shared" si="1070"/>
        <v>4.277886912781273E-2</v>
      </c>
      <c r="IL82">
        <f t="shared" si="1070"/>
        <v>4.262862854325309E-2</v>
      </c>
      <c r="IM82">
        <f t="shared" si="1070"/>
        <v>4.2480628207661845E-2</v>
      </c>
      <c r="IN82">
        <f t="shared" si="1070"/>
        <v>4.2334826695299872E-2</v>
      </c>
      <c r="IO82">
        <f t="shared" si="1070"/>
        <v>4.2191183519507264E-2</v>
      </c>
      <c r="IP82">
        <f t="shared" si="1070"/>
        <v>4.2049659107697993E-2</v>
      </c>
      <c r="IQ82">
        <f t="shared" si="1070"/>
        <v>4.1910214777113097E-2</v>
      </c>
      <c r="IR82">
        <f t="shared" si="1070"/>
        <v>4.1772812711306277E-2</v>
      </c>
      <c r="IS82">
        <f t="shared" si="1070"/>
        <v>4.1637415937337288E-2</v>
      </c>
      <c r="IT82">
        <f t="shared" si="1070"/>
        <v>4.1503988303648938E-2</v>
      </c>
      <c r="IU82">
        <f t="shared" si="1070"/>
        <v>4.1372494458604692E-2</v>
      </c>
      <c r="IV82">
        <f t="shared" si="1070"/>
        <v>4.1242899829664906E-2</v>
      </c>
    </row>
    <row r="83" spans="1:256" x14ac:dyDescent="0.2">
      <c r="A83" t="s">
        <v>554</v>
      </c>
      <c r="B83">
        <f>MIN(1,B49*B102)</f>
        <v>0.93942077636718746</v>
      </c>
      <c r="C83">
        <f>MIN(1,C49*C102)</f>
        <v>1</v>
      </c>
      <c r="D83">
        <f t="shared" ref="D83:BO83" si="1071">MIN(1,D49*D102)</f>
        <v>1</v>
      </c>
      <c r="E83">
        <f t="shared" si="1071"/>
        <v>1</v>
      </c>
      <c r="F83">
        <f t="shared" si="1071"/>
        <v>1</v>
      </c>
      <c r="G83">
        <f t="shared" si="1071"/>
        <v>1</v>
      </c>
      <c r="H83">
        <f t="shared" si="1071"/>
        <v>1</v>
      </c>
      <c r="I83">
        <f t="shared" si="1071"/>
        <v>1</v>
      </c>
      <c r="J83">
        <f t="shared" si="1071"/>
        <v>1</v>
      </c>
      <c r="K83">
        <f t="shared" si="1071"/>
        <v>1</v>
      </c>
      <c r="L83">
        <f t="shared" si="1071"/>
        <v>1</v>
      </c>
      <c r="M83">
        <f t="shared" si="1071"/>
        <v>1</v>
      </c>
      <c r="N83">
        <f t="shared" si="1071"/>
        <v>1</v>
      </c>
      <c r="O83">
        <f t="shared" si="1071"/>
        <v>1</v>
      </c>
      <c r="P83">
        <f t="shared" si="1071"/>
        <v>1</v>
      </c>
      <c r="Q83">
        <f t="shared" si="1071"/>
        <v>1</v>
      </c>
      <c r="R83">
        <f t="shared" si="1071"/>
        <v>1</v>
      </c>
      <c r="S83">
        <f t="shared" si="1071"/>
        <v>1</v>
      </c>
      <c r="T83">
        <f t="shared" si="1071"/>
        <v>1</v>
      </c>
      <c r="U83">
        <f t="shared" si="1071"/>
        <v>1</v>
      </c>
      <c r="V83">
        <f t="shared" si="1071"/>
        <v>1</v>
      </c>
      <c r="W83">
        <f t="shared" si="1071"/>
        <v>1</v>
      </c>
      <c r="X83">
        <f t="shared" si="1071"/>
        <v>1</v>
      </c>
      <c r="Y83">
        <f t="shared" si="1071"/>
        <v>1</v>
      </c>
      <c r="Z83">
        <f t="shared" si="1071"/>
        <v>1</v>
      </c>
      <c r="AA83">
        <f t="shared" si="1071"/>
        <v>1</v>
      </c>
      <c r="AB83">
        <f t="shared" si="1071"/>
        <v>1</v>
      </c>
      <c r="AC83">
        <f t="shared" si="1071"/>
        <v>1</v>
      </c>
      <c r="AD83">
        <f t="shared" si="1071"/>
        <v>1</v>
      </c>
      <c r="AE83">
        <f t="shared" si="1071"/>
        <v>1</v>
      </c>
      <c r="AF83">
        <f t="shared" si="1071"/>
        <v>1</v>
      </c>
      <c r="AG83">
        <f t="shared" si="1071"/>
        <v>1</v>
      </c>
      <c r="AH83">
        <f t="shared" si="1071"/>
        <v>0.76650807886803907</v>
      </c>
      <c r="AI83">
        <f t="shared" si="1071"/>
        <v>0.76274833515453389</v>
      </c>
      <c r="AJ83">
        <f t="shared" si="1071"/>
        <v>0.75903558823744777</v>
      </c>
      <c r="AK83">
        <f t="shared" si="1071"/>
        <v>0.75536925065682492</v>
      </c>
      <c r="AL83">
        <f t="shared" si="1071"/>
        <v>0.75174874229596</v>
      </c>
      <c r="AM83">
        <f t="shared" si="1071"/>
        <v>0.74817349028960589</v>
      </c>
      <c r="AN83">
        <f t="shared" si="1071"/>
        <v>0.74464292893333117</v>
      </c>
      <c r="AO83">
        <f t="shared" si="1071"/>
        <v>0.74115649959400998</v>
      </c>
      <c r="AP83">
        <f t="shared" si="1071"/>
        <v>1</v>
      </c>
      <c r="AQ83">
        <f t="shared" si="1071"/>
        <v>1</v>
      </c>
      <c r="AR83">
        <f t="shared" si="1071"/>
        <v>1</v>
      </c>
      <c r="AS83">
        <f t="shared" si="1071"/>
        <v>1</v>
      </c>
      <c r="AT83">
        <f t="shared" si="1071"/>
        <v>1</v>
      </c>
      <c r="AU83">
        <f t="shared" si="1071"/>
        <v>1</v>
      </c>
      <c r="AV83">
        <f t="shared" si="1071"/>
        <v>1</v>
      </c>
      <c r="AW83">
        <f t="shared" si="1071"/>
        <v>1</v>
      </c>
      <c r="AX83">
        <f t="shared" si="1071"/>
        <v>0.93289414622635114</v>
      </c>
      <c r="AY83">
        <f t="shared" si="1071"/>
        <v>0.93652176469454296</v>
      </c>
      <c r="AZ83">
        <f t="shared" si="1071"/>
        <v>0.94010403793188257</v>
      </c>
      <c r="BA83">
        <f t="shared" si="1071"/>
        <v>0.94364153275375551</v>
      </c>
      <c r="BB83">
        <f t="shared" si="1071"/>
        <v>0.94713480889035484</v>
      </c>
      <c r="BC83">
        <f t="shared" si="1071"/>
        <v>0.95058441907524693</v>
      </c>
      <c r="BD83">
        <f t="shared" si="1071"/>
        <v>0.95399090913282758</v>
      </c>
      <c r="BE83">
        <f t="shared" si="1071"/>
        <v>0.95735481806468858</v>
      </c>
      <c r="BF83">
        <f t="shared" si="1071"/>
        <v>0.96067667813490132</v>
      </c>
      <c r="BG83">
        <f t="shared" si="1071"/>
        <v>0.96395701495423625</v>
      </c>
      <c r="BH83">
        <f t="shared" si="1071"/>
        <v>0.96719634756332962</v>
      </c>
      <c r="BI83">
        <f t="shared" si="1071"/>
        <v>0.97039518851480944</v>
      </c>
      <c r="BJ83">
        <f t="shared" si="1071"/>
        <v>0.97355404395439549</v>
      </c>
      <c r="BK83">
        <f t="shared" si="1071"/>
        <v>0.97667341370098693</v>
      </c>
      <c r="BL83">
        <f t="shared" si="1071"/>
        <v>0.97975379132574592</v>
      </c>
      <c r="BM83">
        <f t="shared" si="1071"/>
        <v>0.98279566423019538</v>
      </c>
      <c r="BN83">
        <f t="shared" si="1071"/>
        <v>0.98579951372333929</v>
      </c>
      <c r="BO83">
        <f t="shared" si="1071"/>
        <v>0.98876581509781902</v>
      </c>
      <c r="BP83">
        <f t="shared" ref="BP83:EA83" si="1072">MIN(1,BP49*BP102)</f>
        <v>0.99169503770511758</v>
      </c>
      <c r="BQ83">
        <f t="shared" si="1072"/>
        <v>0.994587645029825</v>
      </c>
      <c r="BR83">
        <f t="shared" si="1072"/>
        <v>0.99744409476297347</v>
      </c>
      <c r="BS83">
        <f t="shared" si="1072"/>
        <v>1</v>
      </c>
      <c r="BT83">
        <f t="shared" si="1072"/>
        <v>1</v>
      </c>
      <c r="BU83">
        <f t="shared" si="1072"/>
        <v>1</v>
      </c>
      <c r="BV83">
        <f t="shared" si="1072"/>
        <v>1</v>
      </c>
      <c r="BW83">
        <f t="shared" si="1072"/>
        <v>1</v>
      </c>
      <c r="BX83">
        <f t="shared" si="1072"/>
        <v>1</v>
      </c>
      <c r="BY83">
        <f t="shared" si="1072"/>
        <v>1</v>
      </c>
      <c r="BZ83">
        <f t="shared" si="1072"/>
        <v>1</v>
      </c>
      <c r="CA83">
        <f t="shared" si="1072"/>
        <v>1</v>
      </c>
      <c r="CB83">
        <f t="shared" si="1072"/>
        <v>1</v>
      </c>
      <c r="CC83">
        <f t="shared" si="1072"/>
        <v>1</v>
      </c>
      <c r="CD83">
        <f t="shared" si="1072"/>
        <v>1</v>
      </c>
      <c r="CE83">
        <f t="shared" si="1072"/>
        <v>1</v>
      </c>
      <c r="CF83">
        <f t="shared" si="1072"/>
        <v>1</v>
      </c>
      <c r="CG83">
        <f t="shared" si="1072"/>
        <v>1</v>
      </c>
      <c r="CH83">
        <f t="shared" si="1072"/>
        <v>1</v>
      </c>
      <c r="CI83">
        <f t="shared" si="1072"/>
        <v>1</v>
      </c>
      <c r="CJ83">
        <f t="shared" si="1072"/>
        <v>1</v>
      </c>
      <c r="CK83">
        <f t="shared" si="1072"/>
        <v>1</v>
      </c>
      <c r="CL83">
        <f t="shared" si="1072"/>
        <v>1</v>
      </c>
      <c r="CM83">
        <f t="shared" si="1072"/>
        <v>1</v>
      </c>
      <c r="CN83">
        <f t="shared" si="1072"/>
        <v>1</v>
      </c>
      <c r="CO83">
        <f t="shared" si="1072"/>
        <v>1</v>
      </c>
      <c r="CP83">
        <f t="shared" si="1072"/>
        <v>1</v>
      </c>
      <c r="CQ83">
        <f t="shared" si="1072"/>
        <v>1</v>
      </c>
      <c r="CR83">
        <f t="shared" si="1072"/>
        <v>1</v>
      </c>
      <c r="CS83">
        <f t="shared" si="1072"/>
        <v>1</v>
      </c>
      <c r="CT83">
        <f t="shared" si="1072"/>
        <v>1</v>
      </c>
      <c r="CU83">
        <f t="shared" si="1072"/>
        <v>1</v>
      </c>
      <c r="CV83">
        <f t="shared" si="1072"/>
        <v>1</v>
      </c>
      <c r="CW83">
        <f t="shared" si="1072"/>
        <v>1</v>
      </c>
      <c r="CX83">
        <f t="shared" si="1072"/>
        <v>1</v>
      </c>
      <c r="CY83">
        <f t="shared" si="1072"/>
        <v>1</v>
      </c>
      <c r="CZ83">
        <f t="shared" si="1072"/>
        <v>1</v>
      </c>
      <c r="DA83">
        <f t="shared" si="1072"/>
        <v>1</v>
      </c>
      <c r="DB83">
        <f t="shared" si="1072"/>
        <v>1</v>
      </c>
      <c r="DC83">
        <f t="shared" si="1072"/>
        <v>1</v>
      </c>
      <c r="DD83">
        <f t="shared" si="1072"/>
        <v>1</v>
      </c>
      <c r="DE83">
        <f t="shared" si="1072"/>
        <v>1</v>
      </c>
      <c r="DF83">
        <f t="shared" si="1072"/>
        <v>1</v>
      </c>
      <c r="DG83">
        <f t="shared" si="1072"/>
        <v>1</v>
      </c>
      <c r="DH83">
        <f t="shared" si="1072"/>
        <v>1</v>
      </c>
      <c r="DI83">
        <f t="shared" si="1072"/>
        <v>1</v>
      </c>
      <c r="DJ83">
        <f t="shared" si="1072"/>
        <v>1</v>
      </c>
      <c r="DK83">
        <f t="shared" si="1072"/>
        <v>1</v>
      </c>
      <c r="DL83">
        <f t="shared" si="1072"/>
        <v>1</v>
      </c>
      <c r="DM83">
        <f t="shared" si="1072"/>
        <v>1</v>
      </c>
      <c r="DN83">
        <f t="shared" si="1072"/>
        <v>1</v>
      </c>
      <c r="DO83">
        <f t="shared" si="1072"/>
        <v>1</v>
      </c>
      <c r="DP83">
        <f t="shared" si="1072"/>
        <v>1</v>
      </c>
      <c r="DQ83">
        <f t="shared" si="1072"/>
        <v>1</v>
      </c>
      <c r="DR83">
        <f t="shared" si="1072"/>
        <v>1</v>
      </c>
      <c r="DS83">
        <f t="shared" si="1072"/>
        <v>1</v>
      </c>
      <c r="DT83">
        <f t="shared" si="1072"/>
        <v>1</v>
      </c>
      <c r="DU83">
        <f t="shared" si="1072"/>
        <v>1</v>
      </c>
      <c r="DV83">
        <f t="shared" si="1072"/>
        <v>1</v>
      </c>
      <c r="DW83">
        <f t="shared" si="1072"/>
        <v>1</v>
      </c>
      <c r="DX83">
        <f t="shared" si="1072"/>
        <v>1</v>
      </c>
      <c r="DY83">
        <f t="shared" si="1072"/>
        <v>1</v>
      </c>
      <c r="DZ83">
        <f t="shared" si="1072"/>
        <v>1</v>
      </c>
      <c r="EA83">
        <f t="shared" si="1072"/>
        <v>1</v>
      </c>
      <c r="EB83">
        <f t="shared" ref="EB83:GM83" si="1073">MIN(1,EB49*EB102)</f>
        <v>1</v>
      </c>
      <c r="EC83">
        <f t="shared" si="1073"/>
        <v>1</v>
      </c>
      <c r="ED83">
        <f t="shared" si="1073"/>
        <v>1</v>
      </c>
      <c r="EE83">
        <f t="shared" si="1073"/>
        <v>1</v>
      </c>
      <c r="EF83">
        <f t="shared" si="1073"/>
        <v>1</v>
      </c>
      <c r="EG83">
        <f t="shared" si="1073"/>
        <v>1</v>
      </c>
      <c r="EH83">
        <f t="shared" si="1073"/>
        <v>1</v>
      </c>
      <c r="EI83">
        <f t="shared" si="1073"/>
        <v>1</v>
      </c>
      <c r="EJ83">
        <f t="shared" si="1073"/>
        <v>1</v>
      </c>
      <c r="EK83">
        <f t="shared" si="1073"/>
        <v>1</v>
      </c>
      <c r="EL83">
        <f t="shared" si="1073"/>
        <v>1</v>
      </c>
      <c r="EM83">
        <f t="shared" si="1073"/>
        <v>1</v>
      </c>
      <c r="EN83">
        <f t="shared" si="1073"/>
        <v>1</v>
      </c>
      <c r="EO83">
        <f t="shared" si="1073"/>
        <v>1</v>
      </c>
      <c r="EP83">
        <f t="shared" si="1073"/>
        <v>1</v>
      </c>
      <c r="EQ83">
        <f t="shared" si="1073"/>
        <v>1</v>
      </c>
      <c r="ER83">
        <f t="shared" si="1073"/>
        <v>1</v>
      </c>
      <c r="ES83">
        <f t="shared" si="1073"/>
        <v>1</v>
      </c>
      <c r="ET83">
        <f t="shared" si="1073"/>
        <v>1</v>
      </c>
      <c r="EU83">
        <f t="shared" si="1073"/>
        <v>1</v>
      </c>
      <c r="EV83">
        <f t="shared" si="1073"/>
        <v>1</v>
      </c>
      <c r="EW83">
        <f t="shared" si="1073"/>
        <v>1</v>
      </c>
      <c r="EX83">
        <f t="shared" si="1073"/>
        <v>1</v>
      </c>
      <c r="EY83">
        <f t="shared" si="1073"/>
        <v>1</v>
      </c>
      <c r="EZ83">
        <f t="shared" si="1073"/>
        <v>1</v>
      </c>
      <c r="FA83">
        <f t="shared" si="1073"/>
        <v>1</v>
      </c>
      <c r="FB83">
        <f t="shared" si="1073"/>
        <v>1</v>
      </c>
      <c r="FC83">
        <f t="shared" si="1073"/>
        <v>1</v>
      </c>
      <c r="FD83">
        <f t="shared" si="1073"/>
        <v>1</v>
      </c>
      <c r="FE83">
        <f t="shared" si="1073"/>
        <v>1</v>
      </c>
      <c r="FF83">
        <f t="shared" si="1073"/>
        <v>1</v>
      </c>
      <c r="FG83">
        <f t="shared" si="1073"/>
        <v>1</v>
      </c>
      <c r="FH83">
        <f t="shared" si="1073"/>
        <v>1</v>
      </c>
      <c r="FI83">
        <f t="shared" si="1073"/>
        <v>1</v>
      </c>
      <c r="FJ83">
        <f t="shared" si="1073"/>
        <v>1</v>
      </c>
      <c r="FK83">
        <f t="shared" si="1073"/>
        <v>1</v>
      </c>
      <c r="FL83">
        <f t="shared" si="1073"/>
        <v>1</v>
      </c>
      <c r="FM83">
        <f t="shared" si="1073"/>
        <v>1</v>
      </c>
      <c r="FN83">
        <f t="shared" si="1073"/>
        <v>1</v>
      </c>
      <c r="FO83">
        <f t="shared" si="1073"/>
        <v>1</v>
      </c>
      <c r="FP83">
        <f t="shared" si="1073"/>
        <v>1</v>
      </c>
      <c r="FQ83">
        <f t="shared" si="1073"/>
        <v>1</v>
      </c>
      <c r="FR83">
        <f t="shared" si="1073"/>
        <v>1</v>
      </c>
      <c r="FS83">
        <f t="shared" si="1073"/>
        <v>1</v>
      </c>
      <c r="FT83">
        <f t="shared" si="1073"/>
        <v>1</v>
      </c>
      <c r="FU83">
        <f t="shared" si="1073"/>
        <v>1</v>
      </c>
      <c r="FV83">
        <f t="shared" si="1073"/>
        <v>1</v>
      </c>
      <c r="FW83">
        <f t="shared" si="1073"/>
        <v>1</v>
      </c>
      <c r="FX83">
        <f t="shared" si="1073"/>
        <v>1</v>
      </c>
      <c r="FY83">
        <f t="shared" si="1073"/>
        <v>1</v>
      </c>
      <c r="FZ83">
        <f t="shared" si="1073"/>
        <v>1</v>
      </c>
      <c r="GA83">
        <f t="shared" si="1073"/>
        <v>1</v>
      </c>
      <c r="GB83">
        <f t="shared" si="1073"/>
        <v>1</v>
      </c>
      <c r="GC83">
        <f t="shared" si="1073"/>
        <v>1</v>
      </c>
      <c r="GD83">
        <f t="shared" si="1073"/>
        <v>1</v>
      </c>
      <c r="GE83">
        <f t="shared" si="1073"/>
        <v>1</v>
      </c>
      <c r="GF83">
        <f t="shared" si="1073"/>
        <v>1</v>
      </c>
      <c r="GG83">
        <f t="shared" si="1073"/>
        <v>1</v>
      </c>
      <c r="GH83">
        <f t="shared" si="1073"/>
        <v>1</v>
      </c>
      <c r="GI83">
        <f t="shared" si="1073"/>
        <v>1</v>
      </c>
      <c r="GJ83">
        <f t="shared" si="1073"/>
        <v>1</v>
      </c>
      <c r="GK83">
        <f t="shared" si="1073"/>
        <v>1</v>
      </c>
      <c r="GL83">
        <f t="shared" si="1073"/>
        <v>1</v>
      </c>
      <c r="GM83">
        <f t="shared" si="1073"/>
        <v>1</v>
      </c>
      <c r="GN83">
        <f t="shared" ref="GN83:IV83" si="1074">MIN(1,GN49*GN102)</f>
        <v>1</v>
      </c>
      <c r="GO83">
        <f t="shared" si="1074"/>
        <v>1</v>
      </c>
      <c r="GP83">
        <f t="shared" si="1074"/>
        <v>1</v>
      </c>
      <c r="GQ83">
        <f t="shared" si="1074"/>
        <v>1</v>
      </c>
      <c r="GR83">
        <f t="shared" si="1074"/>
        <v>1</v>
      </c>
      <c r="GS83">
        <f t="shared" si="1074"/>
        <v>1</v>
      </c>
      <c r="GT83">
        <f t="shared" si="1074"/>
        <v>1</v>
      </c>
      <c r="GU83">
        <f t="shared" si="1074"/>
        <v>1</v>
      </c>
      <c r="GV83">
        <f t="shared" si="1074"/>
        <v>1</v>
      </c>
      <c r="GW83">
        <f t="shared" si="1074"/>
        <v>1</v>
      </c>
      <c r="GX83">
        <f t="shared" si="1074"/>
        <v>1</v>
      </c>
      <c r="GY83">
        <f t="shared" si="1074"/>
        <v>1</v>
      </c>
      <c r="GZ83">
        <f t="shared" si="1074"/>
        <v>1</v>
      </c>
      <c r="HA83">
        <f t="shared" si="1074"/>
        <v>1</v>
      </c>
      <c r="HB83">
        <f t="shared" si="1074"/>
        <v>1</v>
      </c>
      <c r="HC83">
        <f t="shared" si="1074"/>
        <v>1</v>
      </c>
      <c r="HD83">
        <f t="shared" si="1074"/>
        <v>1</v>
      </c>
      <c r="HE83">
        <f t="shared" si="1074"/>
        <v>1</v>
      </c>
      <c r="HF83">
        <f t="shared" si="1074"/>
        <v>1</v>
      </c>
      <c r="HG83">
        <f t="shared" si="1074"/>
        <v>1</v>
      </c>
      <c r="HH83">
        <f t="shared" si="1074"/>
        <v>1</v>
      </c>
      <c r="HI83">
        <f t="shared" si="1074"/>
        <v>1</v>
      </c>
      <c r="HJ83">
        <f t="shared" si="1074"/>
        <v>1</v>
      </c>
      <c r="HK83">
        <f t="shared" si="1074"/>
        <v>1</v>
      </c>
      <c r="HL83">
        <f t="shared" si="1074"/>
        <v>1</v>
      </c>
      <c r="HM83">
        <f t="shared" si="1074"/>
        <v>1</v>
      </c>
      <c r="HN83">
        <f t="shared" si="1074"/>
        <v>1</v>
      </c>
      <c r="HO83">
        <f t="shared" si="1074"/>
        <v>1</v>
      </c>
      <c r="HP83">
        <f t="shared" si="1074"/>
        <v>1</v>
      </c>
      <c r="HQ83">
        <f t="shared" si="1074"/>
        <v>1</v>
      </c>
      <c r="HR83">
        <f t="shared" si="1074"/>
        <v>1</v>
      </c>
      <c r="HS83">
        <f t="shared" si="1074"/>
        <v>1</v>
      </c>
      <c r="HT83">
        <f t="shared" si="1074"/>
        <v>1</v>
      </c>
      <c r="HU83">
        <f t="shared" si="1074"/>
        <v>1</v>
      </c>
      <c r="HV83">
        <f t="shared" si="1074"/>
        <v>1</v>
      </c>
      <c r="HW83">
        <f t="shared" si="1074"/>
        <v>1</v>
      </c>
      <c r="HX83">
        <f t="shared" si="1074"/>
        <v>1</v>
      </c>
      <c r="HY83">
        <f t="shared" si="1074"/>
        <v>1</v>
      </c>
      <c r="HZ83">
        <f t="shared" si="1074"/>
        <v>1</v>
      </c>
      <c r="IA83">
        <f t="shared" si="1074"/>
        <v>1</v>
      </c>
      <c r="IB83">
        <f t="shared" si="1074"/>
        <v>1</v>
      </c>
      <c r="IC83">
        <f t="shared" si="1074"/>
        <v>1</v>
      </c>
      <c r="ID83">
        <f t="shared" si="1074"/>
        <v>1</v>
      </c>
      <c r="IE83">
        <f t="shared" si="1074"/>
        <v>1</v>
      </c>
      <c r="IF83">
        <f t="shared" si="1074"/>
        <v>1</v>
      </c>
      <c r="IG83">
        <f t="shared" si="1074"/>
        <v>1</v>
      </c>
      <c r="IH83">
        <f t="shared" si="1074"/>
        <v>1</v>
      </c>
      <c r="II83">
        <f t="shared" si="1074"/>
        <v>1</v>
      </c>
      <c r="IJ83">
        <f t="shared" si="1074"/>
        <v>1</v>
      </c>
      <c r="IK83">
        <f t="shared" si="1074"/>
        <v>1</v>
      </c>
      <c r="IL83">
        <f t="shared" si="1074"/>
        <v>1</v>
      </c>
      <c r="IM83">
        <f t="shared" si="1074"/>
        <v>1</v>
      </c>
      <c r="IN83">
        <f t="shared" si="1074"/>
        <v>1</v>
      </c>
      <c r="IO83">
        <f t="shared" si="1074"/>
        <v>1</v>
      </c>
      <c r="IP83">
        <f t="shared" si="1074"/>
        <v>1</v>
      </c>
      <c r="IQ83">
        <f t="shared" si="1074"/>
        <v>1</v>
      </c>
      <c r="IR83">
        <f t="shared" si="1074"/>
        <v>1</v>
      </c>
      <c r="IS83">
        <f t="shared" si="1074"/>
        <v>1</v>
      </c>
      <c r="IT83">
        <f t="shared" si="1074"/>
        <v>1</v>
      </c>
      <c r="IU83">
        <f t="shared" si="1074"/>
        <v>1</v>
      </c>
      <c r="IV83">
        <f t="shared" si="1074"/>
        <v>1</v>
      </c>
    </row>
    <row r="84" spans="1:256" x14ac:dyDescent="0.2">
      <c r="A84" t="s">
        <v>555</v>
      </c>
      <c r="B84">
        <f>MIN(1,B50)</f>
        <v>0.66393496229260485</v>
      </c>
      <c r="C84">
        <f>MIN(1,C50)</f>
        <v>0.66393496229260485</v>
      </c>
      <c r="D84">
        <f t="shared" ref="D84:BO84" si="1075">MIN(1,D50)</f>
        <v>0.66393496229260485</v>
      </c>
      <c r="E84">
        <f t="shared" si="1075"/>
        <v>0.66393496229260485</v>
      </c>
      <c r="F84">
        <f t="shared" si="1075"/>
        <v>0.66393496229260485</v>
      </c>
      <c r="G84">
        <f t="shared" si="1075"/>
        <v>0.66393496229260485</v>
      </c>
      <c r="H84">
        <f t="shared" si="1075"/>
        <v>0.66393496229260485</v>
      </c>
      <c r="I84">
        <f t="shared" si="1075"/>
        <v>0.66393496229260485</v>
      </c>
      <c r="J84">
        <f t="shared" si="1075"/>
        <v>1</v>
      </c>
      <c r="K84">
        <f t="shared" si="1075"/>
        <v>1</v>
      </c>
      <c r="L84">
        <f t="shared" si="1075"/>
        <v>1</v>
      </c>
      <c r="M84">
        <f t="shared" si="1075"/>
        <v>1</v>
      </c>
      <c r="N84">
        <f t="shared" si="1075"/>
        <v>1</v>
      </c>
      <c r="O84">
        <f t="shared" si="1075"/>
        <v>1</v>
      </c>
      <c r="P84">
        <f t="shared" si="1075"/>
        <v>1</v>
      </c>
      <c r="Q84">
        <f t="shared" si="1075"/>
        <v>1</v>
      </c>
      <c r="R84">
        <f t="shared" si="1075"/>
        <v>1</v>
      </c>
      <c r="S84">
        <f t="shared" si="1075"/>
        <v>1</v>
      </c>
      <c r="T84">
        <f t="shared" si="1075"/>
        <v>1</v>
      </c>
      <c r="U84">
        <f t="shared" si="1075"/>
        <v>1</v>
      </c>
      <c r="V84">
        <f t="shared" si="1075"/>
        <v>1</v>
      </c>
      <c r="W84">
        <f t="shared" si="1075"/>
        <v>1</v>
      </c>
      <c r="X84">
        <f t="shared" si="1075"/>
        <v>1</v>
      </c>
      <c r="Y84">
        <f t="shared" si="1075"/>
        <v>1</v>
      </c>
      <c r="Z84">
        <f t="shared" si="1075"/>
        <v>1</v>
      </c>
      <c r="AA84">
        <f t="shared" si="1075"/>
        <v>1</v>
      </c>
      <c r="AB84">
        <f t="shared" si="1075"/>
        <v>1</v>
      </c>
      <c r="AC84">
        <f t="shared" si="1075"/>
        <v>1</v>
      </c>
      <c r="AD84">
        <f t="shared" si="1075"/>
        <v>1</v>
      </c>
      <c r="AE84">
        <f t="shared" si="1075"/>
        <v>1</v>
      </c>
      <c r="AF84">
        <f t="shared" si="1075"/>
        <v>1</v>
      </c>
      <c r="AG84">
        <f t="shared" si="1075"/>
        <v>1</v>
      </c>
      <c r="AH84">
        <f t="shared" si="1075"/>
        <v>0.42901557922363281</v>
      </c>
      <c r="AI84">
        <f t="shared" si="1075"/>
        <v>0.42901557922363281</v>
      </c>
      <c r="AJ84">
        <f t="shared" si="1075"/>
        <v>0.42901557922363281</v>
      </c>
      <c r="AK84">
        <f t="shared" si="1075"/>
        <v>0.42901557922363281</v>
      </c>
      <c r="AL84">
        <f t="shared" si="1075"/>
        <v>0.42901557922363281</v>
      </c>
      <c r="AM84">
        <f t="shared" si="1075"/>
        <v>0.42901557922363281</v>
      </c>
      <c r="AN84">
        <f t="shared" si="1075"/>
        <v>0.42901557922363281</v>
      </c>
      <c r="AO84">
        <f t="shared" si="1075"/>
        <v>0.42901557922363281</v>
      </c>
      <c r="AP84">
        <f t="shared" si="1075"/>
        <v>0.85803115844726563</v>
      </c>
      <c r="AQ84">
        <f t="shared" si="1075"/>
        <v>0.85803115844726563</v>
      </c>
      <c r="AR84">
        <f t="shared" si="1075"/>
        <v>0.85803115844726563</v>
      </c>
      <c r="AS84">
        <f t="shared" si="1075"/>
        <v>0.85803115844726563</v>
      </c>
      <c r="AT84">
        <f t="shared" si="1075"/>
        <v>0.85803115844726563</v>
      </c>
      <c r="AU84">
        <f t="shared" si="1075"/>
        <v>0.85803115844726563</v>
      </c>
      <c r="AV84">
        <f t="shared" si="1075"/>
        <v>0.85803115844726563</v>
      </c>
      <c r="AW84">
        <f t="shared" si="1075"/>
        <v>0.85803115844726563</v>
      </c>
      <c r="AX84">
        <f t="shared" si="1075"/>
        <v>1</v>
      </c>
      <c r="AY84">
        <f t="shared" si="1075"/>
        <v>1</v>
      </c>
      <c r="AZ84">
        <f t="shared" si="1075"/>
        <v>1</v>
      </c>
      <c r="BA84">
        <f t="shared" si="1075"/>
        <v>1</v>
      </c>
      <c r="BB84">
        <f t="shared" si="1075"/>
        <v>1</v>
      </c>
      <c r="BC84">
        <f t="shared" si="1075"/>
        <v>1</v>
      </c>
      <c r="BD84">
        <f t="shared" si="1075"/>
        <v>1</v>
      </c>
      <c r="BE84">
        <f t="shared" si="1075"/>
        <v>1</v>
      </c>
      <c r="BF84">
        <f t="shared" si="1075"/>
        <v>1</v>
      </c>
      <c r="BG84">
        <f t="shared" si="1075"/>
        <v>1</v>
      </c>
      <c r="BH84">
        <f t="shared" si="1075"/>
        <v>1</v>
      </c>
      <c r="BI84">
        <f t="shared" si="1075"/>
        <v>1</v>
      </c>
      <c r="BJ84">
        <f t="shared" si="1075"/>
        <v>1</v>
      </c>
      <c r="BK84">
        <f t="shared" si="1075"/>
        <v>1</v>
      </c>
      <c r="BL84">
        <f t="shared" si="1075"/>
        <v>1</v>
      </c>
      <c r="BM84">
        <f t="shared" si="1075"/>
        <v>1</v>
      </c>
      <c r="BN84">
        <f t="shared" si="1075"/>
        <v>1</v>
      </c>
      <c r="BO84">
        <f t="shared" si="1075"/>
        <v>1</v>
      </c>
      <c r="BP84">
        <f t="shared" ref="BP84:EA84" si="1076">MIN(1,BP50)</f>
        <v>1</v>
      </c>
      <c r="BQ84">
        <f t="shared" si="1076"/>
        <v>1</v>
      </c>
      <c r="BR84">
        <f t="shared" si="1076"/>
        <v>1</v>
      </c>
      <c r="BS84">
        <f t="shared" si="1076"/>
        <v>1</v>
      </c>
      <c r="BT84">
        <f t="shared" si="1076"/>
        <v>1</v>
      </c>
      <c r="BU84">
        <f t="shared" si="1076"/>
        <v>1</v>
      </c>
      <c r="BV84">
        <f t="shared" si="1076"/>
        <v>1</v>
      </c>
      <c r="BW84">
        <f t="shared" si="1076"/>
        <v>1</v>
      </c>
      <c r="BX84">
        <f t="shared" si="1076"/>
        <v>1</v>
      </c>
      <c r="BY84">
        <f t="shared" si="1076"/>
        <v>1</v>
      </c>
      <c r="BZ84">
        <f t="shared" si="1076"/>
        <v>1</v>
      </c>
      <c r="CA84">
        <f t="shared" si="1076"/>
        <v>1</v>
      </c>
      <c r="CB84">
        <f t="shared" si="1076"/>
        <v>1</v>
      </c>
      <c r="CC84">
        <f t="shared" si="1076"/>
        <v>1</v>
      </c>
      <c r="CD84">
        <f t="shared" si="1076"/>
        <v>1</v>
      </c>
      <c r="CE84">
        <f t="shared" si="1076"/>
        <v>1</v>
      </c>
      <c r="CF84">
        <f t="shared" si="1076"/>
        <v>1</v>
      </c>
      <c r="CG84">
        <f t="shared" si="1076"/>
        <v>1</v>
      </c>
      <c r="CH84">
        <f t="shared" si="1076"/>
        <v>1</v>
      </c>
      <c r="CI84">
        <f t="shared" si="1076"/>
        <v>1</v>
      </c>
      <c r="CJ84">
        <f t="shared" si="1076"/>
        <v>1</v>
      </c>
      <c r="CK84">
        <f t="shared" si="1076"/>
        <v>1</v>
      </c>
      <c r="CL84">
        <f t="shared" si="1076"/>
        <v>1</v>
      </c>
      <c r="CM84">
        <f t="shared" si="1076"/>
        <v>1</v>
      </c>
      <c r="CN84">
        <f t="shared" si="1076"/>
        <v>1</v>
      </c>
      <c r="CO84">
        <f t="shared" si="1076"/>
        <v>1</v>
      </c>
      <c r="CP84">
        <f t="shared" si="1076"/>
        <v>1</v>
      </c>
      <c r="CQ84">
        <f t="shared" si="1076"/>
        <v>1</v>
      </c>
      <c r="CR84">
        <f t="shared" si="1076"/>
        <v>1</v>
      </c>
      <c r="CS84">
        <f t="shared" si="1076"/>
        <v>1</v>
      </c>
      <c r="CT84">
        <f t="shared" si="1076"/>
        <v>1</v>
      </c>
      <c r="CU84">
        <f t="shared" si="1076"/>
        <v>1</v>
      </c>
      <c r="CV84">
        <f t="shared" si="1076"/>
        <v>1</v>
      </c>
      <c r="CW84">
        <f t="shared" si="1076"/>
        <v>1</v>
      </c>
      <c r="CX84">
        <f t="shared" si="1076"/>
        <v>1</v>
      </c>
      <c r="CY84">
        <f t="shared" si="1076"/>
        <v>1</v>
      </c>
      <c r="CZ84">
        <f t="shared" si="1076"/>
        <v>1</v>
      </c>
      <c r="DA84">
        <f t="shared" si="1076"/>
        <v>1</v>
      </c>
      <c r="DB84">
        <f t="shared" si="1076"/>
        <v>1</v>
      </c>
      <c r="DC84">
        <f t="shared" si="1076"/>
        <v>1</v>
      </c>
      <c r="DD84">
        <f t="shared" si="1076"/>
        <v>1</v>
      </c>
      <c r="DE84">
        <f t="shared" si="1076"/>
        <v>1</v>
      </c>
      <c r="DF84">
        <f t="shared" si="1076"/>
        <v>1</v>
      </c>
      <c r="DG84">
        <f t="shared" si="1076"/>
        <v>1</v>
      </c>
      <c r="DH84">
        <f t="shared" si="1076"/>
        <v>1</v>
      </c>
      <c r="DI84">
        <f t="shared" si="1076"/>
        <v>1</v>
      </c>
      <c r="DJ84">
        <f t="shared" si="1076"/>
        <v>1</v>
      </c>
      <c r="DK84">
        <f t="shared" si="1076"/>
        <v>1</v>
      </c>
      <c r="DL84">
        <f t="shared" si="1076"/>
        <v>1</v>
      </c>
      <c r="DM84">
        <f t="shared" si="1076"/>
        <v>1</v>
      </c>
      <c r="DN84">
        <f t="shared" si="1076"/>
        <v>1</v>
      </c>
      <c r="DO84">
        <f t="shared" si="1076"/>
        <v>1</v>
      </c>
      <c r="DP84">
        <f t="shared" si="1076"/>
        <v>1</v>
      </c>
      <c r="DQ84">
        <f t="shared" si="1076"/>
        <v>1</v>
      </c>
      <c r="DR84">
        <f t="shared" si="1076"/>
        <v>1</v>
      </c>
      <c r="DS84">
        <f t="shared" si="1076"/>
        <v>1</v>
      </c>
      <c r="DT84">
        <f t="shared" si="1076"/>
        <v>1</v>
      </c>
      <c r="DU84">
        <f t="shared" si="1076"/>
        <v>1</v>
      </c>
      <c r="DV84">
        <f t="shared" si="1076"/>
        <v>1</v>
      </c>
      <c r="DW84">
        <f t="shared" si="1076"/>
        <v>1</v>
      </c>
      <c r="DX84">
        <f t="shared" si="1076"/>
        <v>1</v>
      </c>
      <c r="DY84">
        <f t="shared" si="1076"/>
        <v>1</v>
      </c>
      <c r="DZ84">
        <f t="shared" si="1076"/>
        <v>1</v>
      </c>
      <c r="EA84">
        <f t="shared" si="1076"/>
        <v>1</v>
      </c>
      <c r="EB84">
        <f t="shared" ref="EB84:GM84" si="1077">MIN(1,EB50)</f>
        <v>1</v>
      </c>
      <c r="EC84">
        <f t="shared" si="1077"/>
        <v>1</v>
      </c>
      <c r="ED84">
        <f t="shared" si="1077"/>
        <v>1</v>
      </c>
      <c r="EE84">
        <f t="shared" si="1077"/>
        <v>1</v>
      </c>
      <c r="EF84">
        <f t="shared" si="1077"/>
        <v>1</v>
      </c>
      <c r="EG84">
        <f t="shared" si="1077"/>
        <v>1</v>
      </c>
      <c r="EH84">
        <f t="shared" si="1077"/>
        <v>1</v>
      </c>
      <c r="EI84">
        <f t="shared" si="1077"/>
        <v>1</v>
      </c>
      <c r="EJ84">
        <f t="shared" si="1077"/>
        <v>1</v>
      </c>
      <c r="EK84">
        <f t="shared" si="1077"/>
        <v>1</v>
      </c>
      <c r="EL84">
        <f t="shared" si="1077"/>
        <v>1</v>
      </c>
      <c r="EM84">
        <f t="shared" si="1077"/>
        <v>1</v>
      </c>
      <c r="EN84">
        <f t="shared" si="1077"/>
        <v>1</v>
      </c>
      <c r="EO84">
        <f t="shared" si="1077"/>
        <v>1</v>
      </c>
      <c r="EP84">
        <f t="shared" si="1077"/>
        <v>1</v>
      </c>
      <c r="EQ84">
        <f t="shared" si="1077"/>
        <v>1</v>
      </c>
      <c r="ER84">
        <f t="shared" si="1077"/>
        <v>1</v>
      </c>
      <c r="ES84">
        <f t="shared" si="1077"/>
        <v>1</v>
      </c>
      <c r="ET84">
        <f t="shared" si="1077"/>
        <v>1</v>
      </c>
      <c r="EU84">
        <f t="shared" si="1077"/>
        <v>1</v>
      </c>
      <c r="EV84">
        <f t="shared" si="1077"/>
        <v>1</v>
      </c>
      <c r="EW84">
        <f t="shared" si="1077"/>
        <v>1</v>
      </c>
      <c r="EX84">
        <f t="shared" si="1077"/>
        <v>1</v>
      </c>
      <c r="EY84">
        <f t="shared" si="1077"/>
        <v>1</v>
      </c>
      <c r="EZ84">
        <f t="shared" si="1077"/>
        <v>1</v>
      </c>
      <c r="FA84">
        <f t="shared" si="1077"/>
        <v>1</v>
      </c>
      <c r="FB84">
        <f t="shared" si="1077"/>
        <v>1</v>
      </c>
      <c r="FC84">
        <f t="shared" si="1077"/>
        <v>1</v>
      </c>
      <c r="FD84">
        <f t="shared" si="1077"/>
        <v>1</v>
      </c>
      <c r="FE84">
        <f t="shared" si="1077"/>
        <v>1</v>
      </c>
      <c r="FF84">
        <f t="shared" si="1077"/>
        <v>1</v>
      </c>
      <c r="FG84">
        <f t="shared" si="1077"/>
        <v>1</v>
      </c>
      <c r="FH84">
        <f t="shared" si="1077"/>
        <v>1</v>
      </c>
      <c r="FI84">
        <f t="shared" si="1077"/>
        <v>1</v>
      </c>
      <c r="FJ84">
        <f t="shared" si="1077"/>
        <v>1</v>
      </c>
      <c r="FK84">
        <f t="shared" si="1077"/>
        <v>1</v>
      </c>
      <c r="FL84">
        <f t="shared" si="1077"/>
        <v>1</v>
      </c>
      <c r="FM84">
        <f t="shared" si="1077"/>
        <v>1</v>
      </c>
      <c r="FN84">
        <f t="shared" si="1077"/>
        <v>1</v>
      </c>
      <c r="FO84">
        <f t="shared" si="1077"/>
        <v>1</v>
      </c>
      <c r="FP84">
        <f t="shared" si="1077"/>
        <v>1</v>
      </c>
      <c r="FQ84">
        <f t="shared" si="1077"/>
        <v>1</v>
      </c>
      <c r="FR84">
        <f t="shared" si="1077"/>
        <v>1</v>
      </c>
      <c r="FS84">
        <f t="shared" si="1077"/>
        <v>1</v>
      </c>
      <c r="FT84">
        <f t="shared" si="1077"/>
        <v>1</v>
      </c>
      <c r="FU84">
        <f t="shared" si="1077"/>
        <v>1</v>
      </c>
      <c r="FV84">
        <f t="shared" si="1077"/>
        <v>1</v>
      </c>
      <c r="FW84">
        <f t="shared" si="1077"/>
        <v>1</v>
      </c>
      <c r="FX84">
        <f t="shared" si="1077"/>
        <v>1</v>
      </c>
      <c r="FY84">
        <f t="shared" si="1077"/>
        <v>1</v>
      </c>
      <c r="FZ84">
        <f t="shared" si="1077"/>
        <v>1</v>
      </c>
      <c r="GA84">
        <f t="shared" si="1077"/>
        <v>1</v>
      </c>
      <c r="GB84">
        <f t="shared" si="1077"/>
        <v>1</v>
      </c>
      <c r="GC84">
        <f t="shared" si="1077"/>
        <v>1</v>
      </c>
      <c r="GD84">
        <f t="shared" si="1077"/>
        <v>1</v>
      </c>
      <c r="GE84">
        <f t="shared" si="1077"/>
        <v>1</v>
      </c>
      <c r="GF84">
        <f t="shared" si="1077"/>
        <v>1</v>
      </c>
      <c r="GG84">
        <f t="shared" si="1077"/>
        <v>1</v>
      </c>
      <c r="GH84">
        <f t="shared" si="1077"/>
        <v>1</v>
      </c>
      <c r="GI84">
        <f t="shared" si="1077"/>
        <v>1</v>
      </c>
      <c r="GJ84">
        <f t="shared" si="1077"/>
        <v>1</v>
      </c>
      <c r="GK84">
        <f t="shared" si="1077"/>
        <v>1</v>
      </c>
      <c r="GL84">
        <f t="shared" si="1077"/>
        <v>1</v>
      </c>
      <c r="GM84">
        <f t="shared" si="1077"/>
        <v>1</v>
      </c>
      <c r="GN84">
        <f t="shared" ref="GN84:IV84" si="1078">MIN(1,GN50)</f>
        <v>1</v>
      </c>
      <c r="GO84">
        <f t="shared" si="1078"/>
        <v>1</v>
      </c>
      <c r="GP84">
        <f t="shared" si="1078"/>
        <v>1</v>
      </c>
      <c r="GQ84">
        <f t="shared" si="1078"/>
        <v>1</v>
      </c>
      <c r="GR84">
        <f t="shared" si="1078"/>
        <v>1</v>
      </c>
      <c r="GS84">
        <f t="shared" si="1078"/>
        <v>1</v>
      </c>
      <c r="GT84">
        <f t="shared" si="1078"/>
        <v>1</v>
      </c>
      <c r="GU84">
        <f t="shared" si="1078"/>
        <v>1</v>
      </c>
      <c r="GV84">
        <f t="shared" si="1078"/>
        <v>1</v>
      </c>
      <c r="GW84">
        <f t="shared" si="1078"/>
        <v>1</v>
      </c>
      <c r="GX84">
        <f t="shared" si="1078"/>
        <v>1</v>
      </c>
      <c r="GY84">
        <f t="shared" si="1078"/>
        <v>1</v>
      </c>
      <c r="GZ84">
        <f t="shared" si="1078"/>
        <v>1</v>
      </c>
      <c r="HA84">
        <f t="shared" si="1078"/>
        <v>1</v>
      </c>
      <c r="HB84">
        <f t="shared" si="1078"/>
        <v>1</v>
      </c>
      <c r="HC84">
        <f t="shared" si="1078"/>
        <v>1</v>
      </c>
      <c r="HD84">
        <f t="shared" si="1078"/>
        <v>1</v>
      </c>
      <c r="HE84">
        <f t="shared" si="1078"/>
        <v>1</v>
      </c>
      <c r="HF84">
        <f t="shared" si="1078"/>
        <v>1</v>
      </c>
      <c r="HG84">
        <f t="shared" si="1078"/>
        <v>1</v>
      </c>
      <c r="HH84">
        <f t="shared" si="1078"/>
        <v>1</v>
      </c>
      <c r="HI84">
        <f t="shared" si="1078"/>
        <v>1</v>
      </c>
      <c r="HJ84">
        <f t="shared" si="1078"/>
        <v>1</v>
      </c>
      <c r="HK84">
        <f t="shared" si="1078"/>
        <v>1</v>
      </c>
      <c r="HL84">
        <f t="shared" si="1078"/>
        <v>1</v>
      </c>
      <c r="HM84">
        <f t="shared" si="1078"/>
        <v>1</v>
      </c>
      <c r="HN84">
        <f t="shared" si="1078"/>
        <v>1</v>
      </c>
      <c r="HO84">
        <f t="shared" si="1078"/>
        <v>1</v>
      </c>
      <c r="HP84">
        <f t="shared" si="1078"/>
        <v>1</v>
      </c>
      <c r="HQ84">
        <f t="shared" si="1078"/>
        <v>1</v>
      </c>
      <c r="HR84">
        <f t="shared" si="1078"/>
        <v>1</v>
      </c>
      <c r="HS84">
        <f t="shared" si="1078"/>
        <v>1</v>
      </c>
      <c r="HT84">
        <f t="shared" si="1078"/>
        <v>1</v>
      </c>
      <c r="HU84">
        <f t="shared" si="1078"/>
        <v>1</v>
      </c>
      <c r="HV84">
        <f t="shared" si="1078"/>
        <v>1</v>
      </c>
      <c r="HW84">
        <f t="shared" si="1078"/>
        <v>1</v>
      </c>
      <c r="HX84">
        <f t="shared" si="1078"/>
        <v>1</v>
      </c>
      <c r="HY84">
        <f t="shared" si="1078"/>
        <v>1</v>
      </c>
      <c r="HZ84">
        <f t="shared" si="1078"/>
        <v>1</v>
      </c>
      <c r="IA84">
        <f t="shared" si="1078"/>
        <v>1</v>
      </c>
      <c r="IB84">
        <f t="shared" si="1078"/>
        <v>1</v>
      </c>
      <c r="IC84">
        <f t="shared" si="1078"/>
        <v>1</v>
      </c>
      <c r="ID84">
        <f t="shared" si="1078"/>
        <v>1</v>
      </c>
      <c r="IE84">
        <f t="shared" si="1078"/>
        <v>1</v>
      </c>
      <c r="IF84">
        <f t="shared" si="1078"/>
        <v>1</v>
      </c>
      <c r="IG84">
        <f t="shared" si="1078"/>
        <v>1</v>
      </c>
      <c r="IH84">
        <f t="shared" si="1078"/>
        <v>1</v>
      </c>
      <c r="II84">
        <f t="shared" si="1078"/>
        <v>1</v>
      </c>
      <c r="IJ84">
        <f t="shared" si="1078"/>
        <v>1</v>
      </c>
      <c r="IK84">
        <f t="shared" si="1078"/>
        <v>1</v>
      </c>
      <c r="IL84">
        <f t="shared" si="1078"/>
        <v>1</v>
      </c>
      <c r="IM84">
        <f t="shared" si="1078"/>
        <v>1</v>
      </c>
      <c r="IN84">
        <f t="shared" si="1078"/>
        <v>1</v>
      </c>
      <c r="IO84">
        <f t="shared" si="1078"/>
        <v>1</v>
      </c>
      <c r="IP84">
        <f t="shared" si="1078"/>
        <v>1</v>
      </c>
      <c r="IQ84">
        <f t="shared" si="1078"/>
        <v>1</v>
      </c>
      <c r="IR84">
        <f t="shared" si="1078"/>
        <v>1</v>
      </c>
      <c r="IS84">
        <f t="shared" si="1078"/>
        <v>1</v>
      </c>
      <c r="IT84">
        <f t="shared" si="1078"/>
        <v>1</v>
      </c>
      <c r="IU84">
        <f t="shared" si="1078"/>
        <v>1</v>
      </c>
      <c r="IV84">
        <f t="shared" si="1078"/>
        <v>1</v>
      </c>
    </row>
    <row r="85" spans="1:256" x14ac:dyDescent="0.2">
      <c r="A85" t="s">
        <v>556</v>
      </c>
      <c r="B85">
        <f>MIN(1,B51)</f>
        <v>0.64608152932591834</v>
      </c>
      <c r="C85">
        <f>MIN(1,C51)</f>
        <v>0.64608152932591834</v>
      </c>
      <c r="D85">
        <f t="shared" ref="D85:BO85" si="1079">MIN(1,D51)</f>
        <v>0.64608152932591834</v>
      </c>
      <c r="E85">
        <f t="shared" si="1079"/>
        <v>0.64608152932591834</v>
      </c>
      <c r="F85">
        <f t="shared" si="1079"/>
        <v>0.64608152932591834</v>
      </c>
      <c r="G85">
        <f t="shared" si="1079"/>
        <v>0.64608152932591834</v>
      </c>
      <c r="H85">
        <f t="shared" si="1079"/>
        <v>0.64608152932591834</v>
      </c>
      <c r="I85">
        <f t="shared" si="1079"/>
        <v>0.64608152932591834</v>
      </c>
      <c r="J85">
        <f t="shared" si="1079"/>
        <v>0.95631431676488821</v>
      </c>
      <c r="K85">
        <f t="shared" si="1079"/>
        <v>0.95631431676488821</v>
      </c>
      <c r="L85">
        <f t="shared" si="1079"/>
        <v>0.95631431676488821</v>
      </c>
      <c r="M85">
        <f t="shared" si="1079"/>
        <v>0.95631431676488821</v>
      </c>
      <c r="N85">
        <f t="shared" si="1079"/>
        <v>0.95631431676488821</v>
      </c>
      <c r="O85">
        <f t="shared" si="1079"/>
        <v>0.95631431676488821</v>
      </c>
      <c r="P85">
        <f t="shared" si="1079"/>
        <v>0.95631431676488821</v>
      </c>
      <c r="Q85">
        <f t="shared" si="1079"/>
        <v>0.95631431676488821</v>
      </c>
      <c r="R85">
        <f t="shared" si="1079"/>
        <v>0.61490054520136983</v>
      </c>
      <c r="S85">
        <f t="shared" si="1079"/>
        <v>0.61490054520136983</v>
      </c>
      <c r="T85">
        <f t="shared" si="1079"/>
        <v>0.61490054520136983</v>
      </c>
      <c r="U85">
        <f t="shared" si="1079"/>
        <v>0.61490054520136983</v>
      </c>
      <c r="V85">
        <f t="shared" si="1079"/>
        <v>0.61490054520136983</v>
      </c>
      <c r="W85">
        <f t="shared" si="1079"/>
        <v>0.61490054520136983</v>
      </c>
      <c r="X85">
        <f t="shared" si="1079"/>
        <v>0.61490054520136983</v>
      </c>
      <c r="Y85">
        <f t="shared" si="1079"/>
        <v>0.61490054520136983</v>
      </c>
      <c r="Z85">
        <f t="shared" si="1079"/>
        <v>1</v>
      </c>
      <c r="AA85">
        <f t="shared" si="1079"/>
        <v>1</v>
      </c>
      <c r="AB85">
        <f t="shared" si="1079"/>
        <v>1</v>
      </c>
      <c r="AC85">
        <f t="shared" si="1079"/>
        <v>1</v>
      </c>
      <c r="AD85">
        <f t="shared" si="1079"/>
        <v>1</v>
      </c>
      <c r="AE85">
        <f t="shared" si="1079"/>
        <v>1</v>
      </c>
      <c r="AF85">
        <f t="shared" si="1079"/>
        <v>1</v>
      </c>
      <c r="AG85">
        <f t="shared" si="1079"/>
        <v>1</v>
      </c>
      <c r="AH85">
        <f t="shared" si="1079"/>
        <v>0.46971038818359373</v>
      </c>
      <c r="AI85">
        <f t="shared" si="1079"/>
        <v>0.46971038818359373</v>
      </c>
      <c r="AJ85">
        <f t="shared" si="1079"/>
        <v>0.46971038818359373</v>
      </c>
      <c r="AK85">
        <f t="shared" si="1079"/>
        <v>0.46971038818359373</v>
      </c>
      <c r="AL85">
        <f t="shared" si="1079"/>
        <v>0.46971038818359373</v>
      </c>
      <c r="AM85">
        <f t="shared" si="1079"/>
        <v>0.46971038818359373</v>
      </c>
      <c r="AN85">
        <f t="shared" si="1079"/>
        <v>0.46971038818359373</v>
      </c>
      <c r="AO85">
        <f t="shared" si="1079"/>
        <v>0.46971038818359373</v>
      </c>
      <c r="AP85">
        <f t="shared" si="1079"/>
        <v>0.93942077636718757</v>
      </c>
      <c r="AQ85">
        <f t="shared" si="1079"/>
        <v>0.93942077636718757</v>
      </c>
      <c r="AR85">
        <f t="shared" si="1079"/>
        <v>0.93942077636718757</v>
      </c>
      <c r="AS85">
        <f t="shared" si="1079"/>
        <v>0.93942077636718757</v>
      </c>
      <c r="AT85">
        <f t="shared" si="1079"/>
        <v>0.93942077636718757</v>
      </c>
      <c r="AU85">
        <f t="shared" si="1079"/>
        <v>0.93942077636718757</v>
      </c>
      <c r="AV85">
        <f t="shared" si="1079"/>
        <v>0.93942077636718757</v>
      </c>
      <c r="AW85">
        <f t="shared" si="1079"/>
        <v>0.93942077636718757</v>
      </c>
      <c r="AX85">
        <f t="shared" si="1079"/>
        <v>0.99999999856059063</v>
      </c>
      <c r="AY85">
        <f t="shared" si="1079"/>
        <v>0.99999999856059063</v>
      </c>
      <c r="AZ85">
        <f t="shared" si="1079"/>
        <v>0.99999999856059063</v>
      </c>
      <c r="BA85">
        <f t="shared" si="1079"/>
        <v>0.99999999856059063</v>
      </c>
      <c r="BB85">
        <f t="shared" si="1079"/>
        <v>0.99999999856059063</v>
      </c>
      <c r="BC85">
        <f t="shared" si="1079"/>
        <v>0.99999999856059063</v>
      </c>
      <c r="BD85">
        <f t="shared" si="1079"/>
        <v>0.99999999856059063</v>
      </c>
      <c r="BE85">
        <f t="shared" si="1079"/>
        <v>0.99999999856059063</v>
      </c>
      <c r="BF85">
        <f t="shared" si="1079"/>
        <v>0.99999999856059063</v>
      </c>
      <c r="BG85">
        <f t="shared" si="1079"/>
        <v>0.99999999856059063</v>
      </c>
      <c r="BH85">
        <f t="shared" si="1079"/>
        <v>0.99999999856059063</v>
      </c>
      <c r="BI85">
        <f t="shared" si="1079"/>
        <v>0.99999999856059063</v>
      </c>
      <c r="BJ85">
        <f t="shared" si="1079"/>
        <v>0.99999999856059063</v>
      </c>
      <c r="BK85">
        <f t="shared" si="1079"/>
        <v>0.99999999856059063</v>
      </c>
      <c r="BL85">
        <f t="shared" si="1079"/>
        <v>0.99999999856059063</v>
      </c>
      <c r="BM85">
        <f t="shared" si="1079"/>
        <v>0.99999999856059063</v>
      </c>
      <c r="BN85">
        <f t="shared" si="1079"/>
        <v>0.99999999856059063</v>
      </c>
      <c r="BO85">
        <f t="shared" si="1079"/>
        <v>0.99999999856059063</v>
      </c>
      <c r="BP85">
        <f t="shared" ref="BP85:EA85" si="1080">MIN(1,BP51)</f>
        <v>0.99999999856059063</v>
      </c>
      <c r="BQ85">
        <f t="shared" si="1080"/>
        <v>0.99999999856059063</v>
      </c>
      <c r="BR85">
        <f t="shared" si="1080"/>
        <v>0.99999999856059063</v>
      </c>
      <c r="BS85">
        <f t="shared" si="1080"/>
        <v>0.99999999856059063</v>
      </c>
      <c r="BT85">
        <f t="shared" si="1080"/>
        <v>0.99999999856059063</v>
      </c>
      <c r="BU85">
        <f t="shared" si="1080"/>
        <v>0.99999999856059063</v>
      </c>
      <c r="BV85">
        <f t="shared" si="1080"/>
        <v>0.99999999856059063</v>
      </c>
      <c r="BW85">
        <f t="shared" si="1080"/>
        <v>0.99999999856059063</v>
      </c>
      <c r="BX85">
        <f t="shared" si="1080"/>
        <v>0.99999999856059063</v>
      </c>
      <c r="BY85">
        <f t="shared" si="1080"/>
        <v>0.99999999856059063</v>
      </c>
      <c r="BZ85">
        <f t="shared" si="1080"/>
        <v>0.99999999856059063</v>
      </c>
      <c r="CA85">
        <f t="shared" si="1080"/>
        <v>0.99999999856059063</v>
      </c>
      <c r="CB85">
        <f t="shared" si="1080"/>
        <v>0.99999999856059063</v>
      </c>
      <c r="CC85">
        <f t="shared" si="1080"/>
        <v>0.99999999856059063</v>
      </c>
      <c r="CD85">
        <f t="shared" si="1080"/>
        <v>0.99999999856059063</v>
      </c>
      <c r="CE85">
        <f t="shared" si="1080"/>
        <v>0.99999999856059063</v>
      </c>
      <c r="CF85">
        <f t="shared" si="1080"/>
        <v>0.99999999856059063</v>
      </c>
      <c r="CG85">
        <f t="shared" si="1080"/>
        <v>0.99999999856059063</v>
      </c>
      <c r="CH85">
        <f t="shared" si="1080"/>
        <v>0.99999999856059063</v>
      </c>
      <c r="CI85">
        <f t="shared" si="1080"/>
        <v>0.99999999856059063</v>
      </c>
      <c r="CJ85">
        <f t="shared" si="1080"/>
        <v>0.99999999856059063</v>
      </c>
      <c r="CK85">
        <f t="shared" si="1080"/>
        <v>0.99999999856059063</v>
      </c>
      <c r="CL85">
        <f t="shared" si="1080"/>
        <v>0.99999999856059063</v>
      </c>
      <c r="CM85">
        <f t="shared" si="1080"/>
        <v>0.99999999856059063</v>
      </c>
      <c r="CN85">
        <f t="shared" si="1080"/>
        <v>0.99999999856059063</v>
      </c>
      <c r="CO85">
        <f t="shared" si="1080"/>
        <v>0.99999999856059063</v>
      </c>
      <c r="CP85">
        <f t="shared" si="1080"/>
        <v>0.99999999856059063</v>
      </c>
      <c r="CQ85">
        <f t="shared" si="1080"/>
        <v>0.99999999856059063</v>
      </c>
      <c r="CR85">
        <f t="shared" si="1080"/>
        <v>0.99999999856059063</v>
      </c>
      <c r="CS85">
        <f t="shared" si="1080"/>
        <v>0.99999999856059063</v>
      </c>
      <c r="CT85">
        <f t="shared" si="1080"/>
        <v>0.99999999856059063</v>
      </c>
      <c r="CU85">
        <f t="shared" si="1080"/>
        <v>0.99999999856059063</v>
      </c>
      <c r="CV85">
        <f t="shared" si="1080"/>
        <v>0.99999999856059063</v>
      </c>
      <c r="CW85">
        <f t="shared" si="1080"/>
        <v>0.99999999856059063</v>
      </c>
      <c r="CX85">
        <f t="shared" si="1080"/>
        <v>0.99999999856059063</v>
      </c>
      <c r="CY85">
        <f t="shared" si="1080"/>
        <v>0.99999999856059063</v>
      </c>
      <c r="CZ85">
        <f t="shared" si="1080"/>
        <v>0.99999999856059063</v>
      </c>
      <c r="DA85">
        <f t="shared" si="1080"/>
        <v>0.99999999856059063</v>
      </c>
      <c r="DB85">
        <f t="shared" si="1080"/>
        <v>0.99999999856059063</v>
      </c>
      <c r="DC85">
        <f t="shared" si="1080"/>
        <v>0.99999999856059063</v>
      </c>
      <c r="DD85">
        <f t="shared" si="1080"/>
        <v>0.99999999856059063</v>
      </c>
      <c r="DE85">
        <f t="shared" si="1080"/>
        <v>0.99999999856059063</v>
      </c>
      <c r="DF85">
        <f t="shared" si="1080"/>
        <v>0.99999999856059063</v>
      </c>
      <c r="DG85">
        <f t="shared" si="1080"/>
        <v>0.99999999856059063</v>
      </c>
      <c r="DH85">
        <f t="shared" si="1080"/>
        <v>0.99999999856059063</v>
      </c>
      <c r="DI85">
        <f t="shared" si="1080"/>
        <v>0.99999999856059063</v>
      </c>
      <c r="DJ85">
        <f t="shared" si="1080"/>
        <v>0.99999999856059063</v>
      </c>
      <c r="DK85">
        <f t="shared" si="1080"/>
        <v>0.99999999856059063</v>
      </c>
      <c r="DL85">
        <f t="shared" si="1080"/>
        <v>0.99999999856059063</v>
      </c>
      <c r="DM85">
        <f t="shared" si="1080"/>
        <v>0.99999999856059063</v>
      </c>
      <c r="DN85">
        <f t="shared" si="1080"/>
        <v>0.99999999856059063</v>
      </c>
      <c r="DO85">
        <f t="shared" si="1080"/>
        <v>0.99999999856059063</v>
      </c>
      <c r="DP85">
        <f t="shared" si="1080"/>
        <v>0.99999999856059063</v>
      </c>
      <c r="DQ85">
        <f t="shared" si="1080"/>
        <v>0.99999999856059063</v>
      </c>
      <c r="DR85">
        <f t="shared" si="1080"/>
        <v>0.99999999856059063</v>
      </c>
      <c r="DS85">
        <f t="shared" si="1080"/>
        <v>0.99999999856059063</v>
      </c>
      <c r="DT85">
        <f t="shared" si="1080"/>
        <v>0.99999999856059063</v>
      </c>
      <c r="DU85">
        <f t="shared" si="1080"/>
        <v>0.99999999856059063</v>
      </c>
      <c r="DV85">
        <f t="shared" si="1080"/>
        <v>0.99999999856059063</v>
      </c>
      <c r="DW85">
        <f t="shared" si="1080"/>
        <v>0.99999999856059063</v>
      </c>
      <c r="DX85">
        <f t="shared" si="1080"/>
        <v>0.99999999856059063</v>
      </c>
      <c r="DY85">
        <f t="shared" si="1080"/>
        <v>0.99999999856059063</v>
      </c>
      <c r="DZ85">
        <f t="shared" si="1080"/>
        <v>0.99999999856059063</v>
      </c>
      <c r="EA85">
        <f t="shared" si="1080"/>
        <v>0.99999999856059063</v>
      </c>
      <c r="EB85">
        <f t="shared" ref="EB85:GM85" si="1081">MIN(1,EB51)</f>
        <v>0.99999999856059063</v>
      </c>
      <c r="EC85">
        <f t="shared" si="1081"/>
        <v>0.99999999856059063</v>
      </c>
      <c r="ED85">
        <f t="shared" si="1081"/>
        <v>0.99999999856059063</v>
      </c>
      <c r="EE85">
        <f t="shared" si="1081"/>
        <v>0.99999999856059063</v>
      </c>
      <c r="EF85">
        <f t="shared" si="1081"/>
        <v>0.99999999856059063</v>
      </c>
      <c r="EG85">
        <f t="shared" si="1081"/>
        <v>0.99999999856059063</v>
      </c>
      <c r="EH85">
        <f t="shared" si="1081"/>
        <v>0.99999999856059063</v>
      </c>
      <c r="EI85">
        <f t="shared" si="1081"/>
        <v>0.99999999856059063</v>
      </c>
      <c r="EJ85">
        <f t="shared" si="1081"/>
        <v>0.99999999856059063</v>
      </c>
      <c r="EK85">
        <f t="shared" si="1081"/>
        <v>0.99999999856059063</v>
      </c>
      <c r="EL85">
        <f t="shared" si="1081"/>
        <v>0.99999999856059063</v>
      </c>
      <c r="EM85">
        <f t="shared" si="1081"/>
        <v>0.99999999856059063</v>
      </c>
      <c r="EN85">
        <f t="shared" si="1081"/>
        <v>0.99999999856059063</v>
      </c>
      <c r="EO85">
        <f t="shared" si="1081"/>
        <v>0.99999999856059063</v>
      </c>
      <c r="EP85">
        <f t="shared" si="1081"/>
        <v>0.99999999856059063</v>
      </c>
      <c r="EQ85">
        <f t="shared" si="1081"/>
        <v>0.99999999856059063</v>
      </c>
      <c r="ER85">
        <f t="shared" si="1081"/>
        <v>0.99999999856059063</v>
      </c>
      <c r="ES85">
        <f t="shared" si="1081"/>
        <v>0.99999999856059063</v>
      </c>
      <c r="ET85">
        <f t="shared" si="1081"/>
        <v>0.99999999856059063</v>
      </c>
      <c r="EU85">
        <f t="shared" si="1081"/>
        <v>0.99999999856059063</v>
      </c>
      <c r="EV85">
        <f t="shared" si="1081"/>
        <v>0.99999999856059063</v>
      </c>
      <c r="EW85">
        <f t="shared" si="1081"/>
        <v>0.99999999856059063</v>
      </c>
      <c r="EX85">
        <f t="shared" si="1081"/>
        <v>0.99999999856059063</v>
      </c>
      <c r="EY85">
        <f t="shared" si="1081"/>
        <v>0.99999999856059063</v>
      </c>
      <c r="EZ85">
        <f t="shared" si="1081"/>
        <v>0.99999999856059063</v>
      </c>
      <c r="FA85">
        <f t="shared" si="1081"/>
        <v>0.99999999856059063</v>
      </c>
      <c r="FB85">
        <f t="shared" si="1081"/>
        <v>0.99999999856059063</v>
      </c>
      <c r="FC85">
        <f t="shared" si="1081"/>
        <v>0.99999999856059063</v>
      </c>
      <c r="FD85">
        <f t="shared" si="1081"/>
        <v>0.99999999856059063</v>
      </c>
      <c r="FE85">
        <f t="shared" si="1081"/>
        <v>0.99999999856059063</v>
      </c>
      <c r="FF85">
        <f t="shared" si="1081"/>
        <v>0.99999999856059063</v>
      </c>
      <c r="FG85">
        <f t="shared" si="1081"/>
        <v>0.99999999856059063</v>
      </c>
      <c r="FH85">
        <f t="shared" si="1081"/>
        <v>0.99999999856059063</v>
      </c>
      <c r="FI85">
        <f t="shared" si="1081"/>
        <v>0.99999999856059063</v>
      </c>
      <c r="FJ85">
        <f t="shared" si="1081"/>
        <v>0.99999999856059063</v>
      </c>
      <c r="FK85">
        <f t="shared" si="1081"/>
        <v>0.99999999856059063</v>
      </c>
      <c r="FL85">
        <f t="shared" si="1081"/>
        <v>0.99999999856059063</v>
      </c>
      <c r="FM85">
        <f t="shared" si="1081"/>
        <v>0.99999999856059063</v>
      </c>
      <c r="FN85">
        <f t="shared" si="1081"/>
        <v>0.99999999856059063</v>
      </c>
      <c r="FO85">
        <f t="shared" si="1081"/>
        <v>0.99999999856059063</v>
      </c>
      <c r="FP85">
        <f t="shared" si="1081"/>
        <v>0.99999999856059063</v>
      </c>
      <c r="FQ85">
        <f t="shared" si="1081"/>
        <v>0.99999999856059063</v>
      </c>
      <c r="FR85">
        <f t="shared" si="1081"/>
        <v>0.99999999856059063</v>
      </c>
      <c r="FS85">
        <f t="shared" si="1081"/>
        <v>0.99999999856059063</v>
      </c>
      <c r="FT85">
        <f t="shared" si="1081"/>
        <v>0.99999999856059063</v>
      </c>
      <c r="FU85">
        <f t="shared" si="1081"/>
        <v>0.99999999856059063</v>
      </c>
      <c r="FV85">
        <f t="shared" si="1081"/>
        <v>0.99999999856059063</v>
      </c>
      <c r="FW85">
        <f t="shared" si="1081"/>
        <v>0.99999999856059063</v>
      </c>
      <c r="FX85">
        <f t="shared" si="1081"/>
        <v>0.99999999856059063</v>
      </c>
      <c r="FY85">
        <f t="shared" si="1081"/>
        <v>0.99999999856059063</v>
      </c>
      <c r="FZ85">
        <f t="shared" si="1081"/>
        <v>0.99999999856059063</v>
      </c>
      <c r="GA85">
        <f t="shared" si="1081"/>
        <v>0.99999999856059063</v>
      </c>
      <c r="GB85">
        <f t="shared" si="1081"/>
        <v>0.99999999856059063</v>
      </c>
      <c r="GC85">
        <f t="shared" si="1081"/>
        <v>0.99999999856059063</v>
      </c>
      <c r="GD85">
        <f t="shared" si="1081"/>
        <v>0.99999999856059063</v>
      </c>
      <c r="GE85">
        <f t="shared" si="1081"/>
        <v>0.99999999856059063</v>
      </c>
      <c r="GF85">
        <f t="shared" si="1081"/>
        <v>0.99999999856059063</v>
      </c>
      <c r="GG85">
        <f t="shared" si="1081"/>
        <v>0.99999999856059063</v>
      </c>
      <c r="GH85">
        <f t="shared" si="1081"/>
        <v>0.99999999856059063</v>
      </c>
      <c r="GI85">
        <f t="shared" si="1081"/>
        <v>0.99999999856059063</v>
      </c>
      <c r="GJ85">
        <f t="shared" si="1081"/>
        <v>0.99999999856059063</v>
      </c>
      <c r="GK85">
        <f t="shared" si="1081"/>
        <v>0.99999999856059063</v>
      </c>
      <c r="GL85">
        <f t="shared" si="1081"/>
        <v>0.99999999856059063</v>
      </c>
      <c r="GM85">
        <f t="shared" si="1081"/>
        <v>0.99999999856059063</v>
      </c>
      <c r="GN85">
        <f t="shared" ref="GN85:IV85" si="1082">MIN(1,GN51)</f>
        <v>0.99999999856059063</v>
      </c>
      <c r="GO85">
        <f t="shared" si="1082"/>
        <v>0.99999999856059063</v>
      </c>
      <c r="GP85">
        <f t="shared" si="1082"/>
        <v>0.99999999856059063</v>
      </c>
      <c r="GQ85">
        <f t="shared" si="1082"/>
        <v>0.99999999856059063</v>
      </c>
      <c r="GR85">
        <f t="shared" si="1082"/>
        <v>0.99999999856059063</v>
      </c>
      <c r="GS85">
        <f t="shared" si="1082"/>
        <v>0.99999999856059063</v>
      </c>
      <c r="GT85">
        <f t="shared" si="1082"/>
        <v>0.99999999856059063</v>
      </c>
      <c r="GU85">
        <f t="shared" si="1082"/>
        <v>0.99999999856059063</v>
      </c>
      <c r="GV85">
        <f t="shared" si="1082"/>
        <v>0.99999999856059063</v>
      </c>
      <c r="GW85">
        <f t="shared" si="1082"/>
        <v>0.99999999856059063</v>
      </c>
      <c r="GX85">
        <f t="shared" si="1082"/>
        <v>0.99999999856059063</v>
      </c>
      <c r="GY85">
        <f t="shared" si="1082"/>
        <v>0.99999999856059063</v>
      </c>
      <c r="GZ85">
        <f t="shared" si="1082"/>
        <v>0.99999999856059063</v>
      </c>
      <c r="HA85">
        <f t="shared" si="1082"/>
        <v>0.99999999856059063</v>
      </c>
      <c r="HB85">
        <f t="shared" si="1082"/>
        <v>0.99999999856059063</v>
      </c>
      <c r="HC85">
        <f t="shared" si="1082"/>
        <v>0.99999999856059063</v>
      </c>
      <c r="HD85">
        <f t="shared" si="1082"/>
        <v>0.99999999856059063</v>
      </c>
      <c r="HE85">
        <f t="shared" si="1082"/>
        <v>0.99999999856059063</v>
      </c>
      <c r="HF85">
        <f t="shared" si="1082"/>
        <v>0.99999999856059063</v>
      </c>
      <c r="HG85">
        <f t="shared" si="1082"/>
        <v>0.99999999856059063</v>
      </c>
      <c r="HH85">
        <f t="shared" si="1082"/>
        <v>0.99999999856059063</v>
      </c>
      <c r="HI85">
        <f t="shared" si="1082"/>
        <v>0.99999999856059063</v>
      </c>
      <c r="HJ85">
        <f t="shared" si="1082"/>
        <v>0.99999999856059063</v>
      </c>
      <c r="HK85">
        <f t="shared" si="1082"/>
        <v>0.99999999856059063</v>
      </c>
      <c r="HL85">
        <f t="shared" si="1082"/>
        <v>0.99999999856059063</v>
      </c>
      <c r="HM85">
        <f t="shared" si="1082"/>
        <v>0.99999999856059063</v>
      </c>
      <c r="HN85">
        <f t="shared" si="1082"/>
        <v>0.99999999856059063</v>
      </c>
      <c r="HO85">
        <f t="shared" si="1082"/>
        <v>0.99999999856059063</v>
      </c>
      <c r="HP85">
        <f t="shared" si="1082"/>
        <v>0.99999999856059063</v>
      </c>
      <c r="HQ85">
        <f t="shared" si="1082"/>
        <v>0.99999999856059063</v>
      </c>
      <c r="HR85">
        <f t="shared" si="1082"/>
        <v>0.99999999856059063</v>
      </c>
      <c r="HS85">
        <f t="shared" si="1082"/>
        <v>0.99999999856059063</v>
      </c>
      <c r="HT85">
        <f t="shared" si="1082"/>
        <v>0.99999999856059063</v>
      </c>
      <c r="HU85">
        <f t="shared" si="1082"/>
        <v>0.99999999856059063</v>
      </c>
      <c r="HV85">
        <f t="shared" si="1082"/>
        <v>0.99999999856059063</v>
      </c>
      <c r="HW85">
        <f t="shared" si="1082"/>
        <v>0.99999999856059063</v>
      </c>
      <c r="HX85">
        <f t="shared" si="1082"/>
        <v>0.99999999856059063</v>
      </c>
      <c r="HY85">
        <f t="shared" si="1082"/>
        <v>0.99999999856059063</v>
      </c>
      <c r="HZ85">
        <f t="shared" si="1082"/>
        <v>0.99999999856059063</v>
      </c>
      <c r="IA85">
        <f t="shared" si="1082"/>
        <v>0.99999999856059063</v>
      </c>
      <c r="IB85">
        <f t="shared" si="1082"/>
        <v>0.99999999856059063</v>
      </c>
      <c r="IC85">
        <f t="shared" si="1082"/>
        <v>0.99999999856059063</v>
      </c>
      <c r="ID85">
        <f t="shared" si="1082"/>
        <v>0.99999999856059063</v>
      </c>
      <c r="IE85">
        <f t="shared" si="1082"/>
        <v>0.99999999856059063</v>
      </c>
      <c r="IF85">
        <f t="shared" si="1082"/>
        <v>0.99999999856059063</v>
      </c>
      <c r="IG85">
        <f t="shared" si="1082"/>
        <v>0.99999999856059063</v>
      </c>
      <c r="IH85">
        <f t="shared" si="1082"/>
        <v>0.99999999856059063</v>
      </c>
      <c r="II85">
        <f t="shared" si="1082"/>
        <v>0.99999999856059063</v>
      </c>
      <c r="IJ85">
        <f t="shared" si="1082"/>
        <v>0.99999999856059063</v>
      </c>
      <c r="IK85">
        <f t="shared" si="1082"/>
        <v>0.99999999856059063</v>
      </c>
      <c r="IL85">
        <f t="shared" si="1082"/>
        <v>0.99999999856059063</v>
      </c>
      <c r="IM85">
        <f t="shared" si="1082"/>
        <v>0.99999999856059063</v>
      </c>
      <c r="IN85">
        <f t="shared" si="1082"/>
        <v>0.99999999856059063</v>
      </c>
      <c r="IO85">
        <f t="shared" si="1082"/>
        <v>0.99999999856059063</v>
      </c>
      <c r="IP85">
        <f t="shared" si="1082"/>
        <v>0.99999999856059063</v>
      </c>
      <c r="IQ85">
        <f t="shared" si="1082"/>
        <v>0.99999999856059063</v>
      </c>
      <c r="IR85">
        <f t="shared" si="1082"/>
        <v>0.99999999856059063</v>
      </c>
      <c r="IS85">
        <f t="shared" si="1082"/>
        <v>0.99999999856059063</v>
      </c>
      <c r="IT85">
        <f t="shared" si="1082"/>
        <v>0.99999999856059063</v>
      </c>
      <c r="IU85">
        <f t="shared" si="1082"/>
        <v>0.99999999856059063</v>
      </c>
      <c r="IV85">
        <f t="shared" si="1082"/>
        <v>0.99999999856059063</v>
      </c>
    </row>
    <row r="86" spans="1:256" x14ac:dyDescent="0.2">
      <c r="A86" t="s">
        <v>557</v>
      </c>
      <c r="B86">
        <f>MIN(1,B52*B91*B92*B95*B97*B98)</f>
        <v>6.4954977298395727E-3</v>
      </c>
      <c r="C86">
        <f>MIN(1,C52*C91*C92*C95*C97*C98)</f>
        <v>0.17296539653328946</v>
      </c>
      <c r="D86">
        <f t="shared" ref="D86:BO86" si="1083">MIN(1,D52*D91*D92*D95*D97*D98)</f>
        <v>0.18046952079380832</v>
      </c>
      <c r="E86">
        <f t="shared" si="1083"/>
        <v>0.187952013813661</v>
      </c>
      <c r="F86">
        <f t="shared" si="1083"/>
        <v>0.19540753948491835</v>
      </c>
      <c r="G86">
        <f t="shared" si="1083"/>
        <v>0.20283153836615242</v>
      </c>
      <c r="H86">
        <f t="shared" si="1083"/>
        <v>0.21022019435765027</v>
      </c>
      <c r="I86">
        <f t="shared" si="1083"/>
        <v>0.21757040068435599</v>
      </c>
      <c r="J86">
        <f t="shared" si="1083"/>
        <v>0.12785144919031211</v>
      </c>
      <c r="K86">
        <f t="shared" si="1083"/>
        <v>0.1257635312861326</v>
      </c>
      <c r="L86">
        <f t="shared" si="1083"/>
        <v>0.12363246606758435</v>
      </c>
      <c r="M86">
        <f t="shared" si="1083"/>
        <v>0.12146322249900426</v>
      </c>
      <c r="N86">
        <f t="shared" si="1083"/>
        <v>0.11926062242554314</v>
      </c>
      <c r="O86">
        <f t="shared" si="1083"/>
        <v>0.11702933493145126</v>
      </c>
      <c r="P86">
        <f t="shared" si="1083"/>
        <v>0.11477387149700823</v>
      </c>
      <c r="Q86">
        <f t="shared" si="1083"/>
        <v>0.11249858192904783</v>
      </c>
      <c r="R86">
        <f t="shared" si="1083"/>
        <v>0.22041530207619522</v>
      </c>
      <c r="S86">
        <f t="shared" si="1083"/>
        <v>0.21606939213454487</v>
      </c>
      <c r="T86">
        <f t="shared" si="1083"/>
        <v>0.21180978789237848</v>
      </c>
      <c r="U86">
        <f t="shared" si="1083"/>
        <v>0.20763202622618043</v>
      </c>
      <c r="V86">
        <f t="shared" si="1083"/>
        <v>0.20353190491678053</v>
      </c>
      <c r="W86">
        <f t="shared" si="1083"/>
        <v>0.19950548021848635</v>
      </c>
      <c r="X86">
        <f t="shared" si="1083"/>
        <v>0.19554906343933343</v>
      </c>
      <c r="Y86">
        <f t="shared" si="1083"/>
        <v>0.19165921659106611</v>
      </c>
      <c r="Z86">
        <f t="shared" si="1083"/>
        <v>0.25950104013401498</v>
      </c>
      <c r="AA86">
        <f t="shared" si="1083"/>
        <v>0.25327676500637336</v>
      </c>
      <c r="AB86">
        <f t="shared" si="1083"/>
        <v>0.24721662189821708</v>
      </c>
      <c r="AC86">
        <f t="shared" si="1083"/>
        <v>0.24131519363495971</v>
      </c>
      <c r="AD86">
        <f t="shared" si="1083"/>
        <v>0.23556728563549681</v>
      </c>
      <c r="AE86">
        <f t="shared" si="1083"/>
        <v>0.2299679175666583</v>
      </c>
      <c r="AF86">
        <f t="shared" si="1083"/>
        <v>0.22451231480731856</v>
      </c>
      <c r="AG86">
        <f t="shared" si="1083"/>
        <v>0.21919589983010185</v>
      </c>
      <c r="AH86">
        <f t="shared" si="1083"/>
        <v>0.53773697429769862</v>
      </c>
      <c r="AI86">
        <f t="shared" si="1083"/>
        <v>0.55342185465346105</v>
      </c>
      <c r="AJ86">
        <f t="shared" si="1083"/>
        <v>0.57003000337022758</v>
      </c>
      <c r="AK86">
        <f t="shared" si="1083"/>
        <v>0.58763427970805793</v>
      </c>
      <c r="AL86">
        <f t="shared" si="1083"/>
        <v>0.60631476313753085</v>
      </c>
      <c r="AM86">
        <f t="shared" si="1083"/>
        <v>0.6261596649383977</v>
      </c>
      <c r="AN86">
        <f t="shared" si="1083"/>
        <v>0.64726637025533151</v>
      </c>
      <c r="AO86">
        <f t="shared" si="1083"/>
        <v>0.66974263260156508</v>
      </c>
      <c r="AP86">
        <f t="shared" si="1083"/>
        <v>9.9808870072553291E-2</v>
      </c>
      <c r="AQ86">
        <f t="shared" si="1083"/>
        <v>0.10133896908996208</v>
      </c>
      <c r="AR86">
        <f t="shared" si="1083"/>
        <v>0.10293313002050615</v>
      </c>
      <c r="AS86">
        <f t="shared" si="1083"/>
        <v>0.1045962121680699</v>
      </c>
      <c r="AT86">
        <f t="shared" si="1083"/>
        <v>0.10633308570766639</v>
      </c>
      <c r="AU86">
        <f t="shared" si="1083"/>
        <v>0.10814865935499265</v>
      </c>
      <c r="AV86">
        <f t="shared" si="1083"/>
        <v>0.11004790897546311</v>
      </c>
      <c r="AW86">
        <f t="shared" si="1083"/>
        <v>0.11203590719598606</v>
      </c>
      <c r="AX86">
        <f t="shared" si="1083"/>
        <v>0.11411785410303517</v>
      </c>
      <c r="AY86">
        <f t="shared" si="1083"/>
        <v>0.11491497071451025</v>
      </c>
      <c r="AZ86">
        <f t="shared" si="1083"/>
        <v>0.1160127232169981</v>
      </c>
      <c r="BA86">
        <f t="shared" si="1083"/>
        <v>0.11742246292490423</v>
      </c>
      <c r="BB86">
        <f t="shared" si="1083"/>
        <v>0.11915833507606094</v>
      </c>
      <c r="BC86">
        <f t="shared" si="1083"/>
        <v>0.12123754787685713</v>
      </c>
      <c r="BD86">
        <f t="shared" si="1083"/>
        <v>0.12368069823604584</v>
      </c>
      <c r="BE86">
        <f t="shared" si="1083"/>
        <v>0.12651216379521371</v>
      </c>
      <c r="BF86">
        <f t="shared" si="1083"/>
        <v>0.12976057302274438</v>
      </c>
      <c r="BG86">
        <f t="shared" si="1083"/>
        <v>0.133309002309171</v>
      </c>
      <c r="BH86">
        <f t="shared" si="1083"/>
        <v>0.13717859850372563</v>
      </c>
      <c r="BI86">
        <f t="shared" si="1083"/>
        <v>0.14139653370839741</v>
      </c>
      <c r="BJ86">
        <f t="shared" si="1083"/>
        <v>0.14595208049693048</v>
      </c>
      <c r="BK86">
        <f t="shared" si="1083"/>
        <v>0.15064803873425622</v>
      </c>
      <c r="BL86">
        <f t="shared" si="1083"/>
        <v>0.15548564091682279</v>
      </c>
      <c r="BM86">
        <f t="shared" si="1083"/>
        <v>0.16047258085947233</v>
      </c>
      <c r="BN86">
        <f t="shared" si="1083"/>
        <v>0.16561674378739255</v>
      </c>
      <c r="BO86">
        <f t="shared" si="1083"/>
        <v>0.17092620761284277</v>
      </c>
      <c r="BP86">
        <f t="shared" ref="BP86:EA86" si="1084">MIN(1,BP52*BP91*BP92*BP95*BP97*BP98)</f>
        <v>0.1764092446985453</v>
      </c>
      <c r="BQ86">
        <f t="shared" si="1084"/>
        <v>0.18207432406187932</v>
      </c>
      <c r="BR86">
        <f t="shared" si="1084"/>
        <v>0.1879301139754862</v>
      </c>
      <c r="BS86">
        <f t="shared" si="1084"/>
        <v>0.19398548492151166</v>
      </c>
      <c r="BT86">
        <f t="shared" si="1084"/>
        <v>0.20024951285845552</v>
      </c>
      <c r="BU86">
        <f t="shared" si="1084"/>
        <v>0.20673148276143677</v>
      </c>
      <c r="BV86">
        <f t="shared" si="1084"/>
        <v>0.21344089239858674</v>
      </c>
      <c r="BW86">
        <f t="shared" si="1084"/>
        <v>0.22038745630824158</v>
      </c>
      <c r="BX86">
        <f t="shared" si="1084"/>
        <v>0.22758110994358252</v>
      </c>
      <c r="BY86">
        <f t="shared" si="1084"/>
        <v>0.2350320104698512</v>
      </c>
      <c r="BZ86">
        <f t="shared" si="1084"/>
        <v>0.24275053625142992</v>
      </c>
      <c r="CA86">
        <f t="shared" si="1084"/>
        <v>0.25074729048263911</v>
      </c>
      <c r="CB86">
        <f t="shared" si="1084"/>
        <v>0.25903310486711512</v>
      </c>
      <c r="CC86">
        <f t="shared" si="1084"/>
        <v>0.26761904332253295</v>
      </c>
      <c r="CD86">
        <f t="shared" si="1084"/>
        <v>0.2765164056892081</v>
      </c>
      <c r="CE86">
        <f t="shared" si="1084"/>
        <v>0.28573673142284217</v>
      </c>
      <c r="CF86">
        <f t="shared" si="1084"/>
        <v>0.29529180325335697</v>
      </c>
      <c r="CG86">
        <f t="shared" si="1084"/>
        <v>0.30519365079338812</v>
      </c>
      <c r="CH86">
        <f t="shared" si="1084"/>
        <v>0.31545455408157824</v>
      </c>
      <c r="CI86">
        <f t="shared" si="1084"/>
        <v>0.32587295431665386</v>
      </c>
      <c r="CJ86">
        <f t="shared" si="1084"/>
        <v>0.33644884716445184</v>
      </c>
      <c r="CK86">
        <f t="shared" si="1084"/>
        <v>0.34718234885707649</v>
      </c>
      <c r="CL86">
        <f t="shared" si="1084"/>
        <v>0.35807356553518277</v>
      </c>
      <c r="CM86">
        <f t="shared" si="1084"/>
        <v>0.36912258904348444</v>
      </c>
      <c r="CN86">
        <f t="shared" si="1084"/>
        <v>0.3803294928804527</v>
      </c>
      <c r="CO86">
        <f t="shared" si="1084"/>
        <v>0.39169432831080991</v>
      </c>
      <c r="CP86">
        <f t="shared" si="1084"/>
        <v>0.40321712064809756</v>
      </c>
      <c r="CQ86">
        <f t="shared" si="1084"/>
        <v>0.41489786571336063</v>
      </c>
      <c r="CR86">
        <f t="shared" si="1084"/>
        <v>0.42673652647483074</v>
      </c>
      <c r="CS86">
        <f t="shared" si="1084"/>
        <v>0.4387330298724087</v>
      </c>
      <c r="CT86">
        <f t="shared" si="1084"/>
        <v>0.45088726382974414</v>
      </c>
      <c r="CU86">
        <f t="shared" si="1084"/>
        <v>0.46319907445577468</v>
      </c>
      <c r="CV86">
        <f t="shared" si="1084"/>
        <v>0.47566826343672169</v>
      </c>
      <c r="CW86">
        <f t="shared" si="1084"/>
        <v>0.48829458561874622</v>
      </c>
      <c r="CX86">
        <f t="shared" si="1084"/>
        <v>0.50107774678073691</v>
      </c>
      <c r="CY86">
        <f t="shared" si="1084"/>
        <v>0.51401740159602571</v>
      </c>
      <c r="CZ86">
        <f t="shared" si="1084"/>
        <v>0.52711315178121954</v>
      </c>
      <c r="DA86">
        <f t="shared" si="1084"/>
        <v>0.54036454442977899</v>
      </c>
      <c r="DB86">
        <f t="shared" si="1084"/>
        <v>0.55377107052746788</v>
      </c>
      <c r="DC86">
        <f t="shared" si="1084"/>
        <v>0.56733216364635053</v>
      </c>
      <c r="DD86">
        <f t="shared" si="1084"/>
        <v>0.58104719881360156</v>
      </c>
      <c r="DE86">
        <f t="shared" si="1084"/>
        <v>0.59491549155103929</v>
      </c>
      <c r="DF86">
        <f t="shared" si="1084"/>
        <v>0.60893629708097008</v>
      </c>
      <c r="DG86">
        <f t="shared" si="1084"/>
        <v>0.62310880969365667</v>
      </c>
      <c r="DH86">
        <f t="shared" si="1084"/>
        <v>0.63743216227148669</v>
      </c>
      <c r="DI86">
        <f t="shared" si="1084"/>
        <v>0.65190542596470402</v>
      </c>
      <c r="DJ86">
        <f t="shared" si="1084"/>
        <v>0.66652761001340544</v>
      </c>
      <c r="DK86">
        <f t="shared" si="1084"/>
        <v>0.68129766171035366</v>
      </c>
      <c r="DL86">
        <f t="shared" si="1084"/>
        <v>0.69621446649905816</v>
      </c>
      <c r="DM86">
        <f t="shared" si="1084"/>
        <v>0.71127684820147774</v>
      </c>
      <c r="DN86">
        <f t="shared" si="1084"/>
        <v>0.72648356936964875</v>
      </c>
      <c r="DO86">
        <f t="shared" si="1084"/>
        <v>0.7418333317555037</v>
      </c>
      <c r="DP86">
        <f t="shared" si="1084"/>
        <v>0.75732477689312649</v>
      </c>
      <c r="DQ86">
        <f t="shared" si="1084"/>
        <v>0.7729564867876938</v>
      </c>
      <c r="DR86">
        <f t="shared" si="1084"/>
        <v>0.78872698470538727</v>
      </c>
      <c r="DS86">
        <f t="shared" si="1084"/>
        <v>0.80463473605857583</v>
      </c>
      <c r="DT86">
        <f t="shared" si="1084"/>
        <v>0.82067814938064887</v>
      </c>
      <c r="DU86">
        <f t="shared" si="1084"/>
        <v>0.83685557738491956</v>
      </c>
      <c r="DV86">
        <f t="shared" si="1084"/>
        <v>0.85316531810212948</v>
      </c>
      <c r="DW86">
        <f t="shared" si="1084"/>
        <v>0.86960561609113718</v>
      </c>
      <c r="DX86">
        <f t="shared" si="1084"/>
        <v>0.88617466371751452</v>
      </c>
      <c r="DY86">
        <f t="shared" si="1084"/>
        <v>0.90287060249485362</v>
      </c>
      <c r="DZ86">
        <f t="shared" si="1084"/>
        <v>0.91969152448371505</v>
      </c>
      <c r="EA86">
        <f t="shared" si="1084"/>
        <v>0.93663547374327683</v>
      </c>
      <c r="EB86">
        <f t="shared" ref="EB86:GM86" si="1085">MIN(1,EB52*EB91*EB92*EB95*EB97*EB98)</f>
        <v>0.95370044783086361</v>
      </c>
      <c r="EC86">
        <f t="shared" si="1085"/>
        <v>0.97088439934467496</v>
      </c>
      <c r="ED86">
        <f t="shared" si="1085"/>
        <v>0.9881852375051734</v>
      </c>
      <c r="EE86">
        <f t="shared" si="1085"/>
        <v>1</v>
      </c>
      <c r="EF86">
        <f t="shared" si="1085"/>
        <v>1</v>
      </c>
      <c r="EG86">
        <f t="shared" si="1085"/>
        <v>1</v>
      </c>
      <c r="EH86">
        <f t="shared" si="1085"/>
        <v>1</v>
      </c>
      <c r="EI86">
        <f t="shared" si="1085"/>
        <v>1</v>
      </c>
      <c r="EJ86">
        <f t="shared" si="1085"/>
        <v>1</v>
      </c>
      <c r="EK86">
        <f t="shared" si="1085"/>
        <v>1</v>
      </c>
      <c r="EL86">
        <f t="shared" si="1085"/>
        <v>1</v>
      </c>
      <c r="EM86">
        <f t="shared" si="1085"/>
        <v>1</v>
      </c>
      <c r="EN86">
        <f t="shared" si="1085"/>
        <v>1</v>
      </c>
      <c r="EO86">
        <f t="shared" si="1085"/>
        <v>1</v>
      </c>
      <c r="EP86">
        <f t="shared" si="1085"/>
        <v>1</v>
      </c>
      <c r="EQ86">
        <f t="shared" si="1085"/>
        <v>1</v>
      </c>
      <c r="ER86">
        <f t="shared" si="1085"/>
        <v>1</v>
      </c>
      <c r="ES86">
        <f t="shared" si="1085"/>
        <v>1</v>
      </c>
      <c r="ET86">
        <f t="shared" si="1085"/>
        <v>1</v>
      </c>
      <c r="EU86">
        <f t="shared" si="1085"/>
        <v>1</v>
      </c>
      <c r="EV86">
        <f t="shared" si="1085"/>
        <v>1</v>
      </c>
      <c r="EW86">
        <f t="shared" si="1085"/>
        <v>1</v>
      </c>
      <c r="EX86">
        <f t="shared" si="1085"/>
        <v>1</v>
      </c>
      <c r="EY86">
        <f t="shared" si="1085"/>
        <v>1</v>
      </c>
      <c r="EZ86">
        <f t="shared" si="1085"/>
        <v>1</v>
      </c>
      <c r="FA86">
        <f t="shared" si="1085"/>
        <v>1</v>
      </c>
      <c r="FB86">
        <f t="shared" si="1085"/>
        <v>1</v>
      </c>
      <c r="FC86">
        <f t="shared" si="1085"/>
        <v>1</v>
      </c>
      <c r="FD86">
        <f t="shared" si="1085"/>
        <v>1</v>
      </c>
      <c r="FE86">
        <f t="shared" si="1085"/>
        <v>1</v>
      </c>
      <c r="FF86">
        <f t="shared" si="1085"/>
        <v>1</v>
      </c>
      <c r="FG86">
        <f t="shared" si="1085"/>
        <v>1</v>
      </c>
      <c r="FH86">
        <f t="shared" si="1085"/>
        <v>1</v>
      </c>
      <c r="FI86">
        <f t="shared" si="1085"/>
        <v>1</v>
      </c>
      <c r="FJ86">
        <f t="shared" si="1085"/>
        <v>1</v>
      </c>
      <c r="FK86">
        <f t="shared" si="1085"/>
        <v>1</v>
      </c>
      <c r="FL86">
        <f t="shared" si="1085"/>
        <v>1</v>
      </c>
      <c r="FM86">
        <f t="shared" si="1085"/>
        <v>1</v>
      </c>
      <c r="FN86">
        <f t="shared" si="1085"/>
        <v>1</v>
      </c>
      <c r="FO86">
        <f t="shared" si="1085"/>
        <v>1</v>
      </c>
      <c r="FP86">
        <f t="shared" si="1085"/>
        <v>1</v>
      </c>
      <c r="FQ86">
        <f t="shared" si="1085"/>
        <v>1</v>
      </c>
      <c r="FR86">
        <f t="shared" si="1085"/>
        <v>1</v>
      </c>
      <c r="FS86">
        <f t="shared" si="1085"/>
        <v>1</v>
      </c>
      <c r="FT86">
        <f t="shared" si="1085"/>
        <v>1</v>
      </c>
      <c r="FU86">
        <f t="shared" si="1085"/>
        <v>1</v>
      </c>
      <c r="FV86">
        <f t="shared" si="1085"/>
        <v>1</v>
      </c>
      <c r="FW86">
        <f t="shared" si="1085"/>
        <v>1</v>
      </c>
      <c r="FX86">
        <f t="shared" si="1085"/>
        <v>1</v>
      </c>
      <c r="FY86">
        <f t="shared" si="1085"/>
        <v>1</v>
      </c>
      <c r="FZ86">
        <f t="shared" si="1085"/>
        <v>1</v>
      </c>
      <c r="GA86">
        <f t="shared" si="1085"/>
        <v>1</v>
      </c>
      <c r="GB86">
        <f t="shared" si="1085"/>
        <v>1</v>
      </c>
      <c r="GC86">
        <f t="shared" si="1085"/>
        <v>1</v>
      </c>
      <c r="GD86">
        <f t="shared" si="1085"/>
        <v>1</v>
      </c>
      <c r="GE86">
        <f t="shared" si="1085"/>
        <v>1</v>
      </c>
      <c r="GF86">
        <f t="shared" si="1085"/>
        <v>1</v>
      </c>
      <c r="GG86">
        <f t="shared" si="1085"/>
        <v>1</v>
      </c>
      <c r="GH86">
        <f t="shared" si="1085"/>
        <v>1</v>
      </c>
      <c r="GI86">
        <f t="shared" si="1085"/>
        <v>1</v>
      </c>
      <c r="GJ86">
        <f t="shared" si="1085"/>
        <v>1</v>
      </c>
      <c r="GK86">
        <f t="shared" si="1085"/>
        <v>1</v>
      </c>
      <c r="GL86">
        <f t="shared" si="1085"/>
        <v>1</v>
      </c>
      <c r="GM86">
        <f t="shared" si="1085"/>
        <v>1</v>
      </c>
      <c r="GN86">
        <f t="shared" ref="GN86:IV86" si="1086">MIN(1,GN52*GN91*GN92*GN95*GN97*GN98)</f>
        <v>1</v>
      </c>
      <c r="GO86">
        <f t="shared" si="1086"/>
        <v>1</v>
      </c>
      <c r="GP86">
        <f t="shared" si="1086"/>
        <v>1</v>
      </c>
      <c r="GQ86">
        <f t="shared" si="1086"/>
        <v>1</v>
      </c>
      <c r="GR86">
        <f t="shared" si="1086"/>
        <v>1</v>
      </c>
      <c r="GS86">
        <f t="shared" si="1086"/>
        <v>1</v>
      </c>
      <c r="GT86">
        <f t="shared" si="1086"/>
        <v>1</v>
      </c>
      <c r="GU86">
        <f t="shared" si="1086"/>
        <v>1</v>
      </c>
      <c r="GV86">
        <f t="shared" si="1086"/>
        <v>1</v>
      </c>
      <c r="GW86">
        <f t="shared" si="1086"/>
        <v>1</v>
      </c>
      <c r="GX86">
        <f t="shared" si="1086"/>
        <v>1</v>
      </c>
      <c r="GY86">
        <f t="shared" si="1086"/>
        <v>1</v>
      </c>
      <c r="GZ86">
        <f t="shared" si="1086"/>
        <v>1</v>
      </c>
      <c r="HA86">
        <f t="shared" si="1086"/>
        <v>1</v>
      </c>
      <c r="HB86">
        <f t="shared" si="1086"/>
        <v>1</v>
      </c>
      <c r="HC86">
        <f t="shared" si="1086"/>
        <v>1</v>
      </c>
      <c r="HD86">
        <f t="shared" si="1086"/>
        <v>1</v>
      </c>
      <c r="HE86">
        <f t="shared" si="1086"/>
        <v>1</v>
      </c>
      <c r="HF86">
        <f t="shared" si="1086"/>
        <v>1</v>
      </c>
      <c r="HG86">
        <f t="shared" si="1086"/>
        <v>1</v>
      </c>
      <c r="HH86">
        <f t="shared" si="1086"/>
        <v>1</v>
      </c>
      <c r="HI86">
        <f t="shared" si="1086"/>
        <v>1</v>
      </c>
      <c r="HJ86">
        <f t="shared" si="1086"/>
        <v>1</v>
      </c>
      <c r="HK86">
        <f t="shared" si="1086"/>
        <v>1</v>
      </c>
      <c r="HL86">
        <f t="shared" si="1086"/>
        <v>1</v>
      </c>
      <c r="HM86">
        <f t="shared" si="1086"/>
        <v>1</v>
      </c>
      <c r="HN86">
        <f t="shared" si="1086"/>
        <v>1</v>
      </c>
      <c r="HO86">
        <f t="shared" si="1086"/>
        <v>1</v>
      </c>
      <c r="HP86">
        <f t="shared" si="1086"/>
        <v>1</v>
      </c>
      <c r="HQ86">
        <f t="shared" si="1086"/>
        <v>1</v>
      </c>
      <c r="HR86">
        <f t="shared" si="1086"/>
        <v>1</v>
      </c>
      <c r="HS86">
        <f t="shared" si="1086"/>
        <v>1</v>
      </c>
      <c r="HT86">
        <f t="shared" si="1086"/>
        <v>1</v>
      </c>
      <c r="HU86">
        <f t="shared" si="1086"/>
        <v>1</v>
      </c>
      <c r="HV86">
        <f t="shared" si="1086"/>
        <v>1</v>
      </c>
      <c r="HW86">
        <f t="shared" si="1086"/>
        <v>1</v>
      </c>
      <c r="HX86">
        <f t="shared" si="1086"/>
        <v>1</v>
      </c>
      <c r="HY86">
        <f t="shared" si="1086"/>
        <v>1</v>
      </c>
      <c r="HZ86">
        <f t="shared" si="1086"/>
        <v>1</v>
      </c>
      <c r="IA86">
        <f t="shared" si="1086"/>
        <v>1</v>
      </c>
      <c r="IB86">
        <f t="shared" si="1086"/>
        <v>1</v>
      </c>
      <c r="IC86">
        <f t="shared" si="1086"/>
        <v>1</v>
      </c>
      <c r="ID86">
        <f t="shared" si="1086"/>
        <v>1</v>
      </c>
      <c r="IE86">
        <f t="shared" si="1086"/>
        <v>1</v>
      </c>
      <c r="IF86">
        <f t="shared" si="1086"/>
        <v>1</v>
      </c>
      <c r="IG86">
        <f t="shared" si="1086"/>
        <v>1</v>
      </c>
      <c r="IH86">
        <f t="shared" si="1086"/>
        <v>1</v>
      </c>
      <c r="II86">
        <f t="shared" si="1086"/>
        <v>1</v>
      </c>
      <c r="IJ86">
        <f t="shared" si="1086"/>
        <v>1</v>
      </c>
      <c r="IK86">
        <f t="shared" si="1086"/>
        <v>1</v>
      </c>
      <c r="IL86">
        <f t="shared" si="1086"/>
        <v>1</v>
      </c>
      <c r="IM86">
        <f t="shared" si="1086"/>
        <v>1</v>
      </c>
      <c r="IN86">
        <f t="shared" si="1086"/>
        <v>1</v>
      </c>
      <c r="IO86">
        <f t="shared" si="1086"/>
        <v>1</v>
      </c>
      <c r="IP86">
        <f t="shared" si="1086"/>
        <v>1</v>
      </c>
      <c r="IQ86">
        <f t="shared" si="1086"/>
        <v>1</v>
      </c>
      <c r="IR86">
        <f t="shared" si="1086"/>
        <v>1</v>
      </c>
      <c r="IS86">
        <f t="shared" si="1086"/>
        <v>1</v>
      </c>
      <c r="IT86">
        <f t="shared" si="1086"/>
        <v>1</v>
      </c>
      <c r="IU86">
        <f t="shared" si="1086"/>
        <v>1</v>
      </c>
      <c r="IV86">
        <f t="shared" si="1086"/>
        <v>1</v>
      </c>
    </row>
    <row r="87" spans="1:256" x14ac:dyDescent="0.2">
      <c r="A87" t="s">
        <v>558</v>
      </c>
      <c r="B87">
        <f>MIN(1,B53)</f>
        <v>0.45398547433774844</v>
      </c>
      <c r="C87">
        <f>MIN(1,C53)</f>
        <v>0.45398547433774844</v>
      </c>
      <c r="D87">
        <f t="shared" ref="D87:BO87" si="1087">MIN(1,D53)</f>
        <v>0.45398547433774844</v>
      </c>
      <c r="E87">
        <f t="shared" si="1087"/>
        <v>0.45398547433774844</v>
      </c>
      <c r="F87">
        <f t="shared" si="1087"/>
        <v>0.45398547433774844</v>
      </c>
      <c r="G87">
        <f t="shared" si="1087"/>
        <v>0.45398547433774844</v>
      </c>
      <c r="H87">
        <f t="shared" si="1087"/>
        <v>0.45398547433774844</v>
      </c>
      <c r="I87">
        <f t="shared" si="1087"/>
        <v>0.45398547433774844</v>
      </c>
      <c r="J87">
        <f t="shared" si="1087"/>
        <v>0.49999962957523858</v>
      </c>
      <c r="K87">
        <f t="shared" si="1087"/>
        <v>0.49999962957523858</v>
      </c>
      <c r="L87">
        <f t="shared" si="1087"/>
        <v>0.49999962957523858</v>
      </c>
      <c r="M87">
        <f t="shared" si="1087"/>
        <v>0.49999962957523858</v>
      </c>
      <c r="N87">
        <f t="shared" si="1087"/>
        <v>0.49999962957523858</v>
      </c>
      <c r="O87">
        <f t="shared" si="1087"/>
        <v>0.49999962957523858</v>
      </c>
      <c r="P87">
        <f t="shared" si="1087"/>
        <v>0.49999962957523858</v>
      </c>
      <c r="Q87">
        <f t="shared" si="1087"/>
        <v>0.49999962957523858</v>
      </c>
      <c r="R87">
        <f t="shared" si="1087"/>
        <v>0.49999978976020731</v>
      </c>
      <c r="S87">
        <f t="shared" si="1087"/>
        <v>0.49999978976020731</v>
      </c>
      <c r="T87">
        <f t="shared" si="1087"/>
        <v>0.49999978976020731</v>
      </c>
      <c r="U87">
        <f t="shared" si="1087"/>
        <v>0.49999978976020731</v>
      </c>
      <c r="V87">
        <f t="shared" si="1087"/>
        <v>0.49999978976020731</v>
      </c>
      <c r="W87">
        <f t="shared" si="1087"/>
        <v>0.49999978976020731</v>
      </c>
      <c r="X87">
        <f t="shared" si="1087"/>
        <v>0.49999978976020731</v>
      </c>
      <c r="Y87">
        <f t="shared" si="1087"/>
        <v>0.49999978976020731</v>
      </c>
      <c r="Z87">
        <f t="shared" si="1087"/>
        <v>0.1</v>
      </c>
      <c r="AA87">
        <f t="shared" si="1087"/>
        <v>0.1</v>
      </c>
      <c r="AB87">
        <f t="shared" si="1087"/>
        <v>0.1</v>
      </c>
      <c r="AC87">
        <f t="shared" si="1087"/>
        <v>0.1</v>
      </c>
      <c r="AD87">
        <f t="shared" si="1087"/>
        <v>0.1</v>
      </c>
      <c r="AE87">
        <f t="shared" si="1087"/>
        <v>0.1</v>
      </c>
      <c r="AF87">
        <f t="shared" si="1087"/>
        <v>0.1</v>
      </c>
      <c r="AG87">
        <f t="shared" si="1087"/>
        <v>0.1</v>
      </c>
      <c r="AH87">
        <f t="shared" si="1087"/>
        <v>0.51738662719726558</v>
      </c>
      <c r="AI87">
        <f t="shared" si="1087"/>
        <v>0.51738662719726558</v>
      </c>
      <c r="AJ87">
        <f t="shared" si="1087"/>
        <v>0.51738662719726558</v>
      </c>
      <c r="AK87">
        <f t="shared" si="1087"/>
        <v>0.51738662719726558</v>
      </c>
      <c r="AL87">
        <f t="shared" si="1087"/>
        <v>0.51738662719726558</v>
      </c>
      <c r="AM87">
        <f t="shared" si="1087"/>
        <v>0.51738662719726558</v>
      </c>
      <c r="AN87">
        <f t="shared" si="1087"/>
        <v>0.51738662719726558</v>
      </c>
      <c r="AO87">
        <f t="shared" si="1087"/>
        <v>0.51738662719726558</v>
      </c>
      <c r="AP87">
        <f t="shared" si="1087"/>
        <v>0.10000000000000002</v>
      </c>
      <c r="AQ87">
        <f t="shared" si="1087"/>
        <v>0.10000000000000002</v>
      </c>
      <c r="AR87">
        <f t="shared" si="1087"/>
        <v>0.10000000000000002</v>
      </c>
      <c r="AS87">
        <f t="shared" si="1087"/>
        <v>0.10000000000000002</v>
      </c>
      <c r="AT87">
        <f t="shared" si="1087"/>
        <v>0.10000000000000002</v>
      </c>
      <c r="AU87">
        <f t="shared" si="1087"/>
        <v>0.10000000000000002</v>
      </c>
      <c r="AV87">
        <f t="shared" si="1087"/>
        <v>0.10000000000000002</v>
      </c>
      <c r="AW87">
        <f t="shared" si="1087"/>
        <v>0.10000000000000002</v>
      </c>
      <c r="AX87">
        <f t="shared" si="1087"/>
        <v>0.10000000000000002</v>
      </c>
      <c r="AY87">
        <f t="shared" si="1087"/>
        <v>0.10000000000000002</v>
      </c>
      <c r="AZ87">
        <f t="shared" si="1087"/>
        <v>0.10000000000000002</v>
      </c>
      <c r="BA87">
        <f t="shared" si="1087"/>
        <v>0.10000000000000002</v>
      </c>
      <c r="BB87">
        <f t="shared" si="1087"/>
        <v>0.10000000000000002</v>
      </c>
      <c r="BC87">
        <f t="shared" si="1087"/>
        <v>0.10000000000000002</v>
      </c>
      <c r="BD87">
        <f t="shared" si="1087"/>
        <v>0.10000000000000002</v>
      </c>
      <c r="BE87">
        <f t="shared" si="1087"/>
        <v>0.10000000000000002</v>
      </c>
      <c r="BF87">
        <f t="shared" si="1087"/>
        <v>0.10000000000000002</v>
      </c>
      <c r="BG87">
        <f t="shared" si="1087"/>
        <v>0.10000000000000002</v>
      </c>
      <c r="BH87">
        <f t="shared" si="1087"/>
        <v>0.10000000000000002</v>
      </c>
      <c r="BI87">
        <f t="shared" si="1087"/>
        <v>0.10000000000000002</v>
      </c>
      <c r="BJ87">
        <f t="shared" si="1087"/>
        <v>0.10000000000000002</v>
      </c>
      <c r="BK87">
        <f t="shared" si="1087"/>
        <v>0.10000000000000002</v>
      </c>
      <c r="BL87">
        <f t="shared" si="1087"/>
        <v>0.10000000000000002</v>
      </c>
      <c r="BM87">
        <f t="shared" si="1087"/>
        <v>0.10000000000000002</v>
      </c>
      <c r="BN87">
        <f t="shared" si="1087"/>
        <v>0.10000000000000002</v>
      </c>
      <c r="BO87">
        <f t="shared" si="1087"/>
        <v>0.10000000000000002</v>
      </c>
      <c r="BP87">
        <f t="shared" ref="BP87:EA87" si="1088">MIN(1,BP53)</f>
        <v>0.10000000000000002</v>
      </c>
      <c r="BQ87">
        <f t="shared" si="1088"/>
        <v>0.10000000000000002</v>
      </c>
      <c r="BR87">
        <f t="shared" si="1088"/>
        <v>0.10000000000000002</v>
      </c>
      <c r="BS87">
        <f t="shared" si="1088"/>
        <v>0.10000000000000002</v>
      </c>
      <c r="BT87">
        <f t="shared" si="1088"/>
        <v>0.10000000000000002</v>
      </c>
      <c r="BU87">
        <f t="shared" si="1088"/>
        <v>0.10000000000000002</v>
      </c>
      <c r="BV87">
        <f t="shared" si="1088"/>
        <v>0.10000000000000002</v>
      </c>
      <c r="BW87">
        <f t="shared" si="1088"/>
        <v>0.10000000000000002</v>
      </c>
      <c r="BX87">
        <f t="shared" si="1088"/>
        <v>0.10000000000000002</v>
      </c>
      <c r="BY87">
        <f t="shared" si="1088"/>
        <v>0.10000000000000002</v>
      </c>
      <c r="BZ87">
        <f t="shared" si="1088"/>
        <v>0.10000000000000002</v>
      </c>
      <c r="CA87">
        <f t="shared" si="1088"/>
        <v>0.10000000000000002</v>
      </c>
      <c r="CB87">
        <f t="shared" si="1088"/>
        <v>0.10000000000000002</v>
      </c>
      <c r="CC87">
        <f t="shared" si="1088"/>
        <v>0.10000000000000002</v>
      </c>
      <c r="CD87">
        <f t="shared" si="1088"/>
        <v>0.10000000000000002</v>
      </c>
      <c r="CE87">
        <f t="shared" si="1088"/>
        <v>0.10000000000000002</v>
      </c>
      <c r="CF87">
        <f t="shared" si="1088"/>
        <v>0.10000000000000002</v>
      </c>
      <c r="CG87">
        <f t="shared" si="1088"/>
        <v>0.10000000000000002</v>
      </c>
      <c r="CH87">
        <f t="shared" si="1088"/>
        <v>0.10000000000000002</v>
      </c>
      <c r="CI87">
        <f t="shared" si="1088"/>
        <v>0.10000000000000002</v>
      </c>
      <c r="CJ87">
        <f t="shared" si="1088"/>
        <v>0.10000000000000002</v>
      </c>
      <c r="CK87">
        <f t="shared" si="1088"/>
        <v>0.10000000000000002</v>
      </c>
      <c r="CL87">
        <f t="shared" si="1088"/>
        <v>0.10000000000000002</v>
      </c>
      <c r="CM87">
        <f t="shared" si="1088"/>
        <v>0.10000000000000002</v>
      </c>
      <c r="CN87">
        <f t="shared" si="1088"/>
        <v>0.10000000000000002</v>
      </c>
      <c r="CO87">
        <f t="shared" si="1088"/>
        <v>0.10000000000000002</v>
      </c>
      <c r="CP87">
        <f t="shared" si="1088"/>
        <v>0.10000000000000002</v>
      </c>
      <c r="CQ87">
        <f t="shared" si="1088"/>
        <v>0.10000000000000002</v>
      </c>
      <c r="CR87">
        <f t="shared" si="1088"/>
        <v>0.10000000000000002</v>
      </c>
      <c r="CS87">
        <f t="shared" si="1088"/>
        <v>0.10000000000000002</v>
      </c>
      <c r="CT87">
        <f t="shared" si="1088"/>
        <v>0.10000000000000002</v>
      </c>
      <c r="CU87">
        <f t="shared" si="1088"/>
        <v>0.10000000000000002</v>
      </c>
      <c r="CV87">
        <f t="shared" si="1088"/>
        <v>0.10000000000000002</v>
      </c>
      <c r="CW87">
        <f t="shared" si="1088"/>
        <v>0.10000000000000002</v>
      </c>
      <c r="CX87">
        <f t="shared" si="1088"/>
        <v>0.10000000000000002</v>
      </c>
      <c r="CY87">
        <f t="shared" si="1088"/>
        <v>0.10000000000000002</v>
      </c>
      <c r="CZ87">
        <f t="shared" si="1088"/>
        <v>0.10000000000000002</v>
      </c>
      <c r="DA87">
        <f t="shared" si="1088"/>
        <v>0.10000000000000002</v>
      </c>
      <c r="DB87">
        <f t="shared" si="1088"/>
        <v>0.10000000000000002</v>
      </c>
      <c r="DC87">
        <f t="shared" si="1088"/>
        <v>0.10000000000000002</v>
      </c>
      <c r="DD87">
        <f t="shared" si="1088"/>
        <v>0.10000000000000002</v>
      </c>
      <c r="DE87">
        <f t="shared" si="1088"/>
        <v>0.10000000000000002</v>
      </c>
      <c r="DF87">
        <f t="shared" si="1088"/>
        <v>0.10000000000000002</v>
      </c>
      <c r="DG87">
        <f t="shared" si="1088"/>
        <v>0.10000000000000002</v>
      </c>
      <c r="DH87">
        <f t="shared" si="1088"/>
        <v>0.10000000000000002</v>
      </c>
      <c r="DI87">
        <f t="shared" si="1088"/>
        <v>0.10000000000000002</v>
      </c>
      <c r="DJ87">
        <f t="shared" si="1088"/>
        <v>0.10000000000000002</v>
      </c>
      <c r="DK87">
        <f t="shared" si="1088"/>
        <v>0.10000000000000002</v>
      </c>
      <c r="DL87">
        <f t="shared" si="1088"/>
        <v>0.10000000000000002</v>
      </c>
      <c r="DM87">
        <f t="shared" si="1088"/>
        <v>0.10000000000000002</v>
      </c>
      <c r="DN87">
        <f t="shared" si="1088"/>
        <v>0.10000000000000002</v>
      </c>
      <c r="DO87">
        <f t="shared" si="1088"/>
        <v>0.10000000000000002</v>
      </c>
      <c r="DP87">
        <f t="shared" si="1088"/>
        <v>0.10000000000000002</v>
      </c>
      <c r="DQ87">
        <f t="shared" si="1088"/>
        <v>0.10000000000000002</v>
      </c>
      <c r="DR87">
        <f t="shared" si="1088"/>
        <v>0.10000000000000002</v>
      </c>
      <c r="DS87">
        <f t="shared" si="1088"/>
        <v>0.10000000000000002</v>
      </c>
      <c r="DT87">
        <f t="shared" si="1088"/>
        <v>0.10000000000000002</v>
      </c>
      <c r="DU87">
        <f t="shared" si="1088"/>
        <v>0.10000000000000002</v>
      </c>
      <c r="DV87">
        <f t="shared" si="1088"/>
        <v>0.10000000000000002</v>
      </c>
      <c r="DW87">
        <f t="shared" si="1088"/>
        <v>0.10000000000000002</v>
      </c>
      <c r="DX87">
        <f t="shared" si="1088"/>
        <v>0.10000000000000002</v>
      </c>
      <c r="DY87">
        <f t="shared" si="1088"/>
        <v>0.10000000000000002</v>
      </c>
      <c r="DZ87">
        <f t="shared" si="1088"/>
        <v>0.10000000000000002</v>
      </c>
      <c r="EA87">
        <f t="shared" si="1088"/>
        <v>0.10000000000000002</v>
      </c>
      <c r="EB87">
        <f t="shared" ref="EB87:GM87" si="1089">MIN(1,EB53)</f>
        <v>0.10000000000000002</v>
      </c>
      <c r="EC87">
        <f t="shared" si="1089"/>
        <v>0.10000000000000002</v>
      </c>
      <c r="ED87">
        <f t="shared" si="1089"/>
        <v>0.10000000000000002</v>
      </c>
      <c r="EE87">
        <f t="shared" si="1089"/>
        <v>0.10000000000000002</v>
      </c>
      <c r="EF87">
        <f t="shared" si="1089"/>
        <v>0.10000000000000002</v>
      </c>
      <c r="EG87">
        <f t="shared" si="1089"/>
        <v>0.10000000000000002</v>
      </c>
      <c r="EH87">
        <f t="shared" si="1089"/>
        <v>0.10000000000000002</v>
      </c>
      <c r="EI87">
        <f t="shared" si="1089"/>
        <v>0.10000000000000002</v>
      </c>
      <c r="EJ87">
        <f t="shared" si="1089"/>
        <v>0.10000000000000002</v>
      </c>
      <c r="EK87">
        <f t="shared" si="1089"/>
        <v>0.10000000000000002</v>
      </c>
      <c r="EL87">
        <f t="shared" si="1089"/>
        <v>0.10000000000000002</v>
      </c>
      <c r="EM87">
        <f t="shared" si="1089"/>
        <v>0.10000000000000002</v>
      </c>
      <c r="EN87">
        <f t="shared" si="1089"/>
        <v>0.10000000000000002</v>
      </c>
      <c r="EO87">
        <f t="shared" si="1089"/>
        <v>0.10000000000000002</v>
      </c>
      <c r="EP87">
        <f t="shared" si="1089"/>
        <v>0.10000000000000002</v>
      </c>
      <c r="EQ87">
        <f t="shared" si="1089"/>
        <v>0.10000000000000002</v>
      </c>
      <c r="ER87">
        <f t="shared" si="1089"/>
        <v>0.10000000000000002</v>
      </c>
      <c r="ES87">
        <f t="shared" si="1089"/>
        <v>0.10000000000000002</v>
      </c>
      <c r="ET87">
        <f t="shared" si="1089"/>
        <v>0.10000000000000002</v>
      </c>
      <c r="EU87">
        <f t="shared" si="1089"/>
        <v>0.10000000000000002</v>
      </c>
      <c r="EV87">
        <f t="shared" si="1089"/>
        <v>0.10000000000000002</v>
      </c>
      <c r="EW87">
        <f t="shared" si="1089"/>
        <v>0.10000000000000002</v>
      </c>
      <c r="EX87">
        <f t="shared" si="1089"/>
        <v>0.10000000000000002</v>
      </c>
      <c r="EY87">
        <f t="shared" si="1089"/>
        <v>0.10000000000000002</v>
      </c>
      <c r="EZ87">
        <f t="shared" si="1089"/>
        <v>0.10000000000000002</v>
      </c>
      <c r="FA87">
        <f t="shared" si="1089"/>
        <v>0.10000000000000002</v>
      </c>
      <c r="FB87">
        <f t="shared" si="1089"/>
        <v>0.10000000000000002</v>
      </c>
      <c r="FC87">
        <f t="shared" si="1089"/>
        <v>0.10000000000000002</v>
      </c>
      <c r="FD87">
        <f t="shared" si="1089"/>
        <v>0.10000000000000002</v>
      </c>
      <c r="FE87">
        <f t="shared" si="1089"/>
        <v>0.10000000000000002</v>
      </c>
      <c r="FF87">
        <f t="shared" si="1089"/>
        <v>0.10000000000000002</v>
      </c>
      <c r="FG87">
        <f t="shared" si="1089"/>
        <v>0.10000000000000002</v>
      </c>
      <c r="FH87">
        <f t="shared" si="1089"/>
        <v>0.10000000000000002</v>
      </c>
      <c r="FI87">
        <f t="shared" si="1089"/>
        <v>0.10000000000000002</v>
      </c>
      <c r="FJ87">
        <f t="shared" si="1089"/>
        <v>0.10000000000000002</v>
      </c>
      <c r="FK87">
        <f t="shared" si="1089"/>
        <v>0.10000000000000002</v>
      </c>
      <c r="FL87">
        <f t="shared" si="1089"/>
        <v>0.10000000000000002</v>
      </c>
      <c r="FM87">
        <f t="shared" si="1089"/>
        <v>0.10000000000000002</v>
      </c>
      <c r="FN87">
        <f t="shared" si="1089"/>
        <v>0.10000000000000002</v>
      </c>
      <c r="FO87">
        <f t="shared" si="1089"/>
        <v>0.10000000000000002</v>
      </c>
      <c r="FP87">
        <f t="shared" si="1089"/>
        <v>0.10000000000000002</v>
      </c>
      <c r="FQ87">
        <f t="shared" si="1089"/>
        <v>0.10000000000000002</v>
      </c>
      <c r="FR87">
        <f t="shared" si="1089"/>
        <v>0.10000000000000002</v>
      </c>
      <c r="FS87">
        <f t="shared" si="1089"/>
        <v>0.10000000000000002</v>
      </c>
      <c r="FT87">
        <f t="shared" si="1089"/>
        <v>0.10000000000000002</v>
      </c>
      <c r="FU87">
        <f t="shared" si="1089"/>
        <v>0.10000000000000002</v>
      </c>
      <c r="FV87">
        <f t="shared" si="1089"/>
        <v>0.10000000000000002</v>
      </c>
      <c r="FW87">
        <f t="shared" si="1089"/>
        <v>0.10000000000000002</v>
      </c>
      <c r="FX87">
        <f t="shared" si="1089"/>
        <v>0.10000000000000002</v>
      </c>
      <c r="FY87">
        <f t="shared" si="1089"/>
        <v>0.10000000000000002</v>
      </c>
      <c r="FZ87">
        <f t="shared" si="1089"/>
        <v>0.10000000000000002</v>
      </c>
      <c r="GA87">
        <f t="shared" si="1089"/>
        <v>0.10000000000000002</v>
      </c>
      <c r="GB87">
        <f t="shared" si="1089"/>
        <v>0.10000000000000002</v>
      </c>
      <c r="GC87">
        <f t="shared" si="1089"/>
        <v>0.10000000000000002</v>
      </c>
      <c r="GD87">
        <f t="shared" si="1089"/>
        <v>0.10000000000000002</v>
      </c>
      <c r="GE87">
        <f t="shared" si="1089"/>
        <v>0.10000000000000002</v>
      </c>
      <c r="GF87">
        <f t="shared" si="1089"/>
        <v>0.10000000000000002</v>
      </c>
      <c r="GG87">
        <f t="shared" si="1089"/>
        <v>0.10000000000000002</v>
      </c>
      <c r="GH87">
        <f t="shared" si="1089"/>
        <v>0.10000000000000002</v>
      </c>
      <c r="GI87">
        <f t="shared" si="1089"/>
        <v>0.10000000000000002</v>
      </c>
      <c r="GJ87">
        <f t="shared" si="1089"/>
        <v>0.10000000000000002</v>
      </c>
      <c r="GK87">
        <f t="shared" si="1089"/>
        <v>0.10000000000000002</v>
      </c>
      <c r="GL87">
        <f t="shared" si="1089"/>
        <v>0.10000000000000002</v>
      </c>
      <c r="GM87">
        <f t="shared" si="1089"/>
        <v>0.10000000000000002</v>
      </c>
      <c r="GN87">
        <f t="shared" ref="GN87:IV87" si="1090">MIN(1,GN53)</f>
        <v>0.10000000000000002</v>
      </c>
      <c r="GO87">
        <f t="shared" si="1090"/>
        <v>0.10000000000000002</v>
      </c>
      <c r="GP87">
        <f t="shared" si="1090"/>
        <v>0.10000000000000002</v>
      </c>
      <c r="GQ87">
        <f t="shared" si="1090"/>
        <v>0.10000000000000002</v>
      </c>
      <c r="GR87">
        <f t="shared" si="1090"/>
        <v>0.10000000000000002</v>
      </c>
      <c r="GS87">
        <f t="shared" si="1090"/>
        <v>0.10000000000000002</v>
      </c>
      <c r="GT87">
        <f t="shared" si="1090"/>
        <v>0.10000000000000002</v>
      </c>
      <c r="GU87">
        <f t="shared" si="1090"/>
        <v>0.10000000000000002</v>
      </c>
      <c r="GV87">
        <f t="shared" si="1090"/>
        <v>0.10000000000000002</v>
      </c>
      <c r="GW87">
        <f t="shared" si="1090"/>
        <v>0.10000000000000002</v>
      </c>
      <c r="GX87">
        <f t="shared" si="1090"/>
        <v>0.10000000000000002</v>
      </c>
      <c r="GY87">
        <f t="shared" si="1090"/>
        <v>0.10000000000000002</v>
      </c>
      <c r="GZ87">
        <f t="shared" si="1090"/>
        <v>0.10000000000000002</v>
      </c>
      <c r="HA87">
        <f t="shared" si="1090"/>
        <v>0.10000000000000002</v>
      </c>
      <c r="HB87">
        <f t="shared" si="1090"/>
        <v>0.10000000000000002</v>
      </c>
      <c r="HC87">
        <f t="shared" si="1090"/>
        <v>0.10000000000000002</v>
      </c>
      <c r="HD87">
        <f t="shared" si="1090"/>
        <v>0.10000000000000002</v>
      </c>
      <c r="HE87">
        <f t="shared" si="1090"/>
        <v>0.10000000000000002</v>
      </c>
      <c r="HF87">
        <f t="shared" si="1090"/>
        <v>0.10000000000000002</v>
      </c>
      <c r="HG87">
        <f t="shared" si="1090"/>
        <v>0.10000000000000002</v>
      </c>
      <c r="HH87">
        <f t="shared" si="1090"/>
        <v>0.10000000000000002</v>
      </c>
      <c r="HI87">
        <f t="shared" si="1090"/>
        <v>0.10000000000000002</v>
      </c>
      <c r="HJ87">
        <f t="shared" si="1090"/>
        <v>0.10000000000000002</v>
      </c>
      <c r="HK87">
        <f t="shared" si="1090"/>
        <v>0.10000000000000002</v>
      </c>
      <c r="HL87">
        <f t="shared" si="1090"/>
        <v>0.10000000000000002</v>
      </c>
      <c r="HM87">
        <f t="shared" si="1090"/>
        <v>0.10000000000000002</v>
      </c>
      <c r="HN87">
        <f t="shared" si="1090"/>
        <v>0.10000000000000002</v>
      </c>
      <c r="HO87">
        <f t="shared" si="1090"/>
        <v>0.10000000000000002</v>
      </c>
      <c r="HP87">
        <f t="shared" si="1090"/>
        <v>0.10000000000000002</v>
      </c>
      <c r="HQ87">
        <f t="shared" si="1090"/>
        <v>0.10000000000000002</v>
      </c>
      <c r="HR87">
        <f t="shared" si="1090"/>
        <v>0.10000000000000002</v>
      </c>
      <c r="HS87">
        <f t="shared" si="1090"/>
        <v>0.10000000000000002</v>
      </c>
      <c r="HT87">
        <f t="shared" si="1090"/>
        <v>0.10000000000000002</v>
      </c>
      <c r="HU87">
        <f t="shared" si="1090"/>
        <v>0.10000000000000002</v>
      </c>
      <c r="HV87">
        <f t="shared" si="1090"/>
        <v>0.10000000000000002</v>
      </c>
      <c r="HW87">
        <f t="shared" si="1090"/>
        <v>0.10000000000000002</v>
      </c>
      <c r="HX87">
        <f t="shared" si="1090"/>
        <v>0.10000000000000002</v>
      </c>
      <c r="HY87">
        <f t="shared" si="1090"/>
        <v>0.10000000000000002</v>
      </c>
      <c r="HZ87">
        <f t="shared" si="1090"/>
        <v>0.10000000000000002</v>
      </c>
      <c r="IA87">
        <f t="shared" si="1090"/>
        <v>0.10000000000000002</v>
      </c>
      <c r="IB87">
        <f t="shared" si="1090"/>
        <v>0.10000000000000002</v>
      </c>
      <c r="IC87">
        <f t="shared" si="1090"/>
        <v>0.10000000000000002</v>
      </c>
      <c r="ID87">
        <f t="shared" si="1090"/>
        <v>0.10000000000000002</v>
      </c>
      <c r="IE87">
        <f t="shared" si="1090"/>
        <v>0.10000000000000002</v>
      </c>
      <c r="IF87">
        <f t="shared" si="1090"/>
        <v>0.10000000000000002</v>
      </c>
      <c r="IG87">
        <f t="shared" si="1090"/>
        <v>0.10000000000000002</v>
      </c>
      <c r="IH87">
        <f t="shared" si="1090"/>
        <v>0.10000000000000002</v>
      </c>
      <c r="II87">
        <f t="shared" si="1090"/>
        <v>0.10000000000000002</v>
      </c>
      <c r="IJ87">
        <f t="shared" si="1090"/>
        <v>0.10000000000000002</v>
      </c>
      <c r="IK87">
        <f t="shared" si="1090"/>
        <v>0.10000000000000002</v>
      </c>
      <c r="IL87">
        <f t="shared" si="1090"/>
        <v>0.10000000000000002</v>
      </c>
      <c r="IM87">
        <f t="shared" si="1090"/>
        <v>0.10000000000000002</v>
      </c>
      <c r="IN87">
        <f t="shared" si="1090"/>
        <v>0.10000000000000002</v>
      </c>
      <c r="IO87">
        <f t="shared" si="1090"/>
        <v>0.10000000000000002</v>
      </c>
      <c r="IP87">
        <f t="shared" si="1090"/>
        <v>0.10000000000000002</v>
      </c>
      <c r="IQ87">
        <f t="shared" si="1090"/>
        <v>0.10000000000000002</v>
      </c>
      <c r="IR87">
        <f t="shared" si="1090"/>
        <v>0.10000000000000002</v>
      </c>
      <c r="IS87">
        <f t="shared" si="1090"/>
        <v>0.10000000000000002</v>
      </c>
      <c r="IT87">
        <f t="shared" si="1090"/>
        <v>0.10000000000000002</v>
      </c>
      <c r="IU87">
        <f t="shared" si="1090"/>
        <v>0.10000000000000002</v>
      </c>
      <c r="IV87">
        <f t="shared" si="1090"/>
        <v>0.10000000000000002</v>
      </c>
    </row>
    <row r="88" spans="1:256" x14ac:dyDescent="0.2">
      <c r="A88" t="s">
        <v>559</v>
      </c>
      <c r="B88">
        <v>0.93385078430175783</v>
      </c>
      <c r="C88">
        <f t="shared" ref="C88:BN88" si="1091">C3/$B$105</f>
        <v>0.98755104580108355</v>
      </c>
      <c r="D88">
        <f t="shared" si="1091"/>
        <v>0.9777376306959189</v>
      </c>
      <c r="E88">
        <f t="shared" si="1091"/>
        <v>0.96817425512163013</v>
      </c>
      <c r="F88">
        <f t="shared" si="1091"/>
        <v>0.95885748934460413</v>
      </c>
      <c r="G88">
        <f t="shared" si="1091"/>
        <v>0.94978380013286912</v>
      </c>
      <c r="H88">
        <f t="shared" si="1091"/>
        <v>0.94094956385900252</v>
      </c>
      <c r="I88">
        <f t="shared" si="1091"/>
        <v>0.93235107879033896</v>
      </c>
      <c r="J88">
        <f t="shared" si="1091"/>
        <v>0.92398457660738287</v>
      </c>
      <c r="K88">
        <f t="shared" si="1091"/>
        <v>0.91584623318993263</v>
      </c>
      <c r="L88">
        <f t="shared" si="1091"/>
        <v>0.90768769995246801</v>
      </c>
      <c r="M88">
        <f t="shared" si="1091"/>
        <v>0.89951254565381522</v>
      </c>
      <c r="N88">
        <f t="shared" si="1091"/>
        <v>0.89132427333696407</v>
      </c>
      <c r="O88">
        <f t="shared" si="1091"/>
        <v>0.88312631558976096</v>
      </c>
      <c r="P88">
        <f t="shared" si="1091"/>
        <v>0.87492203040036753</v>
      </c>
      <c r="Q88">
        <f t="shared" si="1091"/>
        <v>0.86671469756376418</v>
      </c>
      <c r="R88">
        <f t="shared" si="1091"/>
        <v>0.85850751559854177</v>
      </c>
      <c r="S88">
        <f t="shared" si="1091"/>
        <v>0.85030359913595477</v>
      </c>
      <c r="T88">
        <f t="shared" si="1091"/>
        <v>0.84212934617124202</v>
      </c>
      <c r="U88">
        <f t="shared" si="1091"/>
        <v>0.83398571104064467</v>
      </c>
      <c r="V88">
        <f t="shared" si="1091"/>
        <v>0.82587366703433296</v>
      </c>
      <c r="W88">
        <f t="shared" si="1091"/>
        <v>0.81779420061452568</v>
      </c>
      <c r="X88">
        <f t="shared" si="1091"/>
        <v>0.80974830614803439</v>
      </c>
      <c r="Y88">
        <f t="shared" si="1091"/>
        <v>0.80173698111769698</v>
      </c>
      <c r="Z88">
        <f t="shared" si="1091"/>
        <v>0.79376122177948183</v>
      </c>
      <c r="AA88">
        <f t="shared" si="1091"/>
        <v>0.7858220192341876</v>
      </c>
      <c r="AB88">
        <f t="shared" si="1091"/>
        <v>0.77794943156144403</v>
      </c>
      <c r="AC88">
        <f t="shared" si="1091"/>
        <v>0.77014281840225041</v>
      </c>
      <c r="AD88">
        <f t="shared" si="1091"/>
        <v>0.76240156582623719</v>
      </c>
      <c r="AE88">
        <f t="shared" si="1091"/>
        <v>0.75472508413678652</v>
      </c>
      <c r="AF88">
        <f t="shared" si="1091"/>
        <v>0.7471128058923292</v>
      </c>
      <c r="AG88">
        <f t="shared" si="1091"/>
        <v>0.73956418412136449</v>
      </c>
      <c r="AH88">
        <f t="shared" si="1091"/>
        <v>0.73207869071089182</v>
      </c>
      <c r="AI88">
        <f t="shared" si="1091"/>
        <v>0.73906565600172747</v>
      </c>
      <c r="AJ88">
        <f t="shared" si="1091"/>
        <v>0.74645001873018058</v>
      </c>
      <c r="AK88">
        <f t="shared" si="1091"/>
        <v>0.75425081922157955</v>
      </c>
      <c r="AL88">
        <f t="shared" si="1091"/>
        <v>0.76248866293295636</v>
      </c>
      <c r="AM88">
        <f t="shared" si="1091"/>
        <v>0.77118584893835351</v>
      </c>
      <c r="AN88">
        <f t="shared" si="1091"/>
        <v>0.78036651455104378</v>
      </c>
      <c r="AO88">
        <f t="shared" si="1091"/>
        <v>0.79005679806524387</v>
      </c>
      <c r="AP88">
        <f t="shared" si="1091"/>
        <v>0.80028502191912076</v>
      </c>
      <c r="AQ88">
        <f t="shared" si="1091"/>
        <v>0.81562326181285771</v>
      </c>
      <c r="AR88">
        <f t="shared" si="1091"/>
        <v>0.83076977370792282</v>
      </c>
      <c r="AS88">
        <f t="shared" si="1091"/>
        <v>0.84572695420429966</v>
      </c>
      <c r="AT88">
        <f t="shared" si="1091"/>
        <v>0.86049716994447178</v>
      </c>
      <c r="AU88">
        <f t="shared" si="1091"/>
        <v>0.8750827579878917</v>
      </c>
      <c r="AV88">
        <f t="shared" si="1091"/>
        <v>0.889486026180769</v>
      </c>
      <c r="AW88">
        <f t="shared" si="1091"/>
        <v>0.90370925352123532</v>
      </c>
      <c r="AX88">
        <f t="shared" si="1091"/>
        <v>0.91775469051994574</v>
      </c>
      <c r="AY88">
        <f t="shared" si="1091"/>
        <v>0.92568288463958937</v>
      </c>
      <c r="AZ88">
        <f t="shared" si="1091"/>
        <v>0.93398983175633321</v>
      </c>
      <c r="BA88">
        <f t="shared" si="1091"/>
        <v>0.9426935285469713</v>
      </c>
      <c r="BB88">
        <f t="shared" si="1091"/>
        <v>0.95181378055753629</v>
      </c>
      <c r="BC88">
        <f t="shared" si="1091"/>
        <v>0.96137229643701072</v>
      </c>
      <c r="BD88">
        <f t="shared" si="1091"/>
        <v>0.97139279988453997</v>
      </c>
      <c r="BE88">
        <f t="shared" si="1091"/>
        <v>0.98190116058620647</v>
      </c>
      <c r="BF88">
        <f t="shared" si="1091"/>
        <v>0.99292554574648473</v>
      </c>
      <c r="BG88">
        <f t="shared" si="1091"/>
        <v>1.0044965941819284</v>
      </c>
      <c r="BH88">
        <f t="shared" si="1091"/>
        <v>1.0166197783047428</v>
      </c>
      <c r="BI88">
        <f t="shared" si="1091"/>
        <v>1.0292538337436594</v>
      </c>
      <c r="BJ88">
        <f t="shared" si="1091"/>
        <v>1.0417299634895894</v>
      </c>
      <c r="BK88">
        <f t="shared" si="1091"/>
        <v>1.0540501416136956</v>
      </c>
      <c r="BL88">
        <f t="shared" si="1091"/>
        <v>1.0662163175112502</v>
      </c>
      <c r="BM88">
        <f t="shared" si="1091"/>
        <v>1.0782304162100855</v>
      </c>
      <c r="BN88">
        <f t="shared" si="1091"/>
        <v>1.0900943386751853</v>
      </c>
      <c r="BO88">
        <f t="shared" ref="BO88:DZ88" si="1092">BO3/$B$105</f>
        <v>1.1018099621094712</v>
      </c>
      <c r="BP88">
        <f t="shared" si="1092"/>
        <v>1.1133791402508288</v>
      </c>
      <c r="BQ88">
        <f t="shared" si="1092"/>
        <v>1.1248037036654193</v>
      </c>
      <c r="BR88">
        <f t="shared" si="1092"/>
        <v>1.1360854600373276</v>
      </c>
      <c r="BS88">
        <f t="shared" si="1092"/>
        <v>1.1472261944545867</v>
      </c>
      <c r="BT88">
        <f t="shared" si="1092"/>
        <v>1.1582276696916303</v>
      </c>
      <c r="BU88">
        <f t="shared" si="1092"/>
        <v>1.1690916264882107</v>
      </c>
      <c r="BV88">
        <f t="shared" si="1092"/>
        <v>1.1798197838248339</v>
      </c>
      <c r="BW88">
        <f t="shared" si="1092"/>
        <v>1.1904138391947494</v>
      </c>
      <c r="BX88">
        <f t="shared" si="1092"/>
        <v>1.2008754688725409</v>
      </c>
      <c r="BY88">
        <f t="shared" si="1092"/>
        <v>1.2112063281793599</v>
      </c>
      <c r="BZ88">
        <f t="shared" si="1092"/>
        <v>1.2214080517448438</v>
      </c>
      <c r="CA88">
        <f t="shared" si="1092"/>
        <v>1.231482253765759</v>
      </c>
      <c r="CB88">
        <f t="shared" si="1092"/>
        <v>1.2414305282614129</v>
      </c>
      <c r="CC88">
        <f t="shared" si="1092"/>
        <v>1.251254449325871</v>
      </c>
      <c r="CD88">
        <f t="shared" si="1092"/>
        <v>1.2609555713770235</v>
      </c>
      <c r="CE88">
        <f t="shared" si="1092"/>
        <v>1.2705354294025366</v>
      </c>
      <c r="CF88">
        <f t="shared" si="1092"/>
        <v>1.2799955392027307</v>
      </c>
      <c r="CG88">
        <f t="shared" si="1092"/>
        <v>1.2893373976304225</v>
      </c>
      <c r="CH88">
        <f t="shared" si="1092"/>
        <v>1.298562482827768</v>
      </c>
      <c r="CI88">
        <f t="shared" si="1092"/>
        <v>1.3076722544601467</v>
      </c>
      <c r="CJ88">
        <f t="shared" si="1092"/>
        <v>1.3166681539471208</v>
      </c>
      <c r="CK88">
        <f t="shared" si="1092"/>
        <v>1.3255516046905076</v>
      </c>
      <c r="CL88">
        <f t="shared" si="1092"/>
        <v>1.3343240122996021</v>
      </c>
      <c r="CM88">
        <f t="shared" si="1092"/>
        <v>1.3429867648135829</v>
      </c>
      <c r="CN88">
        <f t="shared" si="1092"/>
        <v>1.3515412329211391</v>
      </c>
      <c r="CO88">
        <f t="shared" si="1092"/>
        <v>1.3599887701773508</v>
      </c>
      <c r="CP88">
        <f t="shared" si="1092"/>
        <v>1.3683307132178597</v>
      </c>
      <c r="CQ88">
        <f t="shared" si="1092"/>
        <v>1.3765683819703625</v>
      </c>
      <c r="CR88">
        <f t="shared" si="1092"/>
        <v>1.3847030798634588</v>
      </c>
      <c r="CS88">
        <f t="shared" si="1092"/>
        <v>1.3927360940328914</v>
      </c>
      <c r="CT88">
        <f t="shared" si="1092"/>
        <v>1.4006686955252063</v>
      </c>
      <c r="CU88">
        <f t="shared" si="1092"/>
        <v>1.408502139498867</v>
      </c>
      <c r="CV88">
        <f t="shared" si="1092"/>
        <v>1.416237665422857</v>
      </c>
      <c r="CW88">
        <f t="shared" si="1092"/>
        <v>1.4238764972727971</v>
      </c>
      <c r="CX88">
        <f t="shared" si="1092"/>
        <v>1.4314198437246131</v>
      </c>
      <c r="CY88">
        <f t="shared" si="1092"/>
        <v>1.4388688983457814</v>
      </c>
      <c r="CZ88">
        <f t="shared" si="1092"/>
        <v>1.446224839784185</v>
      </c>
      <c r="DA88">
        <f t="shared" si="1092"/>
        <v>1.4534888319546087</v>
      </c>
      <c r="DB88">
        <f t="shared" si="1092"/>
        <v>1.460662024222902</v>
      </c>
      <c r="DC88">
        <f t="shared" si="1092"/>
        <v>1.4677455515878415</v>
      </c>
      <c r="DD88">
        <f t="shared" si="1092"/>
        <v>1.4747405348607192</v>
      </c>
      <c r="DE88">
        <f t="shared" si="1092"/>
        <v>1.4816480808426862</v>
      </c>
      <c r="DF88">
        <f t="shared" si="1092"/>
        <v>1.4884692824998786</v>
      </c>
      <c r="DG88">
        <f t="shared" si="1092"/>
        <v>1.4952052191363558</v>
      </c>
      <c r="DH88">
        <f t="shared" si="1092"/>
        <v>1.5018569565648772</v>
      </c>
      <c r="DI88">
        <f t="shared" si="1092"/>
        <v>1.5084255472755423</v>
      </c>
      <c r="DJ88">
        <f t="shared" si="1092"/>
        <v>1.514912030602324</v>
      </c>
      <c r="DK88">
        <f t="shared" si="1092"/>
        <v>1.5213174328875207</v>
      </c>
      <c r="DL88">
        <f t="shared" si="1092"/>
        <v>1.5276427676441526</v>
      </c>
      <c r="DM88">
        <f t="shared" si="1092"/>
        <v>1.5338890357163266</v>
      </c>
      <c r="DN88">
        <f t="shared" si="1092"/>
        <v>1.5400572254375984</v>
      </c>
      <c r="DO88">
        <f t="shared" si="1092"/>
        <v>1.5461483127873541</v>
      </c>
      <c r="DP88">
        <f t="shared" si="1092"/>
        <v>1.5521632615452381</v>
      </c>
      <c r="DQ88">
        <f t="shared" si="1092"/>
        <v>1.5581030234436484</v>
      </c>
      <c r="DR88">
        <f t="shared" si="1092"/>
        <v>1.5639685383183286</v>
      </c>
      <c r="DS88">
        <f t="shared" si="1092"/>
        <v>1.5697607342570754</v>
      </c>
      <c r="DT88">
        <f t="shared" si="1092"/>
        <v>1.5754805277465878</v>
      </c>
      <c r="DU88">
        <f t="shared" si="1092"/>
        <v>1.5811288238174812</v>
      </c>
      <c r="DV88">
        <f t="shared" si="1092"/>
        <v>1.5867065161874885</v>
      </c>
      <c r="DW88">
        <f t="shared" si="1092"/>
        <v>1.592214487402871</v>
      </c>
      <c r="DX88">
        <f t="shared" si="1092"/>
        <v>1.5976536089780609</v>
      </c>
      <c r="DY88">
        <f t="shared" si="1092"/>
        <v>1.603024741533561</v>
      </c>
      <c r="DZ88">
        <f t="shared" si="1092"/>
        <v>1.6083287349321174</v>
      </c>
      <c r="EA88">
        <f t="shared" ref="EA88:GL88" si="1093">EA3/$B$105</f>
        <v>1.6135664284131919</v>
      </c>
      <c r="EB88">
        <f t="shared" si="1093"/>
        <v>1.6187386507257528</v>
      </c>
      <c r="EC88">
        <f t="shared" si="1093"/>
        <v>1.6238462202594068</v>
      </c>
      <c r="ED88">
        <f t="shared" si="1093"/>
        <v>1.6288899451738901</v>
      </c>
      <c r="EE88">
        <f t="shared" si="1093"/>
        <v>1.6338706235269422</v>
      </c>
      <c r="EF88">
        <f t="shared" si="1093"/>
        <v>1.6387890434005814</v>
      </c>
      <c r="EG88">
        <f t="shared" si="1093"/>
        <v>1.6436459830258001</v>
      </c>
      <c r="EH88">
        <f t="shared" si="1093"/>
        <v>1.6484422109057033</v>
      </c>
      <c r="EI88">
        <f t="shared" si="1093"/>
        <v>1.6531784859371079</v>
      </c>
      <c r="EJ88">
        <f t="shared" si="1093"/>
        <v>1.65785555753062</v>
      </c>
      <c r="EK88">
        <f t="shared" si="1093"/>
        <v>1.662474165729213</v>
      </c>
      <c r="EL88">
        <f t="shared" si="1093"/>
        <v>1.6670350413253239</v>
      </c>
      <c r="EM88">
        <f t="shared" si="1093"/>
        <v>1.6715389059764831</v>
      </c>
      <c r="EN88">
        <f t="shared" si="1093"/>
        <v>1.675986472319503</v>
      </c>
      <c r="EO88">
        <f t="shared" si="1093"/>
        <v>1.680378444083235</v>
      </c>
      <c r="EP88">
        <f t="shared" si="1093"/>
        <v>1.6847155161999205</v>
      </c>
      <c r="EQ88">
        <f t="shared" si="1093"/>
        <v>1.6889983749151474</v>
      </c>
      <c r="ER88">
        <f t="shared" si="1093"/>
        <v>1.6932276978964338</v>
      </c>
      <c r="ES88">
        <f t="shared" si="1093"/>
        <v>1.6974041543404541</v>
      </c>
      <c r="ET88">
        <f t="shared" si="1093"/>
        <v>1.7015284050789243</v>
      </c>
      <c r="EU88">
        <f t="shared" si="1093"/>
        <v>1.7056011026831637</v>
      </c>
      <c r="EV88">
        <f t="shared" si="1093"/>
        <v>1.7096228915673499</v>
      </c>
      <c r="EW88">
        <f t="shared" si="1093"/>
        <v>1.7135944080904839</v>
      </c>
      <c r="EX88">
        <f t="shared" si="1093"/>
        <v>1.7175162806570785</v>
      </c>
      <c r="EY88">
        <f t="shared" si="1093"/>
        <v>1.7213891298165909</v>
      </c>
      <c r="EZ88">
        <f t="shared" si="1093"/>
        <v>1.7252135683616094</v>
      </c>
      <c r="FA88">
        <f t="shared" si="1093"/>
        <v>1.7289902014248151</v>
      </c>
      <c r="FB88">
        <f t="shared" si="1093"/>
        <v>1.7327196265747307</v>
      </c>
      <c r="FC88">
        <f t="shared" si="1093"/>
        <v>1.7364024339102726</v>
      </c>
      <c r="FD88">
        <f t="shared" si="1093"/>
        <v>1.7400392061541201</v>
      </c>
      <c r="FE88">
        <f t="shared" si="1093"/>
        <v>1.7436305187449195</v>
      </c>
      <c r="FF88">
        <f t="shared" si="1093"/>
        <v>1.7471769399283339</v>
      </c>
      <c r="FG88">
        <f t="shared" si="1093"/>
        <v>1.7506790308469555</v>
      </c>
      <c r="FH88">
        <f t="shared" si="1093"/>
        <v>1.7541373456290945</v>
      </c>
      <c r="FI88">
        <f t="shared" si="1093"/>
        <v>1.7575524314764568</v>
      </c>
      <c r="FJ88">
        <f t="shared" si="1093"/>
        <v>1.7609248287507269</v>
      </c>
      <c r="FK88">
        <f t="shared" si="1093"/>
        <v>1.7642550710590685</v>
      </c>
      <c r="FL88">
        <f t="shared" si="1093"/>
        <v>1.7675436853385562</v>
      </c>
      <c r="FM88">
        <f t="shared" si="1093"/>
        <v>1.77079119193955</v>
      </c>
      <c r="FN88">
        <f t="shared" si="1093"/>
        <v>1.7739981047080315</v>
      </c>
      <c r="FO88">
        <f t="shared" si="1093"/>
        <v>1.7771649310669071</v>
      </c>
      <c r="FP88">
        <f t="shared" si="1093"/>
        <v>1.7802921720962968</v>
      </c>
      <c r="FQ88">
        <f t="shared" si="1093"/>
        <v>1.7833803226128191</v>
      </c>
      <c r="FR88">
        <f t="shared" si="1093"/>
        <v>1.7864298712478845</v>
      </c>
      <c r="FS88">
        <f t="shared" si="1093"/>
        <v>1.7894413005250118</v>
      </c>
      <c r="FT88">
        <f t="shared" si="1093"/>
        <v>1.792415086936175</v>
      </c>
      <c r="FU88">
        <f t="shared" si="1093"/>
        <v>1.7953517010171987</v>
      </c>
      <c r="FV88">
        <f t="shared" si="1093"/>
        <v>1.7982516074222097</v>
      </c>
      <c r="FW88">
        <f t="shared" si="1093"/>
        <v>1.8011152649971578</v>
      </c>
      <c r="FX88">
        <f t="shared" si="1093"/>
        <v>1.8039431268524191</v>
      </c>
      <c r="FY88">
        <f t="shared" si="1093"/>
        <v>1.8067356404344896</v>
      </c>
      <c r="FZ88">
        <f t="shared" si="1093"/>
        <v>1.8094932475967844</v>
      </c>
      <c r="GA88">
        <f t="shared" si="1093"/>
        <v>1.8122163846695505</v>
      </c>
      <c r="GB88">
        <f t="shared" si="1093"/>
        <v>1.814905482528907</v>
      </c>
      <c r="GC88">
        <f t="shared" si="1093"/>
        <v>1.8175609666650214</v>
      </c>
      <c r="GD88">
        <f t="shared" si="1093"/>
        <v>1.8201832572494345</v>
      </c>
      <c r="GE88">
        <f t="shared" si="1093"/>
        <v>1.8227727692015425</v>
      </c>
      <c r="GF88">
        <f t="shared" si="1093"/>
        <v>1.825329912254249</v>
      </c>
      <c r="GG88">
        <f t="shared" si="1093"/>
        <v>1.8278550910187967</v>
      </c>
      <c r="GH88">
        <f t="shared" si="1093"/>
        <v>1.8303487050487874</v>
      </c>
      <c r="GI88">
        <f t="shared" si="1093"/>
        <v>1.8328111489034036</v>
      </c>
      <c r="GJ88">
        <f t="shared" si="1093"/>
        <v>1.8352428122098368</v>
      </c>
      <c r="GK88">
        <f t="shared" si="1093"/>
        <v>1.8376440797249396</v>
      </c>
      <c r="GL88">
        <f t="shared" si="1093"/>
        <v>1.8400153313961038</v>
      </c>
      <c r="GM88">
        <f t="shared" ref="GM88:IV88" si="1094">GM3/$B$105</f>
        <v>1.8423569424213784</v>
      </c>
      <c r="GN88">
        <f t="shared" si="1094"/>
        <v>1.8446692833088372</v>
      </c>
      <c r="GO88">
        <f t="shared" si="1094"/>
        <v>1.8469527199352025</v>
      </c>
      <c r="GP88">
        <f t="shared" si="1094"/>
        <v>1.8492076136037385</v>
      </c>
      <c r="GQ88">
        <f t="shared" si="1094"/>
        <v>1.8514343211014175</v>
      </c>
      <c r="GR88">
        <f t="shared" si="1094"/>
        <v>1.8536331947553757</v>
      </c>
      <c r="GS88">
        <f t="shared" si="1094"/>
        <v>1.8558045824886593</v>
      </c>
      <c r="GT88">
        <f t="shared" si="1094"/>
        <v>1.8579488278752769</v>
      </c>
      <c r="GU88">
        <f t="shared" si="1094"/>
        <v>1.8600662701945618</v>
      </c>
      <c r="GV88">
        <f t="shared" si="1094"/>
        <v>1.8621572444848558</v>
      </c>
      <c r="GW88">
        <f t="shared" si="1094"/>
        <v>1.8642220815965209</v>
      </c>
      <c r="GX88">
        <f t="shared" si="1094"/>
        <v>1.8662611082442901</v>
      </c>
      <c r="GY88">
        <f t="shared" si="1094"/>
        <v>1.8682746470589624</v>
      </c>
      <c r="GZ88">
        <f t="shared" si="1094"/>
        <v>1.8702630166384513</v>
      </c>
      <c r="HA88">
        <f t="shared" si="1094"/>
        <v>1.8722265315981965</v>
      </c>
      <c r="HB88">
        <f t="shared" si="1094"/>
        <v>1.8741655026209449</v>
      </c>
      <c r="HC88">
        <f t="shared" si="1094"/>
        <v>1.876080236505909</v>
      </c>
      <c r="HD88">
        <f t="shared" si="1094"/>
        <v>1.877971036217311</v>
      </c>
      <c r="HE88">
        <f t="shared" si="1094"/>
        <v>1.8798382009323205</v>
      </c>
      <c r="HF88">
        <f t="shared" si="1094"/>
        <v>1.8816820260883922</v>
      </c>
      <c r="HG88">
        <f t="shared" si="1094"/>
        <v>1.8835028034300132</v>
      </c>
      <c r="HH88">
        <f t="shared" si="1094"/>
        <v>1.8853008210548639</v>
      </c>
      <c r="HI88">
        <f t="shared" si="1094"/>
        <v>1.8870763634594039</v>
      </c>
      <c r="HJ88">
        <f t="shared" si="1094"/>
        <v>1.888829711583887</v>
      </c>
      <c r="HK88">
        <f t="shared" si="1094"/>
        <v>1.8905611428568143</v>
      </c>
      <c r="HL88">
        <f t="shared" si="1094"/>
        <v>1.8922709312388299</v>
      </c>
      <c r="HM88">
        <f t="shared" si="1094"/>
        <v>1.8939593472660705</v>
      </c>
      <c r="HN88">
        <f t="shared" si="1094"/>
        <v>1.8956266580929706</v>
      </c>
      <c r="HO88">
        <f t="shared" si="1094"/>
        <v>1.8972731275345343</v>
      </c>
      <c r="HP88">
        <f t="shared" si="1094"/>
        <v>1.8988990161080785</v>
      </c>
      <c r="HQ88">
        <f t="shared" si="1094"/>
        <v>1.9005045810744534</v>
      </c>
      <c r="HR88">
        <f t="shared" si="1094"/>
        <v>1.9020900764787485</v>
      </c>
      <c r="HS88">
        <f t="shared" si="1094"/>
        <v>1.9036557531904901</v>
      </c>
      <c r="HT88">
        <f t="shared" si="1094"/>
        <v>1.9052018589433348</v>
      </c>
      <c r="HU88">
        <f t="shared" si="1094"/>
        <v>1.9067286383742692</v>
      </c>
      <c r="HV88">
        <f t="shared" si="1094"/>
        <v>1.9082363330623167</v>
      </c>
      <c r="HW88">
        <f t="shared" si="1094"/>
        <v>1.9097251815667635</v>
      </c>
      <c r="HX88">
        <f t="shared" si="1094"/>
        <v>1.9111954194649048</v>
      </c>
      <c r="HY88">
        <f t="shared" si="1094"/>
        <v>1.9126472793893192</v>
      </c>
      <c r="HZ88">
        <f t="shared" si="1094"/>
        <v>1.9140809910646785</v>
      </c>
      <c r="IA88">
        <f t="shared" si="1094"/>
        <v>1.915496781344096</v>
      </c>
      <c r="IB88">
        <f t="shared" si="1094"/>
        <v>1.9168948742450207</v>
      </c>
      <c r="IC88">
        <f t="shared" si="1094"/>
        <v>1.9182754909846838</v>
      </c>
      <c r="ID88">
        <f t="shared" si="1094"/>
        <v>1.9196388500151012</v>
      </c>
      <c r="IE88">
        <f t="shared" si="1094"/>
        <v>1.9209851670576383</v>
      </c>
      <c r="IF88">
        <f t="shared" si="1094"/>
        <v>1.9223146551371437</v>
      </c>
      <c r="IG88">
        <f t="shared" si="1094"/>
        <v>1.9236275246156553</v>
      </c>
      <c r="IH88">
        <f t="shared" si="1094"/>
        <v>1.9249239832256855</v>
      </c>
      <c r="II88">
        <f t="shared" si="1094"/>
        <v>1.9262042361030904</v>
      </c>
      <c r="IJ88">
        <f t="shared" si="1094"/>
        <v>1.9274684858195277</v>
      </c>
      <c r="IK88">
        <f t="shared" si="1094"/>
        <v>1.9287169324145095</v>
      </c>
      <c r="IL88">
        <f t="shared" si="1094"/>
        <v>1.9299497734270541</v>
      </c>
      <c r="IM88">
        <f t="shared" si="1094"/>
        <v>1.9311672039269419</v>
      </c>
      <c r="IN88">
        <f t="shared" si="1094"/>
        <v>1.9323694165455811</v>
      </c>
      <c r="IO88">
        <f t="shared" si="1094"/>
        <v>1.9335566015064871</v>
      </c>
      <c r="IP88">
        <f t="shared" si="1094"/>
        <v>1.9347289466553819</v>
      </c>
      <c r="IQ88">
        <f t="shared" si="1094"/>
        <v>1.9358866374899155</v>
      </c>
      <c r="IR88">
        <f t="shared" si="1094"/>
        <v>1.9370298571890174</v>
      </c>
      <c r="IS88">
        <f t="shared" si="1094"/>
        <v>1.9381587866418806</v>
      </c>
      <c r="IT88">
        <f t="shared" si="1094"/>
        <v>1.939273604476583</v>
      </c>
      <c r="IU88">
        <f t="shared" si="1094"/>
        <v>1.9403744870883517</v>
      </c>
      <c r="IV88">
        <f t="shared" si="1094"/>
        <v>1.9414616086674732</v>
      </c>
    </row>
    <row r="89" spans="1:256" x14ac:dyDescent="0.2">
      <c r="A89" t="s">
        <v>560</v>
      </c>
      <c r="B89">
        <v>0.36852024078369139</v>
      </c>
      <c r="C89">
        <f t="shared" ref="C89:BN89" si="1095">C4/$B$106</f>
        <v>1.0006009488953691</v>
      </c>
      <c r="D89">
        <f t="shared" si="1095"/>
        <v>1.0026375971613499</v>
      </c>
      <c r="E89">
        <f t="shared" si="1095"/>
        <v>1.004747700176128</v>
      </c>
      <c r="F89">
        <f t="shared" si="1095"/>
        <v>1.0069338440361166</v>
      </c>
      <c r="G89">
        <f t="shared" si="1095"/>
        <v>1.0091983056996785</v>
      </c>
      <c r="H89">
        <f t="shared" si="1095"/>
        <v>1.0115430904584854</v>
      </c>
      <c r="I89">
        <f t="shared" si="1095"/>
        <v>1.0139699642931335</v>
      </c>
      <c r="J89">
        <f t="shared" si="1095"/>
        <v>1.0164804819602673</v>
      </c>
      <c r="K89">
        <f t="shared" si="1095"/>
        <v>1.0174447937975604</v>
      </c>
      <c r="L89">
        <f t="shared" si="1095"/>
        <v>1.0182016823332618</v>
      </c>
      <c r="M89">
        <f t="shared" si="1095"/>
        <v>1.0187576603698425</v>
      </c>
      <c r="N89">
        <f t="shared" si="1095"/>
        <v>1.0191190571881676</v>
      </c>
      <c r="O89">
        <f t="shared" si="1095"/>
        <v>1.0192920242816641</v>
      </c>
      <c r="P89">
        <f t="shared" si="1095"/>
        <v>1.0192825408749611</v>
      </c>
      <c r="Q89">
        <f t="shared" si="1095"/>
        <v>1.0190964192368654</v>
      </c>
      <c r="R89">
        <f t="shared" si="1095"/>
        <v>1.0187393097969952</v>
      </c>
      <c r="S89">
        <f t="shared" si="1095"/>
        <v>1.0234555033094666</v>
      </c>
      <c r="T89">
        <f t="shared" si="1095"/>
        <v>1.0278903501536383</v>
      </c>
      <c r="U89">
        <f t="shared" si="1095"/>
        <v>1.0320516257988428</v>
      </c>
      <c r="V89">
        <f t="shared" si="1095"/>
        <v>1.035946904126307</v>
      </c>
      <c r="W89">
        <f t="shared" si="1095"/>
        <v>1.0395835632427297</v>
      </c>
      <c r="X89">
        <f t="shared" si="1095"/>
        <v>1.042968791092167</v>
      </c>
      <c r="Y89">
        <f t="shared" si="1095"/>
        <v>1.0461095908747751</v>
      </c>
      <c r="Z89">
        <f t="shared" si="1095"/>
        <v>1.0490127862805234</v>
      </c>
      <c r="AA89">
        <f t="shared" si="1095"/>
        <v>1.0627892741190461</v>
      </c>
      <c r="AB89">
        <f t="shared" si="1095"/>
        <v>1.0763935558595872</v>
      </c>
      <c r="AC89">
        <f t="shared" si="1095"/>
        <v>1.0898277840783714</v>
      </c>
      <c r="AD89">
        <f t="shared" si="1095"/>
        <v>1.103094084444421</v>
      </c>
      <c r="AE89">
        <f t="shared" si="1095"/>
        <v>1.1161945560558948</v>
      </c>
      <c r="AF89">
        <f t="shared" si="1095"/>
        <v>1.1291312717722255</v>
      </c>
      <c r="AG89">
        <f t="shared" si="1095"/>
        <v>1.1419062785421019</v>
      </c>
      <c r="AH89">
        <f t="shared" si="1095"/>
        <v>1.1545215977273549</v>
      </c>
      <c r="AI89">
        <f t="shared" si="1095"/>
        <v>1.1479876354046337</v>
      </c>
      <c r="AJ89">
        <f t="shared" si="1095"/>
        <v>1.1415967328885077</v>
      </c>
      <c r="AK89">
        <f t="shared" si="1095"/>
        <v>1.1353489991103936</v>
      </c>
      <c r="AL89">
        <f t="shared" si="1095"/>
        <v>1.1292444999466333</v>
      </c>
      <c r="AM89">
        <f t="shared" si="1095"/>
        <v>1.1232832638439858</v>
      </c>
      <c r="AN89">
        <f t="shared" si="1095"/>
        <v>1.1174652869311028</v>
      </c>
      <c r="AO89">
        <f t="shared" si="1095"/>
        <v>1.1117905376753283</v>
      </c>
      <c r="AP89">
        <f t="shared" si="1095"/>
        <v>1.1062589611365601</v>
      </c>
      <c r="AQ89">
        <f t="shared" si="1095"/>
        <v>1.1093102416044769</v>
      </c>
      <c r="AR89">
        <f t="shared" si="1095"/>
        <v>1.1123975462776343</v>
      </c>
      <c r="AS89">
        <f t="shared" si="1095"/>
        <v>1.1155228019097301</v>
      </c>
      <c r="AT89">
        <f t="shared" si="1095"/>
        <v>1.1186877125418744</v>
      </c>
      <c r="AU89">
        <f t="shared" si="1095"/>
        <v>1.1218937859952534</v>
      </c>
      <c r="AV89">
        <f t="shared" si="1095"/>
        <v>1.1251423574397674</v>
      </c>
      <c r="AW89">
        <f t="shared" si="1095"/>
        <v>1.1284346104614253</v>
      </c>
      <c r="AX89">
        <f t="shared" si="1095"/>
        <v>1.1317715959809771</v>
      </c>
      <c r="AY89">
        <f t="shared" si="1095"/>
        <v>1.1388092443756745</v>
      </c>
      <c r="AZ89">
        <f t="shared" si="1095"/>
        <v>1.1459396646574187</v>
      </c>
      <c r="BA89">
        <f t="shared" si="1095"/>
        <v>1.1531677180428845</v>
      </c>
      <c r="BB89">
        <f t="shared" si="1095"/>
        <v>1.1604979832069946</v>
      </c>
      <c r="BC89">
        <f t="shared" si="1095"/>
        <v>1.1679348076077023</v>
      </c>
      <c r="BD89">
        <f t="shared" si="1095"/>
        <v>1.1754823513640391</v>
      </c>
      <c r="BE89">
        <f t="shared" si="1095"/>
        <v>1.1831446249892981</v>
      </c>
      <c r="BF89">
        <f t="shared" si="1095"/>
        <v>1.1909255220197044</v>
      </c>
      <c r="BG89">
        <f t="shared" si="1095"/>
        <v>1.1988288473765842</v>
      </c>
      <c r="BH89">
        <f t="shared" si="1095"/>
        <v>1.2068583421420469</v>
      </c>
      <c r="BI89">
        <f t="shared" si="1095"/>
        <v>1.2150177053037992</v>
      </c>
      <c r="BJ89">
        <f t="shared" si="1095"/>
        <v>1.2233106129259224</v>
      </c>
      <c r="BK89">
        <f t="shared" si="1095"/>
        <v>1.2317407344148539</v>
      </c>
      <c r="BL89">
        <f t="shared" si="1095"/>
        <v>1.2403116878235074</v>
      </c>
      <c r="BM89">
        <f t="shared" si="1095"/>
        <v>1.2490270029375321</v>
      </c>
      <c r="BN89">
        <f t="shared" si="1095"/>
        <v>1.2578901366776645</v>
      </c>
      <c r="BO89">
        <f t="shared" ref="BO89:DZ89" si="1096">BO4/$B$106</f>
        <v>1.2669044864299914</v>
      </c>
      <c r="BP89">
        <f t="shared" si="1096"/>
        <v>1.276073401715319</v>
      </c>
      <c r="BQ89">
        <f t="shared" si="1096"/>
        <v>1.2854001944075641</v>
      </c>
      <c r="BR89">
        <f t="shared" si="1096"/>
        <v>1.294888147681194</v>
      </c>
      <c r="BS89">
        <f t="shared" si="1096"/>
        <v>1.3045405238429246</v>
      </c>
      <c r="BT89">
        <f t="shared" si="1096"/>
        <v>1.3143605711821569</v>
      </c>
      <c r="BU89">
        <f t="shared" si="1096"/>
        <v>1.3243515299572226</v>
      </c>
      <c r="BV89">
        <f t="shared" si="1096"/>
        <v>1.3345166376197981</v>
      </c>
      <c r="BW89">
        <f t="shared" si="1096"/>
        <v>1.3447243273165799</v>
      </c>
      <c r="BX89">
        <f t="shared" si="1096"/>
        <v>1.3548044208921517</v>
      </c>
      <c r="BY89">
        <f t="shared" si="1096"/>
        <v>1.3647585132980289</v>
      </c>
      <c r="BZ89">
        <f t="shared" si="1096"/>
        <v>1.3745881795488328</v>
      </c>
      <c r="CA89">
        <f t="shared" si="1096"/>
        <v>1.3842949749715017</v>
      </c>
      <c r="CB89">
        <f t="shared" si="1096"/>
        <v>1.3938804354513872</v>
      </c>
      <c r="CC89">
        <f t="shared" si="1096"/>
        <v>1.4033460776752742</v>
      </c>
      <c r="CD89">
        <f t="shared" si="1096"/>
        <v>1.4126933993713624</v>
      </c>
      <c r="CE89">
        <f t="shared" si="1096"/>
        <v>1.4219238795462494</v>
      </c>
      <c r="CF89">
        <f t="shared" si="1096"/>
        <v>1.4310389787189504</v>
      </c>
      <c r="CG89">
        <f t="shared" si="1096"/>
        <v>1.4400401391519928</v>
      </c>
      <c r="CH89">
        <f t="shared" si="1096"/>
        <v>1.448928785079622</v>
      </c>
      <c r="CI89">
        <f t="shared" si="1096"/>
        <v>1.4577063229331559</v>
      </c>
      <c r="CJ89">
        <f t="shared" si="1096"/>
        <v>1.4663741415635205</v>
      </c>
      <c r="CK89">
        <f t="shared" si="1096"/>
        <v>1.474933612461006</v>
      </c>
      <c r="CL89">
        <f t="shared" si="1096"/>
        <v>1.4833860899722724</v>
      </c>
      <c r="CM89">
        <f t="shared" si="1096"/>
        <v>1.491732911514648</v>
      </c>
      <c r="CN89">
        <f t="shared" si="1096"/>
        <v>1.4999753977877441</v>
      </c>
      <c r="CO89">
        <f t="shared" si="1096"/>
        <v>1.5081148529824264</v>
      </c>
      <c r="CP89">
        <f t="shared" si="1096"/>
        <v>1.5161525649871752</v>
      </c>
      <c r="CQ89">
        <f t="shared" si="1096"/>
        <v>1.5240898055918648</v>
      </c>
      <c r="CR89">
        <f t="shared" si="1096"/>
        <v>1.5319278306889956</v>
      </c>
      <c r="CS89">
        <f t="shared" si="1096"/>
        <v>1.5396678804724124</v>
      </c>
      <c r="CT89">
        <f t="shared" si="1096"/>
        <v>1.5473111796335366</v>
      </c>
      <c r="CU89">
        <f t="shared" si="1096"/>
        <v>1.5548589375551467</v>
      </c>
      <c r="CV89">
        <f t="shared" si="1096"/>
        <v>1.5623123485027364</v>
      </c>
      <c r="CW89">
        <f t="shared" si="1096"/>
        <v>1.5696725918134813</v>
      </c>
      <c r="CX89">
        <f t="shared" si="1096"/>
        <v>1.576940832082842</v>
      </c>
      <c r="CY89">
        <f t="shared" si="1096"/>
        <v>1.5841182193488357</v>
      </c>
      <c r="CZ89">
        <f t="shared" si="1096"/>
        <v>1.5912058892740044</v>
      </c>
      <c r="DA89">
        <f t="shared" si="1096"/>
        <v>1.5982049633251085</v>
      </c>
      <c r="DB89">
        <f t="shared" si="1096"/>
        <v>1.6051165489505739</v>
      </c>
      <c r="DC89">
        <f t="shared" si="1096"/>
        <v>1.611941739755721</v>
      </c>
      <c r="DD89">
        <f t="shared" si="1096"/>
        <v>1.6186816156758037</v>
      </c>
      <c r="DE89">
        <f t="shared" si="1096"/>
        <v>1.6253372431468853</v>
      </c>
      <c r="DF89">
        <f t="shared" si="1096"/>
        <v>1.6319096752745785</v>
      </c>
      <c r="DG89">
        <f t="shared" si="1096"/>
        <v>1.6383999520006753</v>
      </c>
      <c r="DH89">
        <f t="shared" si="1096"/>
        <v>1.6448091002676963</v>
      </c>
      <c r="DI89">
        <f t="shared" si="1096"/>
        <v>1.6511381341813791</v>
      </c>
      <c r="DJ89">
        <f t="shared" si="1096"/>
        <v>1.6573880551711411</v>
      </c>
      <c r="DK89">
        <f t="shared" si="1096"/>
        <v>1.6635598521485309</v>
      </c>
      <c r="DL89">
        <f t="shared" si="1096"/>
        <v>1.6696545016637034</v>
      </c>
      <c r="DM89">
        <f t="shared" si="1096"/>
        <v>1.6756729680599365</v>
      </c>
      <c r="DN89">
        <f t="shared" si="1096"/>
        <v>1.6816162036262166</v>
      </c>
      <c r="DO89">
        <f t="shared" si="1096"/>
        <v>1.6874851487479179</v>
      </c>
      <c r="DP89">
        <f t="shared" si="1096"/>
        <v>1.6932807320555983</v>
      </c>
      <c r="DQ89">
        <f t="shared" si="1096"/>
        <v>1.6990038705719324</v>
      </c>
      <c r="DR89">
        <f t="shared" si="1096"/>
        <v>1.7046554698568124</v>
      </c>
      <c r="DS89">
        <f t="shared" si="1096"/>
        <v>1.7102364241506314</v>
      </c>
      <c r="DT89">
        <f t="shared" si="1096"/>
        <v>1.7157476165157777</v>
      </c>
      <c r="DU89">
        <f t="shared" si="1096"/>
        <v>1.7211899189763595</v>
      </c>
      <c r="DV89">
        <f t="shared" si="1096"/>
        <v>1.7265641926561843</v>
      </c>
      <c r="DW89">
        <f t="shared" si="1096"/>
        <v>1.7318712879150111</v>
      </c>
      <c r="DX89">
        <f t="shared" si="1096"/>
        <v>1.7371120444831027</v>
      </c>
      <c r="DY89">
        <f t="shared" si="1096"/>
        <v>1.7422872915940932</v>
      </c>
      <c r="DZ89">
        <f t="shared" si="1096"/>
        <v>1.7473978481161963</v>
      </c>
      <c r="EA89">
        <f t="shared" ref="EA89:GL89" si="1097">EA4/$B$106</f>
        <v>1.7524445226817731</v>
      </c>
      <c r="EB89">
        <f t="shared" si="1097"/>
        <v>1.7574281138152801</v>
      </c>
      <c r="EC89">
        <f t="shared" si="1097"/>
        <v>1.7623494100596182</v>
      </c>
      <c r="ED89">
        <f t="shared" si="1097"/>
        <v>1.7672091901009022</v>
      </c>
      <c r="EE89">
        <f t="shared" si="1097"/>
        <v>1.77200822289167</v>
      </c>
      <c r="EF89">
        <f t="shared" si="1097"/>
        <v>1.7767472677725533</v>
      </c>
      <c r="EG89">
        <f t="shared" si="1097"/>
        <v>1.7814270745924257</v>
      </c>
      <c r="EH89">
        <f t="shared" si="1097"/>
        <v>1.7860483838270493</v>
      </c>
      <c r="EI89">
        <f t="shared" si="1097"/>
        <v>1.7906119266962404</v>
      </c>
      <c r="EJ89">
        <f t="shared" si="1097"/>
        <v>1.7951184252795667</v>
      </c>
      <c r="EK89">
        <f t="shared" si="1097"/>
        <v>1.7995685926306011</v>
      </c>
      <c r="EL89">
        <f t="shared" si="1097"/>
        <v>1.8039631328897476</v>
      </c>
      <c r="EM89">
        <f t="shared" si="1097"/>
        <v>1.8083027413956552</v>
      </c>
      <c r="EN89">
        <f t="shared" si="1097"/>
        <v>1.8125881047952386</v>
      </c>
      <c r="EO89">
        <f t="shared" si="1097"/>
        <v>1.8168199011523274</v>
      </c>
      <c r="EP89">
        <f t="shared" si="1097"/>
        <v>1.8209988000549524</v>
      </c>
      <c r="EQ89">
        <f t="shared" si="1097"/>
        <v>1.8251254627212947</v>
      </c>
      <c r="ER89">
        <f t="shared" si="1097"/>
        <v>1.8292005421043076</v>
      </c>
      <c r="ES89">
        <f t="shared" si="1097"/>
        <v>1.8332246829950332</v>
      </c>
      <c r="ET89">
        <f t="shared" si="1097"/>
        <v>1.8371985221246243</v>
      </c>
      <c r="EU89">
        <f t="shared" si="1097"/>
        <v>1.8411226882650957</v>
      </c>
      <c r="EV89">
        <f t="shared" si="1097"/>
        <v>1.8449978023288114</v>
      </c>
      <c r="EW89">
        <f t="shared" si="1097"/>
        <v>1.8488244774667304</v>
      </c>
      <c r="EX89">
        <f t="shared" si="1097"/>
        <v>1.8526033191654254</v>
      </c>
      <c r="EY89">
        <f t="shared" si="1097"/>
        <v>1.8563349253428867</v>
      </c>
      <c r="EZ89">
        <f t="shared" si="1097"/>
        <v>1.8600198864431299</v>
      </c>
      <c r="FA89">
        <f t="shared" si="1097"/>
        <v>1.8636587855296198</v>
      </c>
      <c r="FB89">
        <f t="shared" si="1097"/>
        <v>1.8672521983775288</v>
      </c>
      <c r="FC89">
        <f t="shared" si="1097"/>
        <v>1.8708006935648389</v>
      </c>
      <c r="FD89">
        <f t="shared" si="1097"/>
        <v>1.8743048325623075</v>
      </c>
      <c r="FE89">
        <f t="shared" si="1097"/>
        <v>1.8777651698223079</v>
      </c>
      <c r="FF89">
        <f t="shared" si="1097"/>
        <v>1.881182252866558</v>
      </c>
      <c r="FG89">
        <f t="shared" si="1097"/>
        <v>1.8845566223727552</v>
      </c>
      <c r="FH89">
        <f t="shared" si="1097"/>
        <v>1.8878888122601249</v>
      </c>
      <c r="FI89">
        <f t="shared" si="1097"/>
        <v>1.8911793497739025</v>
      </c>
      <c r="FJ89">
        <f t="shared" si="1097"/>
        <v>1.8944287555687578</v>
      </c>
      <c r="FK89">
        <f t="shared" si="1097"/>
        <v>1.8976375437911777</v>
      </c>
      <c r="FL89">
        <f t="shared" si="1097"/>
        <v>1.9008062221608171</v>
      </c>
      <c r="FM89">
        <f t="shared" si="1097"/>
        <v>1.9039352920508361</v>
      </c>
      <c r="FN89">
        <f t="shared" si="1097"/>
        <v>1.9070252485672297</v>
      </c>
      <c r="FO89">
        <f t="shared" si="1097"/>
        <v>1.9100765806271685</v>
      </c>
      <c r="FP89">
        <f t="shared" si="1097"/>
        <v>1.9130897710363579</v>
      </c>
      <c r="FQ89">
        <f t="shared" si="1097"/>
        <v>1.9160652965654326</v>
      </c>
      <c r="FR89">
        <f t="shared" si="1097"/>
        <v>1.9190036280253939</v>
      </c>
      <c r="FS89">
        <f t="shared" si="1097"/>
        <v>1.9219052303421058</v>
      </c>
      <c r="FT89">
        <f t="shared" si="1097"/>
        <v>1.9247705626298586</v>
      </c>
      <c r="FU89">
        <f t="shared" si="1097"/>
        <v>1.9276000782640146</v>
      </c>
      <c r="FV89">
        <f t="shared" si="1097"/>
        <v>1.9303942249527435</v>
      </c>
      <c r="FW89">
        <f t="shared" si="1097"/>
        <v>1.9331534448078636</v>
      </c>
      <c r="FX89">
        <f t="shared" si="1097"/>
        <v>1.9358781744147946</v>
      </c>
      <c r="FY89">
        <f t="shared" si="1097"/>
        <v>1.9385688449016387</v>
      </c>
      <c r="FZ89">
        <f t="shared" si="1097"/>
        <v>1.9412258820073973</v>
      </c>
      <c r="GA89">
        <f t="shared" si="1097"/>
        <v>1.9438497061493341</v>
      </c>
      <c r="GB89">
        <f t="shared" si="1097"/>
        <v>1.9464407324894966</v>
      </c>
      <c r="GC89">
        <f t="shared" si="1097"/>
        <v>1.948999371000407</v>
      </c>
      <c r="GD89">
        <f t="shared" si="1097"/>
        <v>1.951526026529931</v>
      </c>
      <c r="GE89">
        <f t="shared" si="1097"/>
        <v>1.9540210988653361</v>
      </c>
      <c r="GF89">
        <f t="shared" si="1097"/>
        <v>1.9564849827965487</v>
      </c>
      <c r="GG89">
        <f t="shared" si="1097"/>
        <v>1.9589180681786209</v>
      </c>
      <c r="GH89">
        <f t="shared" si="1097"/>
        <v>1.9613207399934174</v>
      </c>
      <c r="GI89">
        <f t="shared" si="1097"/>
        <v>1.9636933784105288</v>
      </c>
      <c r="GJ89">
        <f t="shared" si="1097"/>
        <v>1.9660363588474266</v>
      </c>
      <c r="GK89">
        <f t="shared" si="1097"/>
        <v>1.9683500520288628</v>
      </c>
      <c r="GL89">
        <f t="shared" si="1097"/>
        <v>1.9706348240455311</v>
      </c>
      <c r="GM89">
        <f t="shared" ref="GM89:IV89" si="1098">GM4/$B$106</f>
        <v>1.9728910364119912</v>
      </c>
      <c r="GN89">
        <f t="shared" si="1098"/>
        <v>1.9751190461238703</v>
      </c>
      <c r="GO89">
        <f t="shared" si="1098"/>
        <v>1.9773192057143512</v>
      </c>
      <c r="GP89">
        <f t="shared" si="1098"/>
        <v>1.979491863309951</v>
      </c>
      <c r="GQ89">
        <f t="shared" si="1098"/>
        <v>1.9816373626856059</v>
      </c>
      <c r="GR89">
        <f t="shared" si="1098"/>
        <v>1.9837560433190651</v>
      </c>
      <c r="GS89">
        <f t="shared" si="1098"/>
        <v>1.9858482404446061</v>
      </c>
      <c r="GT89">
        <f t="shared" si="1098"/>
        <v>1.9879142851060776</v>
      </c>
      <c r="GU89">
        <f t="shared" si="1098"/>
        <v>1.9899545042092808</v>
      </c>
      <c r="GV89">
        <f t="shared" si="1098"/>
        <v>1.9919692205736941</v>
      </c>
      <c r="GW89">
        <f t="shared" si="1098"/>
        <v>1.9939587529835519</v>
      </c>
      <c r="GX89">
        <f t="shared" si="1098"/>
        <v>1.9959234162382868</v>
      </c>
      <c r="GY89">
        <f t="shared" si="1098"/>
        <v>1.9978635212023372</v>
      </c>
      <c r="GZ89">
        <f t="shared" si="1098"/>
        <v>1.9997793748543371</v>
      </c>
      <c r="HA89">
        <f t="shared" si="1098"/>
        <v>2.0016712803356871</v>
      </c>
      <c r="HB89">
        <f t="shared" si="1098"/>
        <v>2.0035395369985198</v>
      </c>
      <c r="HC89">
        <f t="shared" si="1098"/>
        <v>2.0053844404530676</v>
      </c>
      <c r="HD89">
        <f t="shared" si="1098"/>
        <v>2.0072062826144337</v>
      </c>
      <c r="HE89">
        <f t="shared" si="1098"/>
        <v>2.0090053517487823</v>
      </c>
      <c r="HF89">
        <f t="shared" si="1098"/>
        <v>2.0107819325189515</v>
      </c>
      <c r="HG89">
        <f t="shared" si="1098"/>
        <v>2.0125363060294941</v>
      </c>
      <c r="HH89">
        <f t="shared" si="1098"/>
        <v>2.0142687498711549</v>
      </c>
      <c r="HI89">
        <f t="shared" si="1098"/>
        <v>2.0159795381647942</v>
      </c>
      <c r="HJ89">
        <f t="shared" si="1098"/>
        <v>2.0176689416047635</v>
      </c>
      <c r="HK89">
        <f t="shared" si="1098"/>
        <v>2.0193372275017332</v>
      </c>
      <c r="HL89">
        <f t="shared" si="1098"/>
        <v>2.0209846598249905</v>
      </c>
      <c r="HM89">
        <f t="shared" si="1098"/>
        <v>2.0226114992442077</v>
      </c>
      <c r="HN89">
        <f t="shared" si="1098"/>
        <v>2.024218003170684</v>
      </c>
      <c r="HO89">
        <f t="shared" si="1098"/>
        <v>2.0258044257980794</v>
      </c>
      <c r="HP89">
        <f t="shared" si="1098"/>
        <v>2.0273710181426328</v>
      </c>
      <c r="HQ89">
        <f t="shared" si="1098"/>
        <v>2.0289180280828791</v>
      </c>
      <c r="HR89">
        <f t="shared" si="1098"/>
        <v>2.0304457003988721</v>
      </c>
      <c r="HS89">
        <f t="shared" si="1098"/>
        <v>2.0319542768109153</v>
      </c>
      <c r="HT89">
        <f t="shared" si="1098"/>
        <v>2.0334439960178079</v>
      </c>
      <c r="HU89">
        <f t="shared" si="1098"/>
        <v>2.0349150937346145</v>
      </c>
      <c r="HV89">
        <f t="shared" si="1098"/>
        <v>2.036367802729961</v>
      </c>
      <c r="HW89">
        <f t="shared" si="1098"/>
        <v>2.0378023528628657</v>
      </c>
      <c r="HX89">
        <f t="shared" si="1098"/>
        <v>2.0392189711191087</v>
      </c>
      <c r="HY89">
        <f t="shared" si="1098"/>
        <v>2.0406178816471492</v>
      </c>
      <c r="HZ89">
        <f t="shared" si="1098"/>
        <v>2.0419993057935888</v>
      </c>
      <c r="IA89">
        <f t="shared" si="1098"/>
        <v>2.0433634621381982</v>
      </c>
      <c r="IB89">
        <f t="shared" si="1098"/>
        <v>2.0447105665284999</v>
      </c>
      <c r="IC89">
        <f t="shared" si="1098"/>
        <v>2.0460408321139232</v>
      </c>
      <c r="ID89">
        <f t="shared" si="1098"/>
        <v>2.047354469379528</v>
      </c>
      <c r="IE89">
        <f t="shared" si="1098"/>
        <v>2.0486516861793134</v>
      </c>
      <c r="IF89">
        <f t="shared" si="1098"/>
        <v>2.0499326877691009</v>
      </c>
      <c r="IG89">
        <f t="shared" si="1098"/>
        <v>2.0511976768390165</v>
      </c>
      <c r="IH89">
        <f t="shared" si="1098"/>
        <v>2.0524468535455576</v>
      </c>
      <c r="II89">
        <f t="shared" si="1098"/>
        <v>2.0536804155432673</v>
      </c>
      <c r="IJ89">
        <f t="shared" si="1098"/>
        <v>2.0548985580160055</v>
      </c>
      <c r="IK89">
        <f t="shared" si="1098"/>
        <v>2.0561014737078347</v>
      </c>
      <c r="IL89">
        <f t="shared" si="1098"/>
        <v>2.0572893529535161</v>
      </c>
      <c r="IM89">
        <f t="shared" si="1098"/>
        <v>2.0584623837086262</v>
      </c>
      <c r="IN89">
        <f t="shared" si="1098"/>
        <v>2.0596207515792977</v>
      </c>
      <c r="IO89">
        <f t="shared" si="1098"/>
        <v>2.0607646398515853</v>
      </c>
      <c r="IP89">
        <f t="shared" si="1098"/>
        <v>2.0618942295204699</v>
      </c>
      <c r="IQ89">
        <f t="shared" si="1098"/>
        <v>2.063009699318493</v>
      </c>
      <c r="IR89">
        <f t="shared" si="1098"/>
        <v>2.0641112257440413</v>
      </c>
      <c r="IS89">
        <f t="shared" si="1098"/>
        <v>2.0651989830892701</v>
      </c>
      <c r="IT89">
        <f t="shared" si="1098"/>
        <v>2.0662731434676833</v>
      </c>
      <c r="IU89">
        <f t="shared" si="1098"/>
        <v>2.0673338768413663</v>
      </c>
      <c r="IV89">
        <f t="shared" si="1098"/>
        <v>2.0683813510478783</v>
      </c>
    </row>
    <row r="90" spans="1:256" x14ac:dyDescent="0.2">
      <c r="A90" t="s">
        <v>561</v>
      </c>
      <c r="B90">
        <v>0.55213714599609376</v>
      </c>
      <c r="C90">
        <f t="shared" ref="C90:BN90" si="1099">C5/$B$107</f>
        <v>0.99256155484279163</v>
      </c>
      <c r="D90">
        <f t="shared" si="1099"/>
        <v>1.0255083506682454</v>
      </c>
      <c r="E90">
        <f t="shared" si="1099"/>
        <v>1.0580433115458809</v>
      </c>
      <c r="F90">
        <f t="shared" si="1099"/>
        <v>1.090171585412546</v>
      </c>
      <c r="G90">
        <f t="shared" si="1099"/>
        <v>1.1218982558558779</v>
      </c>
      <c r="H90">
        <f t="shared" si="1099"/>
        <v>1.1532283429186678</v>
      </c>
      <c r="I90">
        <f t="shared" si="1099"/>
        <v>1.1841668038931732</v>
      </c>
      <c r="J90">
        <f t="shared" si="1099"/>
        <v>1.2147185341054969</v>
      </c>
      <c r="K90">
        <f t="shared" si="1099"/>
        <v>1.2054031409981032</v>
      </c>
      <c r="L90">
        <f t="shared" si="1099"/>
        <v>1.1961030517845668</v>
      </c>
      <c r="M90">
        <f t="shared" si="1099"/>
        <v>1.1868184485618363</v>
      </c>
      <c r="N90">
        <f t="shared" si="1099"/>
        <v>1.1775495990656526</v>
      </c>
      <c r="O90">
        <f t="shared" si="1099"/>
        <v>1.1682968492756562</v>
      </c>
      <c r="P90">
        <f t="shared" si="1099"/>
        <v>1.1590606164346768</v>
      </c>
      <c r="Q90">
        <f t="shared" si="1099"/>
        <v>1.149841382463145</v>
      </c>
      <c r="R90">
        <f t="shared" si="1099"/>
        <v>1.1406396877502982</v>
      </c>
      <c r="S90">
        <f t="shared" si="1099"/>
        <v>1.1314561253045698</v>
      </c>
      <c r="T90">
        <f t="shared" si="1099"/>
        <v>1.1223022551680903</v>
      </c>
      <c r="U90">
        <f t="shared" si="1099"/>
        <v>1.113177931494219</v>
      </c>
      <c r="V90">
        <f t="shared" si="1099"/>
        <v>1.1040830997144713</v>
      </c>
      <c r="W90">
        <f t="shared" si="1099"/>
        <v>1.0950177882033474</v>
      </c>
      <c r="X90">
        <f t="shared" si="1099"/>
        <v>1.0859821004981858</v>
      </c>
      <c r="Y90">
        <f t="shared" si="1099"/>
        <v>1.0769762080400505</v>
      </c>
      <c r="Z90">
        <f t="shared" si="1099"/>
        <v>1.0680003434037373</v>
      </c>
      <c r="AA90">
        <f t="shared" si="1099"/>
        <v>1.063459248862717</v>
      </c>
      <c r="AB90">
        <f t="shared" si="1099"/>
        <v>1.0589335476457193</v>
      </c>
      <c r="AC90">
        <f t="shared" si="1099"/>
        <v>1.0544210925552402</v>
      </c>
      <c r="AD90">
        <f t="shared" si="1099"/>
        <v>1.0499198939303871</v>
      </c>
      <c r="AE90">
        <f t="shared" si="1099"/>
        <v>1.0454281112493424</v>
      </c>
      <c r="AF90">
        <f t="shared" si="1099"/>
        <v>1.0409440451424385</v>
      </c>
      <c r="AG90">
        <f t="shared" si="1099"/>
        <v>1.0364661297957842</v>
      </c>
      <c r="AH90">
        <f t="shared" si="1099"/>
        <v>1.0319929257264013</v>
      </c>
      <c r="AI90">
        <f t="shared" si="1099"/>
        <v>1.0423658674927283</v>
      </c>
      <c r="AJ90">
        <f t="shared" si="1099"/>
        <v>1.052649521370723</v>
      </c>
      <c r="AK90">
        <f t="shared" si="1099"/>
        <v>1.0628556177037702</v>
      </c>
      <c r="AL90">
        <f t="shared" si="1099"/>
        <v>1.072995556285522</v>
      </c>
      <c r="AM90">
        <f t="shared" si="1099"/>
        <v>1.0830804407104202</v>
      </c>
      <c r="AN90">
        <f t="shared" si="1099"/>
        <v>1.093121110160852</v>
      </c>
      <c r="AO90">
        <f t="shared" si="1099"/>
        <v>1.1031281689475023</v>
      </c>
      <c r="AP90">
        <f t="shared" si="1099"/>
        <v>1.1131120140803856</v>
      </c>
      <c r="AQ90">
        <f t="shared" si="1099"/>
        <v>1.1393768278529857</v>
      </c>
      <c r="AR90">
        <f t="shared" si="1099"/>
        <v>1.1652550956265224</v>
      </c>
      <c r="AS90">
        <f t="shared" si="1099"/>
        <v>1.190763862322711</v>
      </c>
      <c r="AT90">
        <f t="shared" si="1099"/>
        <v>1.2159194945877974</v>
      </c>
      <c r="AU90">
        <f t="shared" si="1099"/>
        <v>1.2407377534738455</v>
      </c>
      <c r="AV90">
        <f t="shared" si="1099"/>
        <v>1.2652338589716734</v>
      </c>
      <c r="AW90">
        <f t="shared" si="1099"/>
        <v>1.2894225476035375</v>
      </c>
      <c r="AX90">
        <f t="shared" si="1099"/>
        <v>1.3133181240856602</v>
      </c>
      <c r="AY90">
        <f t="shared" si="1099"/>
        <v>1.3388991267714068</v>
      </c>
      <c r="AZ90">
        <f t="shared" si="1099"/>
        <v>1.3644721705746594</v>
      </c>
      <c r="BA90">
        <f t="shared" si="1099"/>
        <v>1.3900583980656078</v>
      </c>
      <c r="BB90">
        <f t="shared" si="1099"/>
        <v>1.4156786962422707</v>
      </c>
      <c r="BC90">
        <f t="shared" si="1099"/>
        <v>1.441353810831699</v>
      </c>
      <c r="BD90">
        <f t="shared" si="1099"/>
        <v>1.4671044475823973</v>
      </c>
      <c r="BE90">
        <f t="shared" si="1099"/>
        <v>1.4929513631554776</v>
      </c>
      <c r="BF90">
        <f t="shared" si="1099"/>
        <v>1.5189154477160589</v>
      </c>
      <c r="BG90">
        <f t="shared" si="1099"/>
        <v>1.5450178009366358</v>
      </c>
      <c r="BH90">
        <f t="shared" si="1099"/>
        <v>1.5710588936859164</v>
      </c>
      <c r="BI90">
        <f t="shared" si="1099"/>
        <v>1.5967744727758311</v>
      </c>
      <c r="BJ90">
        <f t="shared" si="1099"/>
        <v>1.6221686071271217</v>
      </c>
      <c r="BK90">
        <f t="shared" si="1099"/>
        <v>1.6472453147990214</v>
      </c>
      <c r="BL90">
        <f t="shared" si="1099"/>
        <v>1.6720085636250221</v>
      </c>
      <c r="BM90">
        <f t="shared" si="1099"/>
        <v>1.6964622718406979</v>
      </c>
      <c r="BN90">
        <f t="shared" si="1099"/>
        <v>1.7206103087036777</v>
      </c>
      <c r="BO90">
        <f t="shared" ref="BO90:DZ90" si="1100">BO5/$B$107</f>
        <v>1.7444564951058703</v>
      </c>
      <c r="BP90">
        <f t="shared" si="1100"/>
        <v>1.7680046041780355</v>
      </c>
      <c r="BQ90">
        <f t="shared" si="1100"/>
        <v>1.7912583618867988</v>
      </c>
      <c r="BR90">
        <f t="shared" si="1100"/>
        <v>1.8142214476242022</v>
      </c>
      <c r="BS90">
        <f t="shared" si="1100"/>
        <v>1.8368974947898882</v>
      </c>
      <c r="BT90">
        <f t="shared" si="1100"/>
        <v>1.8592900913660031</v>
      </c>
      <c r="BU90">
        <f t="shared" si="1100"/>
        <v>1.8814027804849165</v>
      </c>
      <c r="BV90">
        <f t="shared" si="1100"/>
        <v>1.9032390609898437</v>
      </c>
      <c r="BW90">
        <f t="shared" si="1100"/>
        <v>1.9248023879884593</v>
      </c>
      <c r="BX90">
        <f t="shared" si="1100"/>
        <v>1.9460961733995921</v>
      </c>
      <c r="BY90">
        <f t="shared" si="1100"/>
        <v>1.9671237864930859</v>
      </c>
      <c r="BZ90">
        <f t="shared" si="1100"/>
        <v>1.987888554422911</v>
      </c>
      <c r="CA90">
        <f t="shared" si="1100"/>
        <v>2.008393762753613</v>
      </c>
      <c r="CB90">
        <f t="shared" si="1100"/>
        <v>2.0286426559801813</v>
      </c>
      <c r="CC90">
        <f t="shared" si="1100"/>
        <v>2.0486384380414178</v>
      </c>
      <c r="CD90">
        <f t="shared" si="1100"/>
        <v>2.0683842728268886</v>
      </c>
      <c r="CE90">
        <f t="shared" si="1100"/>
        <v>2.0878832846775408</v>
      </c>
      <c r="CF90">
        <f t="shared" si="1100"/>
        <v>2.1071385588800604</v>
      </c>
      <c r="CG90">
        <f t="shared" si="1100"/>
        <v>2.1261531421550481</v>
      </c>
      <c r="CH90">
        <f t="shared" si="1100"/>
        <v>2.144930043139099</v>
      </c>
      <c r="CI90">
        <f t="shared" si="1100"/>
        <v>2.1634722328608484</v>
      </c>
      <c r="CJ90">
        <f t="shared" si="1100"/>
        <v>2.1817826452110767</v>
      </c>
      <c r="CK90">
        <f t="shared" si="1100"/>
        <v>2.1998641774069267</v>
      </c>
      <c r="CL90">
        <f t="shared" si="1100"/>
        <v>2.2177196904503287</v>
      </c>
      <c r="CM90">
        <f t="shared" si="1100"/>
        <v>2.2353520095806885</v>
      </c>
      <c r="CN90">
        <f t="shared" si="1100"/>
        <v>2.2527639247219184</v>
      </c>
      <c r="CO90">
        <f t="shared" si="1100"/>
        <v>2.2699581909238828</v>
      </c>
      <c r="CP90">
        <f t="shared" si="1100"/>
        <v>2.2869375287983229</v>
      </c>
      <c r="CQ90">
        <f t="shared" si="1100"/>
        <v>2.3037046249493325</v>
      </c>
      <c r="CR90">
        <f t="shared" si="1100"/>
        <v>2.320262132398454</v>
      </c>
      <c r="CS90">
        <f t="shared" si="1100"/>
        <v>2.3366126710044619</v>
      </c>
      <c r="CT90">
        <f t="shared" si="1100"/>
        <v>2.3527588278778948</v>
      </c>
      <c r="CU90">
        <f t="shared" si="1100"/>
        <v>2.3687031577904101</v>
      </c>
      <c r="CV90">
        <f t="shared" si="1100"/>
        <v>2.3844481835790181</v>
      </c>
      <c r="CW90">
        <f t="shared" si="1100"/>
        <v>2.3999963965452689</v>
      </c>
      <c r="CX90">
        <f t="shared" si="1100"/>
        <v>2.4153502568494418</v>
      </c>
      <c r="CY90">
        <f t="shared" si="1100"/>
        <v>2.430512193899812</v>
      </c>
      <c r="CZ90">
        <f t="shared" si="1100"/>
        <v>2.445484606737053</v>
      </c>
      <c r="DA90">
        <f t="shared" si="1100"/>
        <v>2.4602698644138283</v>
      </c>
      <c r="DB90">
        <f t="shared" si="1100"/>
        <v>2.474870306369644</v>
      </c>
      <c r="DC90">
        <f t="shared" si="1100"/>
        <v>2.4892882428010124</v>
      </c>
      <c r="DD90">
        <f t="shared" si="1100"/>
        <v>2.5035259550269884</v>
      </c>
      <c r="DE90">
        <f t="shared" si="1100"/>
        <v>2.5175856958501397</v>
      </c>
      <c r="DF90">
        <f t="shared" si="1100"/>
        <v>2.5314696899130014</v>
      </c>
      <c r="DG90">
        <f t="shared" si="1100"/>
        <v>2.545180134050077</v>
      </c>
      <c r="DH90">
        <f t="shared" si="1100"/>
        <v>2.5587191976354395</v>
      </c>
      <c r="DI90">
        <f t="shared" si="1100"/>
        <v>2.5720890229259856</v>
      </c>
      <c r="DJ90">
        <f t="shared" si="1100"/>
        <v>2.5852917254003991</v>
      </c>
      <c r="DK90">
        <f t="shared" si="1100"/>
        <v>2.5983293940938825</v>
      </c>
      <c r="DL90">
        <f t="shared" si="1100"/>
        <v>2.6112040919286978</v>
      </c>
      <c r="DM90">
        <f t="shared" si="1100"/>
        <v>2.6239178560405776</v>
      </c>
      <c r="DN90">
        <f t="shared" si="1100"/>
        <v>2.6364726981010587</v>
      </c>
      <c r="DO90">
        <f t="shared" si="1100"/>
        <v>2.6488706046357842</v>
      </c>
      <c r="DP90">
        <f t="shared" si="1100"/>
        <v>2.6611135373388257</v>
      </c>
      <c r="DQ90">
        <f t="shared" si="1100"/>
        <v>2.6732034333830788</v>
      </c>
      <c r="DR90">
        <f t="shared" si="1100"/>
        <v>2.6851422057267791</v>
      </c>
      <c r="DS90">
        <f t="shared" si="1100"/>
        <v>2.696931743416183</v>
      </c>
      <c r="DT90">
        <f t="shared" si="1100"/>
        <v>2.7085739118844692</v>
      </c>
      <c r="DU90">
        <f t="shared" si="1100"/>
        <v>2.7200705532469018</v>
      </c>
      <c r="DV90">
        <f t="shared" si="1100"/>
        <v>2.7314234865923042</v>
      </c>
      <c r="DW90">
        <f t="shared" si="1100"/>
        <v>2.7426345082708892</v>
      </c>
      <c r="DX90">
        <f t="shared" si="1100"/>
        <v>2.7537053921784915</v>
      </c>
      <c r="DY90">
        <f t="shared" si="1100"/>
        <v>2.7646378900372488</v>
      </c>
      <c r="DZ90">
        <f t="shared" si="1100"/>
        <v>2.7754337316727717</v>
      </c>
      <c r="EA90">
        <f t="shared" ref="EA90:GL90" si="1101">EA5/$B$107</f>
        <v>2.7860946252878507</v>
      </c>
      <c r="EB90">
        <f t="shared" si="1101"/>
        <v>2.7966222577327411</v>
      </c>
      <c r="EC90">
        <f t="shared" si="1101"/>
        <v>2.8070182947720701</v>
      </c>
      <c r="ED90">
        <f t="shared" si="1101"/>
        <v>2.8172843813484079</v>
      </c>
      <c r="EE90">
        <f t="shared" si="1101"/>
        <v>2.8274221418425411</v>
      </c>
      <c r="EF90">
        <f t="shared" si="1101"/>
        <v>2.837433180330498</v>
      </c>
      <c r="EG90">
        <f t="shared" si="1101"/>
        <v>2.8473190808373552</v>
      </c>
      <c r="EH90">
        <f t="shared" si="1101"/>
        <v>2.8570814075878768</v>
      </c>
      <c r="EI90">
        <f t="shared" si="1101"/>
        <v>2.866721705254017</v>
      </c>
      <c r="EJ90">
        <f t="shared" si="1101"/>
        <v>2.8762414991993301</v>
      </c>
      <c r="EK90">
        <f t="shared" si="1101"/>
        <v>2.8856422957203272</v>
      </c>
      <c r="EL90">
        <f t="shared" si="1101"/>
        <v>2.8949255822848117</v>
      </c>
      <c r="EM90">
        <f t="shared" si="1101"/>
        <v>2.90409282776724</v>
      </c>
      <c r="EN90">
        <f t="shared" si="1101"/>
        <v>2.9131454826811378</v>
      </c>
      <c r="EO90">
        <f t="shared" si="1101"/>
        <v>2.9220849794086123</v>
      </c>
      <c r="EP90">
        <f t="shared" si="1101"/>
        <v>2.9309127324269935</v>
      </c>
      <c r="EQ90">
        <f t="shared" si="1101"/>
        <v>2.9396301385326447</v>
      </c>
      <c r="ER90">
        <f t="shared" si="1101"/>
        <v>2.9482385770619755</v>
      </c>
      <c r="ES90">
        <f t="shared" si="1101"/>
        <v>2.9567394101096891</v>
      </c>
      <c r="ET90">
        <f t="shared" si="1101"/>
        <v>2.9651339827443066</v>
      </c>
      <c r="EU90">
        <f t="shared" si="1101"/>
        <v>2.9734236232209916</v>
      </c>
      <c r="EV90">
        <f t="shared" si="1101"/>
        <v>2.9816096431917178</v>
      </c>
      <c r="EW90">
        <f t="shared" si="1101"/>
        <v>2.9896933379128097</v>
      </c>
      <c r="EX90">
        <f t="shared" si="1101"/>
        <v>2.9976759864498881</v>
      </c>
      <c r="EY90">
        <f t="shared" si="1101"/>
        <v>3.0055588518802532</v>
      </c>
      <c r="EZ90">
        <f t="shared" si="1101"/>
        <v>3.0133431814927385</v>
      </c>
      <c r="FA90">
        <f t="shared" si="1101"/>
        <v>3.0210302069850679</v>
      </c>
      <c r="FB90">
        <f t="shared" si="1101"/>
        <v>3.028621144658743</v>
      </c>
      <c r="FC90">
        <f t="shared" si="1101"/>
        <v>3.0361171956114976</v>
      </c>
      <c r="FD90">
        <f t="shared" si="1101"/>
        <v>3.0435195459273423</v>
      </c>
      <c r="FE90">
        <f t="shared" si="1101"/>
        <v>3.0508293668642392</v>
      </c>
      <c r="FF90">
        <f t="shared" si="1101"/>
        <v>3.058047815039425</v>
      </c>
      <c r="FG90">
        <f t="shared" si="1101"/>
        <v>3.0651760326124209</v>
      </c>
      <c r="FH90">
        <f t="shared" si="1101"/>
        <v>3.0722151474657542</v>
      </c>
      <c r="FI90">
        <f t="shared" si="1101"/>
        <v>3.0791662733834206</v>
      </c>
      <c r="FJ90">
        <f t="shared" si="1101"/>
        <v>3.0860305102271166</v>
      </c>
      <c r="FK90">
        <f t="shared" si="1101"/>
        <v>3.0928089441102662</v>
      </c>
      <c r="FL90">
        <f t="shared" si="1101"/>
        <v>3.0995026475698766</v>
      </c>
      <c r="FM90">
        <f t="shared" si="1101"/>
        <v>3.1061126797362419</v>
      </c>
      <c r="FN90">
        <f t="shared" si="1101"/>
        <v>3.112640086500527</v>
      </c>
      <c r="FO90">
        <f t="shared" si="1101"/>
        <v>3.1190859006802594</v>
      </c>
      <c r="FP90">
        <f t="shared" si="1101"/>
        <v>3.1254511421827447</v>
      </c>
      <c r="FQ90">
        <f t="shared" si="1101"/>
        <v>3.1317368181664489</v>
      </c>
      <c r="FR90">
        <f t="shared" si="1101"/>
        <v>3.137943923200357</v>
      </c>
      <c r="FS90">
        <f t="shared" si="1101"/>
        <v>3.1440734394213408</v>
      </c>
      <c r="FT90">
        <f t="shared" si="1101"/>
        <v>3.1501263366895627</v>
      </c>
      <c r="FU90">
        <f t="shared" si="1101"/>
        <v>3.156103572741932</v>
      </c>
      <c r="FV90">
        <f t="shared" si="1101"/>
        <v>3.162006093343646</v>
      </c>
      <c r="FW90">
        <f t="shared" si="1101"/>
        <v>3.1678348324378391</v>
      </c>
      <c r="FX90">
        <f t="shared" si="1101"/>
        <v>3.1735907122933544</v>
      </c>
      <c r="FY90">
        <f t="shared" si="1101"/>
        <v>3.1792746436506762</v>
      </c>
      <c r="FZ90">
        <f t="shared" si="1101"/>
        <v>3.1848875258660314</v>
      </c>
      <c r="GA90">
        <f t="shared" si="1101"/>
        <v>3.1904302470536945</v>
      </c>
      <c r="GB90">
        <f t="shared" si="1101"/>
        <v>3.1959036842265118</v>
      </c>
      <c r="GC90">
        <f t="shared" si="1101"/>
        <v>3.2013087034346692</v>
      </c>
      <c r="GD90">
        <f t="shared" si="1101"/>
        <v>3.2066461599027245</v>
      </c>
      <c r="GE90">
        <f t="shared" si="1101"/>
        <v>3.2119168981649291</v>
      </c>
      <c r="GF90">
        <f t="shared" si="1101"/>
        <v>3.2171217521988562</v>
      </c>
      <c r="GG90">
        <f t="shared" si="1101"/>
        <v>3.2222615455573589</v>
      </c>
      <c r="GH90">
        <f t="shared" si="1101"/>
        <v>3.2273370914988808</v>
      </c>
      <c r="GI90">
        <f t="shared" si="1101"/>
        <v>3.2323491931161334</v>
      </c>
      <c r="GJ90">
        <f t="shared" si="1101"/>
        <v>3.2372986434631703</v>
      </c>
      <c r="GK90">
        <f t="shared" si="1101"/>
        <v>3.2421862256808693</v>
      </c>
      <c r="GL90">
        <f t="shared" si="1101"/>
        <v>3.2470127131208466</v>
      </c>
      <c r="GM90">
        <f t="shared" ref="GM90:IV90" si="1102">GM5/$B$107</f>
        <v>3.2517788694678251</v>
      </c>
      <c r="GN90">
        <f t="shared" si="1102"/>
        <v>3.2564854488604658</v>
      </c>
      <c r="GO90">
        <f t="shared" si="1102"/>
        <v>3.2611331960106984</v>
      </c>
      <c r="GP90">
        <f t="shared" si="1102"/>
        <v>3.2657228463215535</v>
      </c>
      <c r="GQ90">
        <f t="shared" si="1102"/>
        <v>3.2702551260035229</v>
      </c>
      <c r="GR90">
        <f t="shared" si="1102"/>
        <v>3.2747307521894671</v>
      </c>
      <c r="GS90">
        <f t="shared" si="1102"/>
        <v>3.2791504330480872</v>
      </c>
      <c r="GT90">
        <f t="shared" si="1102"/>
        <v>3.2835148678959749</v>
      </c>
      <c r="GU90">
        <f t="shared" si="1102"/>
        <v>3.2878247473082638</v>
      </c>
      <c r="GV90">
        <f t="shared" si="1102"/>
        <v>3.2920807532278991</v>
      </c>
      <c r="GW90">
        <f t="shared" si="1102"/>
        <v>3.2962835590735393</v>
      </c>
      <c r="GX90">
        <f t="shared" si="1102"/>
        <v>3.3004338298461087</v>
      </c>
      <c r="GY90">
        <f t="shared" si="1102"/>
        <v>3.3045322222340205</v>
      </c>
      <c r="GZ90">
        <f t="shared" si="1102"/>
        <v>3.3085793847170839</v>
      </c>
      <c r="HA90">
        <f t="shared" si="1102"/>
        <v>3.3125759576691092</v>
      </c>
      <c r="HB90">
        <f t="shared" si="1102"/>
        <v>3.3165225734592338</v>
      </c>
      <c r="HC90">
        <f t="shared" si="1102"/>
        <v>3.320419856551982</v>
      </c>
      <c r="HD90">
        <f t="shared" si="1102"/>
        <v>3.3242684236060711</v>
      </c>
      <c r="HE90">
        <f t="shared" si="1102"/>
        <v>3.3280688835719836</v>
      </c>
      <c r="HF90">
        <f t="shared" si="1102"/>
        <v>3.3318218377883229</v>
      </c>
      <c r="HG90">
        <f t="shared" si="1102"/>
        <v>3.335527880076957</v>
      </c>
      <c r="HH90">
        <f t="shared" si="1102"/>
        <v>3.3391875968369837</v>
      </c>
      <c r="HI90">
        <f t="shared" si="1102"/>
        <v>3.3428015671375104</v>
      </c>
      <c r="HJ90">
        <f t="shared" si="1102"/>
        <v>3.3463703628092802</v>
      </c>
      <c r="HK90">
        <f t="shared" si="1102"/>
        <v>3.3498945485351523</v>
      </c>
      <c r="HL90">
        <f t="shared" si="1102"/>
        <v>3.3533746819394517</v>
      </c>
      <c r="HM90">
        <f t="shared" si="1102"/>
        <v>3.356811313676197</v>
      </c>
      <c r="HN90">
        <f t="shared" si="1102"/>
        <v>3.3602049875162332</v>
      </c>
      <c r="HO90">
        <f t="shared" si="1102"/>
        <v>3.3635562404332688</v>
      </c>
      <c r="HP90">
        <f t="shared" si="1102"/>
        <v>3.3668656026888417</v>
      </c>
      <c r="HQ90">
        <f t="shared" si="1102"/>
        <v>3.3701335979162192</v>
      </c>
      <c r="HR90">
        <f t="shared" si="1102"/>
        <v>3.3733607432032553</v>
      </c>
      <c r="HS90">
        <f t="shared" si="1102"/>
        <v>3.376547549174203</v>
      </c>
      <c r="HT90">
        <f t="shared" si="1102"/>
        <v>3.379694520070514</v>
      </c>
      <c r="HU90">
        <f t="shared" si="1102"/>
        <v>3.382802153830621</v>
      </c>
      <c r="HV90">
        <f t="shared" si="1102"/>
        <v>3.3858709421687272</v>
      </c>
      <c r="HW90">
        <f t="shared" si="1102"/>
        <v>3.3889013706526065</v>
      </c>
      <c r="HX90">
        <f t="shared" si="1102"/>
        <v>3.3918939187804371</v>
      </c>
      <c r="HY90">
        <f t="shared" si="1102"/>
        <v>3.3948490600566701</v>
      </c>
      <c r="HZ90">
        <f t="shared" si="1102"/>
        <v>3.3977672620669503</v>
      </c>
      <c r="IA90">
        <f t="shared" si="1102"/>
        <v>3.4006489865521021</v>
      </c>
      <c r="IB90">
        <f t="shared" si="1102"/>
        <v>3.4034946894811893</v>
      </c>
      <c r="IC90">
        <f t="shared" si="1102"/>
        <v>3.4063048211236633</v>
      </c>
      <c r="ID90">
        <f t="shared" si="1102"/>
        <v>3.4090798261206059</v>
      </c>
      <c r="IE90">
        <f t="shared" si="1102"/>
        <v>3.411820143555087</v>
      </c>
      <c r="IF90">
        <f t="shared" si="1102"/>
        <v>3.4145262070216371</v>
      </c>
      <c r="IG90">
        <f t="shared" si="1102"/>
        <v>3.4171984446948551</v>
      </c>
      <c r="IH90">
        <f t="shared" si="1102"/>
        <v>3.4198372793971585</v>
      </c>
      <c r="II90">
        <f t="shared" si="1102"/>
        <v>3.4224431286656825</v>
      </c>
      <c r="IJ90">
        <f t="shared" si="1102"/>
        <v>3.4250164048183498</v>
      </c>
      <c r="IK90">
        <f t="shared" si="1102"/>
        <v>3.4275575150191093</v>
      </c>
      <c r="IL90">
        <f t="shared" si="1102"/>
        <v>3.4300668613423593</v>
      </c>
      <c r="IM90">
        <f t="shared" si="1102"/>
        <v>3.4325448408365684</v>
      </c>
      <c r="IN90">
        <f t="shared" si="1102"/>
        <v>3.4349918455871</v>
      </c>
      <c r="IO90">
        <f t="shared" si="1102"/>
        <v>3.4374082627782498</v>
      </c>
      <c r="IP90">
        <f t="shared" si="1102"/>
        <v>3.4397944747545104</v>
      </c>
      <c r="IQ90">
        <f t="shared" si="1102"/>
        <v>3.4421508590810674</v>
      </c>
      <c r="IR90">
        <f t="shared" si="1102"/>
        <v>3.4444777886035429</v>
      </c>
      <c r="IS90">
        <f t="shared" si="1102"/>
        <v>3.4467756315069873</v>
      </c>
      <c r="IT90">
        <f t="shared" si="1102"/>
        <v>3.4490447513741387</v>
      </c>
      <c r="IU90">
        <f t="shared" si="1102"/>
        <v>3.4512855072429502</v>
      </c>
      <c r="IV90">
        <f t="shared" si="1102"/>
        <v>3.453498253663402</v>
      </c>
    </row>
    <row r="91" spans="1:256" x14ac:dyDescent="0.2">
      <c r="A91" t="s">
        <v>562</v>
      </c>
      <c r="B91">
        <v>0.65300369262695313</v>
      </c>
      <c r="C91">
        <f t="shared" ref="C91:BN91" si="1103">C6/$B$108</f>
        <v>0.98817175631583964</v>
      </c>
      <c r="D91">
        <f t="shared" si="1103"/>
        <v>0.97874777231348475</v>
      </c>
      <c r="E91">
        <f t="shared" si="1103"/>
        <v>0.96960677483130864</v>
      </c>
      <c r="F91">
        <f t="shared" si="1103"/>
        <v>0.9607484595014627</v>
      </c>
      <c r="G91">
        <f t="shared" si="1103"/>
        <v>0.95217246465020777</v>
      </c>
      <c r="H91">
        <f t="shared" si="1103"/>
        <v>0.94387837356345472</v>
      </c>
      <c r="I91">
        <f t="shared" si="1103"/>
        <v>0.93586571675824026</v>
      </c>
      <c r="J91">
        <f t="shared" si="1103"/>
        <v>0.9281339742590401</v>
      </c>
      <c r="K91">
        <f t="shared" si="1103"/>
        <v>0.92068257787829055</v>
      </c>
      <c r="L91">
        <f t="shared" si="1103"/>
        <v>0.91325341232373203</v>
      </c>
      <c r="M91">
        <f t="shared" si="1103"/>
        <v>0.90584669893207515</v>
      </c>
      <c r="N91">
        <f t="shared" si="1103"/>
        <v>0.8984626823513594</v>
      </c>
      <c r="O91">
        <f t="shared" si="1103"/>
        <v>0.89110162927186787</v>
      </c>
      <c r="P91">
        <f t="shared" si="1103"/>
        <v>0.88376382712510815</v>
      </c>
      <c r="Q91">
        <f t="shared" si="1103"/>
        <v>0.87644958275984719</v>
      </c>
      <c r="R91">
        <f t="shared" si="1103"/>
        <v>0.8691592211034026</v>
      </c>
      <c r="S91">
        <f t="shared" si="1103"/>
        <v>0.86549143679171714</v>
      </c>
      <c r="T91">
        <f t="shared" si="1103"/>
        <v>0.86177565790467625</v>
      </c>
      <c r="U91">
        <f t="shared" si="1103"/>
        <v>0.85801191989265901</v>
      </c>
      <c r="V91">
        <f t="shared" si="1103"/>
        <v>0.85420033587755795</v>
      </c>
      <c r="W91">
        <f t="shared" si="1103"/>
        <v>0.85034109488245557</v>
      </c>
      <c r="X91">
        <f t="shared" si="1103"/>
        <v>0.84643445985133658</v>
      </c>
      <c r="Y91">
        <f t="shared" si="1103"/>
        <v>0.84248076548622519</v>
      </c>
      <c r="Z91">
        <f t="shared" si="1103"/>
        <v>0.83848041592707689</v>
      </c>
      <c r="AA91">
        <f t="shared" si="1103"/>
        <v>0.84086835386768033</v>
      </c>
      <c r="AB91">
        <f t="shared" si="1103"/>
        <v>0.84315222531627521</v>
      </c>
      <c r="AC91">
        <f t="shared" si="1103"/>
        <v>0.84533329422487347</v>
      </c>
      <c r="AD91">
        <f t="shared" si="1103"/>
        <v>0.84741272083850028</v>
      </c>
      <c r="AE91">
        <f t="shared" si="1103"/>
        <v>0.84939157087898198</v>
      </c>
      <c r="AF91">
        <f t="shared" si="1103"/>
        <v>0.85127082418194477</v>
      </c>
      <c r="AG91">
        <f t="shared" si="1103"/>
        <v>0.85305138281728898</v>
      </c>
      <c r="AH91">
        <f t="shared" si="1103"/>
        <v>0.85473407872134533</v>
      </c>
      <c r="AI91">
        <f t="shared" si="1103"/>
        <v>0.8640804288033701</v>
      </c>
      <c r="AJ91">
        <f t="shared" si="1103"/>
        <v>0.87346558047129963</v>
      </c>
      <c r="AK91">
        <f t="shared" si="1103"/>
        <v>0.88289669024751316</v>
      </c>
      <c r="AL91">
        <f t="shared" si="1103"/>
        <v>0.89238124520158024</v>
      </c>
      <c r="AM91">
        <f t="shared" si="1103"/>
        <v>0.90192708561715795</v>
      </c>
      <c r="AN91">
        <f t="shared" si="1103"/>
        <v>0.9115424301137246</v>
      </c>
      <c r="AO91">
        <f t="shared" si="1103"/>
        <v>0.9212359034411991</v>
      </c>
      <c r="AP91">
        <f t="shared" si="1103"/>
        <v>0.93101656720105819</v>
      </c>
      <c r="AQ91">
        <f t="shared" si="1103"/>
        <v>0.92489646084665711</v>
      </c>
      <c r="AR91">
        <f t="shared" si="1103"/>
        <v>0.91899661332402649</v>
      </c>
      <c r="AS91">
        <f t="shared" si="1103"/>
        <v>0.91331861741780107</v>
      </c>
      <c r="AT91">
        <f t="shared" si="1103"/>
        <v>0.90786438772575451</v>
      </c>
      <c r="AU91">
        <f t="shared" si="1103"/>
        <v>0.90263615232459871</v>
      </c>
      <c r="AV91">
        <f t="shared" si="1103"/>
        <v>0.89763644620523242</v>
      </c>
      <c r="AW91">
        <f t="shared" si="1103"/>
        <v>0.89286810639914305</v>
      </c>
      <c r="AX91">
        <f t="shared" si="1103"/>
        <v>0.88833426874025434</v>
      </c>
      <c r="AY91">
        <f t="shared" si="1103"/>
        <v>0.88778192522517929</v>
      </c>
      <c r="AZ91">
        <f t="shared" si="1103"/>
        <v>0.88751826866852956</v>
      </c>
      <c r="BA91">
        <f t="shared" si="1103"/>
        <v>0.88755512979526263</v>
      </c>
      <c r="BB91">
        <f t="shared" si="1103"/>
        <v>0.88790527744615744</v>
      </c>
      <c r="BC91">
        <f t="shared" si="1103"/>
        <v>0.88858250922064697</v>
      </c>
      <c r="BD91">
        <f t="shared" si="1103"/>
        <v>0.88960175051269819</v>
      </c>
      <c r="BE91">
        <f t="shared" si="1103"/>
        <v>0.89097916339248318</v>
      </c>
      <c r="BF91">
        <f t="shared" si="1103"/>
        <v>0.89273226692104979</v>
      </c>
      <c r="BG91">
        <f t="shared" si="1103"/>
        <v>0.89488007066144426</v>
      </c>
      <c r="BH91">
        <f t="shared" si="1103"/>
        <v>0.89744322337070004</v>
      </c>
      <c r="BI91">
        <f t="shared" si="1103"/>
        <v>0.90044218005270704</v>
      </c>
      <c r="BJ91">
        <f t="shared" si="1103"/>
        <v>0.90389660285679418</v>
      </c>
      <c r="BK91">
        <f t="shared" si="1103"/>
        <v>0.90782778087565985</v>
      </c>
      <c r="BL91">
        <f t="shared" si="1103"/>
        <v>0.91223907316246433</v>
      </c>
      <c r="BM91">
        <f t="shared" si="1103"/>
        <v>0.91713320571745793</v>
      </c>
      <c r="BN91">
        <f t="shared" si="1103"/>
        <v>0.92251295007645473</v>
      </c>
      <c r="BO91">
        <f t="shared" ref="BO91:DZ91" si="1104">BO6/$B$108</f>
        <v>0.92838112965388109</v>
      </c>
      <c r="BP91">
        <f t="shared" si="1104"/>
        <v>0.93474062568376215</v>
      </c>
      <c r="BQ91">
        <f t="shared" si="1104"/>
        <v>0.94159438277007168</v>
      </c>
      <c r="BR91">
        <f t="shared" si="1104"/>
        <v>0.94894541405768651</v>
      </c>
      <c r="BS91">
        <f t="shared" si="1104"/>
        <v>0.95679680603525974</v>
      </c>
      <c r="BT91">
        <f t="shared" si="1104"/>
        <v>0.9651517229815687</v>
      </c>
      <c r="BU91">
        <f t="shared" si="1104"/>
        <v>0.97401341106726014</v>
      </c>
      <c r="BV91">
        <f t="shared" si="1104"/>
        <v>0.98338520212434444</v>
      </c>
      <c r="BW91">
        <f t="shared" si="1104"/>
        <v>0.99327051709624281</v>
      </c>
      <c r="BX91">
        <f t="shared" si="1104"/>
        <v>1.0036728691816463</v>
      </c>
      <c r="BY91">
        <f t="shared" si="1104"/>
        <v>1.0145958516480829</v>
      </c>
      <c r="BZ91">
        <f t="shared" si="1104"/>
        <v>1.0260431212616021</v>
      </c>
      <c r="CA91">
        <f t="shared" si="1104"/>
        <v>1.0380184006769151</v>
      </c>
      <c r="CB91">
        <f t="shared" si="1104"/>
        <v>1.0505254806244846</v>
      </c>
      <c r="CC91">
        <f t="shared" si="1104"/>
        <v>1.0635682219070932</v>
      </c>
      <c r="CD91">
        <f t="shared" si="1104"/>
        <v>1.0771505572182327</v>
      </c>
      <c r="CE91">
        <f t="shared" si="1104"/>
        <v>1.0912764927944634</v>
      </c>
      <c r="CF91">
        <f t="shared" si="1104"/>
        <v>1.1059501099136746</v>
      </c>
      <c r="CG91">
        <f t="shared" si="1104"/>
        <v>1.1211755662509226</v>
      </c>
      <c r="CH91">
        <f t="shared" si="1104"/>
        <v>1.1369570971032525</v>
      </c>
      <c r="CI91">
        <f t="shared" si="1104"/>
        <v>1.1525418170353037</v>
      </c>
      <c r="CJ91">
        <f t="shared" si="1104"/>
        <v>1.167931727968204</v>
      </c>
      <c r="CK91">
        <f t="shared" si="1104"/>
        <v>1.1831292650144434</v>
      </c>
      <c r="CL91">
        <f t="shared" si="1104"/>
        <v>1.1981368328476043</v>
      </c>
      <c r="CM91">
        <f t="shared" si="1104"/>
        <v>1.2129568060828513</v>
      </c>
      <c r="CN91">
        <f t="shared" si="1104"/>
        <v>1.2275915296526574</v>
      </c>
      <c r="CO91">
        <f t="shared" si="1104"/>
        <v>1.2420433191778408</v>
      </c>
      <c r="CP91">
        <f t="shared" si="1104"/>
        <v>1.2563144613339596</v>
      </c>
      <c r="CQ91">
        <f t="shared" si="1104"/>
        <v>1.2704072142131266</v>
      </c>
      <c r="CR91">
        <f t="shared" si="1104"/>
        <v>1.2843238076813044</v>
      </c>
      <c r="CS91">
        <f t="shared" si="1104"/>
        <v>1.2980664437311298</v>
      </c>
      <c r="CT91">
        <f t="shared" si="1104"/>
        <v>1.3116372968303323</v>
      </c>
      <c r="CU91">
        <f t="shared" si="1104"/>
        <v>1.3250385142657948</v>
      </c>
      <c r="CV91">
        <f t="shared" si="1104"/>
        <v>1.3382722164833141</v>
      </c>
      <c r="CW91">
        <f t="shared" si="1104"/>
        <v>1.3513404974231145</v>
      </c>
      <c r="CX91">
        <f t="shared" si="1104"/>
        <v>1.3642454248511673</v>
      </c>
      <c r="CY91">
        <f t="shared" si="1104"/>
        <v>1.3769890406863694</v>
      </c>
      <c r="CZ91">
        <f t="shared" si="1104"/>
        <v>1.3895733613236316</v>
      </c>
      <c r="DA91">
        <f t="shared" si="1104"/>
        <v>1.402000377952928</v>
      </c>
      <c r="DB91">
        <f t="shared" si="1104"/>
        <v>1.4142720568743583</v>
      </c>
      <c r="DC91">
        <f t="shared" si="1104"/>
        <v>1.4263903398092705</v>
      </c>
      <c r="DD91">
        <f t="shared" si="1104"/>
        <v>1.4383571442074965</v>
      </c>
      <c r="DE91">
        <f t="shared" si="1104"/>
        <v>1.4501743635507445</v>
      </c>
      <c r="DF91">
        <f t="shared" si="1104"/>
        <v>1.4618438676522021</v>
      </c>
      <c r="DG91">
        <f t="shared" si="1104"/>
        <v>1.4733675029523914</v>
      </c>
      <c r="DH91">
        <f t="shared" si="1104"/>
        <v>1.4847470928113282</v>
      </c>
      <c r="DI91">
        <f t="shared" si="1104"/>
        <v>1.4959844377970284</v>
      </c>
      <c r="DJ91">
        <f t="shared" si="1104"/>
        <v>1.5070813159704073</v>
      </c>
      <c r="DK91">
        <f t="shared" si="1104"/>
        <v>1.5180394831666189</v>
      </c>
      <c r="DL91">
        <f t="shared" si="1104"/>
        <v>1.528860673272878</v>
      </c>
      <c r="DM91">
        <f t="shared" si="1104"/>
        <v>1.5395465985028087</v>
      </c>
      <c r="DN91">
        <f t="shared" si="1104"/>
        <v>1.5500989496673654</v>
      </c>
      <c r="DO91">
        <f t="shared" si="1104"/>
        <v>1.5605193964423649</v>
      </c>
      <c r="DP91">
        <f t="shared" si="1104"/>
        <v>1.5708095876326771</v>
      </c>
      <c r="DQ91">
        <f t="shared" si="1104"/>
        <v>1.5809711514331104</v>
      </c>
      <c r="DR91">
        <f t="shared" si="1104"/>
        <v>1.5910056956860381</v>
      </c>
      <c r="DS91">
        <f t="shared" si="1104"/>
        <v>1.6009148081358044</v>
      </c>
      <c r="DT91">
        <f t="shared" si="1104"/>
        <v>1.6107000566799488</v>
      </c>
      <c r="DU91">
        <f t="shared" si="1104"/>
        <v>1.6203629896172911</v>
      </c>
      <c r="DV91">
        <f t="shared" si="1104"/>
        <v>1.6299051358929169</v>
      </c>
      <c r="DW91">
        <f t="shared" si="1104"/>
        <v>1.6393280053400971</v>
      </c>
      <c r="DX91">
        <f t="shared" si="1104"/>
        <v>1.6486330889191876</v>
      </c>
      <c r="DY91">
        <f t="shared" si="1104"/>
        <v>1.6578218589535396</v>
      </c>
      <c r="DZ91">
        <f t="shared" si="1104"/>
        <v>1.666895769362462</v>
      </c>
      <c r="EA91">
        <f t="shared" ref="EA91:GL91" si="1105">EA6/$B$108</f>
        <v>1.6758562558912731</v>
      </c>
      <c r="EB91">
        <f t="shared" si="1105"/>
        <v>1.684704736338474</v>
      </c>
      <c r="EC91">
        <f t="shared" si="1105"/>
        <v>1.6934426107800848</v>
      </c>
      <c r="ED91">
        <f t="shared" si="1105"/>
        <v>1.7020712617911755</v>
      </c>
      <c r="EE91">
        <f t="shared" si="1105"/>
        <v>1.7105920546646274</v>
      </c>
      <c r="EF91">
        <f t="shared" si="1105"/>
        <v>1.7190063376271612</v>
      </c>
      <c r="EG91">
        <f t="shared" si="1105"/>
        <v>1.7273154420526635</v>
      </c>
      <c r="EH91">
        <f t="shared" si="1105"/>
        <v>1.7355206826728469</v>
      </c>
      <c r="EI91">
        <f t="shared" si="1105"/>
        <v>1.743623357785278</v>
      </c>
      <c r="EJ91">
        <f t="shared" si="1105"/>
        <v>1.7516247494588038</v>
      </c>
      <c r="EK91">
        <f t="shared" si="1105"/>
        <v>1.7595261237364106</v>
      </c>
      <c r="EL91">
        <f t="shared" si="1105"/>
        <v>1.7673287308355472</v>
      </c>
      <c r="EM91">
        <f t="shared" si="1105"/>
        <v>1.7750338053459447</v>
      </c>
      <c r="EN91">
        <f t="shared" si="1105"/>
        <v>1.7826425664249621</v>
      </c>
      <c r="EO91">
        <f t="shared" si="1105"/>
        <v>1.7901562179904917</v>
      </c>
      <c r="EP91">
        <f t="shared" si="1105"/>
        <v>1.7975759489114522</v>
      </c>
      <c r="EQ91">
        <f t="shared" si="1105"/>
        <v>1.8049029331959008</v>
      </c>
      <c r="ER91">
        <f t="shared" si="1105"/>
        <v>1.8121383301767939</v>
      </c>
      <c r="ES91">
        <f t="shared" si="1105"/>
        <v>1.8192832846954259</v>
      </c>
      <c r="ET91">
        <f t="shared" si="1105"/>
        <v>1.8263389272825745</v>
      </c>
      <c r="EU91">
        <f t="shared" si="1105"/>
        <v>1.8333063743373843</v>
      </c>
      <c r="EV91">
        <f t="shared" si="1105"/>
        <v>1.8401867283040085</v>
      </c>
      <c r="EW91">
        <f t="shared" si="1105"/>
        <v>1.8469810778460503</v>
      </c>
      <c r="EX91">
        <f t="shared" si="1105"/>
        <v>1.8536904980188162</v>
      </c>
      <c r="EY91">
        <f t="shared" si="1105"/>
        <v>1.8603160504394229</v>
      </c>
      <c r="EZ91">
        <f t="shared" si="1105"/>
        <v>1.8668587834547719</v>
      </c>
      <c r="FA91">
        <f t="shared" si="1105"/>
        <v>1.8733197323074289</v>
      </c>
      <c r="FB91">
        <f t="shared" si="1105"/>
        <v>1.8796999192994277</v>
      </c>
      <c r="FC91">
        <f t="shared" si="1105"/>
        <v>1.8860003539540267</v>
      </c>
      <c r="FD91">
        <f t="shared" si="1105"/>
        <v>1.8922220331754431</v>
      </c>
      <c r="FE91">
        <f t="shared" si="1105"/>
        <v>1.8983659414065919</v>
      </c>
      <c r="FF91">
        <f t="shared" si="1105"/>
        <v>1.9044330507848513</v>
      </c>
      <c r="FG91">
        <f t="shared" si="1105"/>
        <v>1.9104243212958825</v>
      </c>
      <c r="FH91">
        <f t="shared" si="1105"/>
        <v>1.9163407009255256</v>
      </c>
      <c r="FI91">
        <f t="shared" si="1105"/>
        <v>1.9221831258097983</v>
      </c>
      <c r="FJ91">
        <f t="shared" si="1105"/>
        <v>1.9279525203830175</v>
      </c>
      <c r="FK91">
        <f t="shared" si="1105"/>
        <v>1.9336497975240714</v>
      </c>
      <c r="FL91">
        <f t="shared" si="1105"/>
        <v>1.9392758587008623</v>
      </c>
      <c r="FM91">
        <f t="shared" si="1105"/>
        <v>1.9448315941129435</v>
      </c>
      <c r="FN91">
        <f t="shared" si="1105"/>
        <v>1.9503178828323733</v>
      </c>
      <c r="FO91">
        <f t="shared" si="1105"/>
        <v>1.9557355929428104</v>
      </c>
      <c r="FP91">
        <f t="shared" si="1105"/>
        <v>1.9610855816768671</v>
      </c>
      <c r="FQ91">
        <f t="shared" si="1105"/>
        <v>1.9663686955517479</v>
      </c>
      <c r="FR91">
        <f t="shared" si="1105"/>
        <v>1.9715857705031929</v>
      </c>
      <c r="FS91">
        <f t="shared" si="1105"/>
        <v>1.9767376320177448</v>
      </c>
      <c r="FT91">
        <f t="shared" si="1105"/>
        <v>1.9818250952633647</v>
      </c>
      <c r="FU91">
        <f t="shared" si="1105"/>
        <v>1.9868489652184143</v>
      </c>
      <c r="FV91">
        <f t="shared" si="1105"/>
        <v>1.9918100367990259</v>
      </c>
      <c r="FW91">
        <f t="shared" si="1105"/>
        <v>1.9967090949848798</v>
      </c>
      <c r="FX91">
        <f t="shared" si="1105"/>
        <v>2.0015469149434102</v>
      </c>
      <c r="FY91">
        <f t="shared" si="1105"/>
        <v>2.0063242621524595</v>
      </c>
      <c r="FZ91">
        <f t="shared" si="1105"/>
        <v>2.0110418925213955</v>
      </c>
      <c r="GA91">
        <f t="shared" si="1105"/>
        <v>2.0157005525107197</v>
      </c>
      <c r="GB91">
        <f t="shared" si="1105"/>
        <v>2.0203009792501776</v>
      </c>
      <c r="GC91">
        <f t="shared" si="1105"/>
        <v>2.0248439006553918</v>
      </c>
      <c r="GD91">
        <f t="shared" si="1105"/>
        <v>2.0293300355430413</v>
      </c>
      <c r="GE91">
        <f t="shared" si="1105"/>
        <v>2.0337600937445952</v>
      </c>
      <c r="GF91">
        <f t="shared" si="1105"/>
        <v>2.0381347762186293</v>
      </c>
      <c r="GG91">
        <f t="shared" si="1105"/>
        <v>2.0424547751617381</v>
      </c>
      <c r="GH91">
        <f t="shared" si="1105"/>
        <v>2.0467207741180582</v>
      </c>
      <c r="GI91">
        <f t="shared" si="1105"/>
        <v>2.0509334480874242</v>
      </c>
      <c r="GJ91">
        <f t="shared" si="1105"/>
        <v>2.0550934636321729</v>
      </c>
      <c r="GK91">
        <f t="shared" si="1105"/>
        <v>2.0592014789826125</v>
      </c>
      <c r="GL91">
        <f t="shared" si="1105"/>
        <v>2.0632581441411717</v>
      </c>
      <c r="GM91">
        <f t="shared" ref="GM91:IV91" si="1106">GM6/$B$108</f>
        <v>2.0672641009852488</v>
      </c>
      <c r="GN91">
        <f t="shared" si="1106"/>
        <v>2.071219983368775</v>
      </c>
      <c r="GO91">
        <f t="shared" si="1106"/>
        <v>2.0751264172225068</v>
      </c>
      <c r="GP91">
        <f t="shared" si="1106"/>
        <v>2.0789840206530674</v>
      </c>
      <c r="GQ91">
        <f t="shared" si="1106"/>
        <v>2.0827934040407459</v>
      </c>
      <c r="GR91">
        <f t="shared" si="1106"/>
        <v>2.0865551701360783</v>
      </c>
      <c r="GS91">
        <f t="shared" si="1106"/>
        <v>2.0902699141552188</v>
      </c>
      <c r="GT91">
        <f t="shared" si="1106"/>
        <v>2.0939382238741202</v>
      </c>
      <c r="GU91">
        <f t="shared" si="1106"/>
        <v>2.0975606797215356</v>
      </c>
      <c r="GV91">
        <f t="shared" si="1106"/>
        <v>2.1011378548708581</v>
      </c>
      <c r="GW91">
        <f t="shared" si="1106"/>
        <v>2.1046703153308139</v>
      </c>
      <c r="GX91">
        <f t="shared" si="1106"/>
        <v>2.1081586200350206</v>
      </c>
      <c r="GY91">
        <f t="shared" si="1106"/>
        <v>2.1116033209304246</v>
      </c>
      <c r="GZ91">
        <f t="shared" si="1106"/>
        <v>2.1150049630646359</v>
      </c>
      <c r="HA91">
        <f t="shared" si="1106"/>
        <v>2.1183640846721699</v>
      </c>
      <c r="HB91">
        <f t="shared" si="1106"/>
        <v>2.1216812172596096</v>
      </c>
      <c r="HC91">
        <f t="shared" si="1106"/>
        <v>2.1249568856897065</v>
      </c>
      <c r="HD91">
        <f t="shared" si="1106"/>
        <v>2.128191608264427</v>
      </c>
      <c r="HE91">
        <f t="shared" si="1106"/>
        <v>2.1313858968069632</v>
      </c>
      <c r="HF91">
        <f t="shared" si="1106"/>
        <v>2.1345402567427176</v>
      </c>
      <c r="HG91">
        <f t="shared" si="1106"/>
        <v>2.1376551871792757</v>
      </c>
      <c r="HH91">
        <f t="shared" si="1106"/>
        <v>2.1407311809853766</v>
      </c>
      <c r="HI91">
        <f t="shared" si="1106"/>
        <v>2.143768724868901</v>
      </c>
      <c r="HJ91">
        <f t="shared" si="1106"/>
        <v>2.1467682994538815</v>
      </c>
      <c r="HK91">
        <f t="shared" si="1106"/>
        <v>2.1497303793565501</v>
      </c>
      <c r="HL91">
        <f t="shared" si="1106"/>
        <v>2.1526554332604348</v>
      </c>
      <c r="HM91">
        <f t="shared" si="1106"/>
        <v>2.1555439239905212</v>
      </c>
      <c r="HN91">
        <f t="shared" si="1106"/>
        <v>2.1583963085864819</v>
      </c>
      <c r="HO91">
        <f t="shared" si="1106"/>
        <v>2.1612130383749921</v>
      </c>
      <c r="HP91">
        <f t="shared" si="1106"/>
        <v>2.1639945590411469</v>
      </c>
      <c r="HQ91">
        <f t="shared" si="1106"/>
        <v>2.1667413106989741</v>
      </c>
      <c r="HR91">
        <f t="shared" si="1106"/>
        <v>2.1694537279610788</v>
      </c>
      <c r="HS91">
        <f t="shared" si="1106"/>
        <v>2.1721322400074072</v>
      </c>
      <c r="HT91">
        <f t="shared" si="1106"/>
        <v>2.1747772706531561</v>
      </c>
      <c r="HU91">
        <f t="shared" si="1106"/>
        <v>2.1773892384158335</v>
      </c>
      <c r="HV91">
        <f t="shared" si="1106"/>
        <v>2.179968556581477</v>
      </c>
      <c r="HW91">
        <f t="shared" si="1106"/>
        <v>2.1825156332700506</v>
      </c>
      <c r="HX91">
        <f t="shared" si="1106"/>
        <v>2.1850308715000164</v>
      </c>
      <c r="HY91">
        <f t="shared" si="1106"/>
        <v>2.1875146692521081</v>
      </c>
      <c r="HZ91">
        <f t="shared" si="1106"/>
        <v>2.1899674195322985</v>
      </c>
      <c r="IA91">
        <f t="shared" si="1106"/>
        <v>2.1923895104339866</v>
      </c>
      <c r="IB91">
        <f t="shared" si="1106"/>
        <v>2.1947813251994033</v>
      </c>
      <c r="IC91">
        <f t="shared" si="1106"/>
        <v>2.1971432422802528</v>
      </c>
      <c r="ID91">
        <f t="shared" si="1106"/>
        <v>2.1994756353975915</v>
      </c>
      <c r="IE91">
        <f t="shared" si="1106"/>
        <v>2.2017788736009631</v>
      </c>
      <c r="IF91">
        <f t="shared" si="1106"/>
        <v>2.2040533213267928</v>
      </c>
      <c r="IG91">
        <f t="shared" si="1106"/>
        <v>2.2062993384560499</v>
      </c>
      <c r="IH91">
        <f t="shared" si="1106"/>
        <v>2.2085172803711908</v>
      </c>
      <c r="II91">
        <f t="shared" si="1106"/>
        <v>2.2107074980123929</v>
      </c>
      <c r="IJ91">
        <f t="shared" si="1106"/>
        <v>2.2128703379330794</v>
      </c>
      <c r="IK91">
        <f t="shared" si="1106"/>
        <v>2.215006142354758</v>
      </c>
      <c r="IL91">
        <f t="shared" si="1106"/>
        <v>2.2171152492211652</v>
      </c>
      <c r="IM91">
        <f t="shared" si="1106"/>
        <v>2.2191979922517424</v>
      </c>
      <c r="IN91">
        <f t="shared" si="1106"/>
        <v>2.2212547009944372</v>
      </c>
      <c r="IO91">
        <f t="shared" si="1106"/>
        <v>2.2232857008778484</v>
      </c>
      <c r="IP91">
        <f t="shared" si="1106"/>
        <v>2.2252913132627175</v>
      </c>
      <c r="IQ91">
        <f t="shared" si="1106"/>
        <v>2.2272718554927748</v>
      </c>
      <c r="IR91">
        <f t="shared" si="1106"/>
        <v>2.229227640944957</v>
      </c>
      <c r="IS91">
        <f t="shared" si="1106"/>
        <v>2.231158979078987</v>
      </c>
      <c r="IT91">
        <f t="shared" si="1106"/>
        <v>2.233066175486341</v>
      </c>
      <c r="IU91">
        <f t="shared" si="1106"/>
        <v>2.2349495319386037</v>
      </c>
      <c r="IV91">
        <f t="shared" si="1106"/>
        <v>2.236809346435213</v>
      </c>
    </row>
    <row r="92" spans="1:256" x14ac:dyDescent="0.2">
      <c r="A92" t="s">
        <v>563</v>
      </c>
      <c r="B92">
        <v>0.33300739288330078</v>
      </c>
      <c r="C92">
        <f t="shared" ref="C92:BN92" si="1107">C7/$B$109</f>
        <v>0.99393360155413413</v>
      </c>
      <c r="D92">
        <f t="shared" si="1107"/>
        <v>1.0166783427666926</v>
      </c>
      <c r="E92">
        <f t="shared" si="1107"/>
        <v>1.0391387747140943</v>
      </c>
      <c r="F92">
        <f t="shared" si="1107"/>
        <v>1.0613184512621532</v>
      </c>
      <c r="G92">
        <f t="shared" si="1107"/>
        <v>1.0832208818533615</v>
      </c>
      <c r="H92">
        <f t="shared" si="1107"/>
        <v>1.1048495320621796</v>
      </c>
      <c r="I92">
        <f t="shared" si="1107"/>
        <v>1.1262078241433875</v>
      </c>
      <c r="J92">
        <f t="shared" si="1107"/>
        <v>1.1472991375735804</v>
      </c>
      <c r="K92">
        <f t="shared" si="1107"/>
        <v>1.140825114890224</v>
      </c>
      <c r="L92">
        <f t="shared" si="1107"/>
        <v>1.1341676910786247</v>
      </c>
      <c r="M92">
        <f t="shared" si="1107"/>
        <v>1.1273353059390339</v>
      </c>
      <c r="N92">
        <f t="shared" si="1107"/>
        <v>1.1203363324806952</v>
      </c>
      <c r="O92">
        <f t="shared" si="1107"/>
        <v>1.1131790621206883</v>
      </c>
      <c r="P92">
        <f t="shared" si="1107"/>
        <v>1.1058716911500699</v>
      </c>
      <c r="Q92">
        <f t="shared" si="1107"/>
        <v>1.0984223084090925</v>
      </c>
      <c r="R92">
        <f t="shared" si="1107"/>
        <v>1.0908388841144818</v>
      </c>
      <c r="S92">
        <f t="shared" si="1107"/>
        <v>1.0890551215029451</v>
      </c>
      <c r="T92">
        <f t="shared" si="1107"/>
        <v>1.0869812035842827</v>
      </c>
      <c r="U92">
        <f t="shared" si="1107"/>
        <v>1.0846240970754677</v>
      </c>
      <c r="V92">
        <f t="shared" si="1107"/>
        <v>1.0819909716637017</v>
      </c>
      <c r="W92">
        <f t="shared" si="1107"/>
        <v>1.0790891713374642</v>
      </c>
      <c r="X92">
        <f t="shared" si="1107"/>
        <v>1.0759261873733126</v>
      </c>
      <c r="Y92">
        <f t="shared" si="1107"/>
        <v>1.0725096329067325</v>
      </c>
      <c r="Z92">
        <f t="shared" si="1107"/>
        <v>1.0688472190197218</v>
      </c>
      <c r="AA92">
        <f t="shared" si="1107"/>
        <v>1.0704285382283643</v>
      </c>
      <c r="AB92">
        <f t="shared" si="1107"/>
        <v>1.0719273212223568</v>
      </c>
      <c r="AC92">
        <f t="shared" si="1107"/>
        <v>1.0733383402641348</v>
      </c>
      <c r="AD92">
        <f t="shared" si="1107"/>
        <v>1.0746567058167542</v>
      </c>
      <c r="AE92">
        <f t="shared" si="1107"/>
        <v>1.0758778556046116</v>
      </c>
      <c r="AF92">
        <f t="shared" si="1107"/>
        <v>1.0769975439786519</v>
      </c>
      <c r="AG92">
        <f t="shared" si="1107"/>
        <v>1.0780118315741964</v>
      </c>
      <c r="AH92">
        <f t="shared" si="1107"/>
        <v>1.0789170752497441</v>
      </c>
      <c r="AI92">
        <f t="shared" si="1107"/>
        <v>1.0729570723107638</v>
      </c>
      <c r="AJ92">
        <f t="shared" si="1107"/>
        <v>1.0672943083268036</v>
      </c>
      <c r="AK92">
        <f t="shared" si="1107"/>
        <v>1.0619332901960994</v>
      </c>
      <c r="AL92">
        <f t="shared" si="1107"/>
        <v>1.0568791324754325</v>
      </c>
      <c r="AM92">
        <f t="shared" si="1107"/>
        <v>1.052137602155738</v>
      </c>
      <c r="AN92">
        <f t="shared" si="1107"/>
        <v>1.0477151683094579</v>
      </c>
      <c r="AO92">
        <f t="shared" si="1107"/>
        <v>1.0436190572113297</v>
      </c>
      <c r="AP92">
        <f t="shared" si="1107"/>
        <v>1.0398573136218394</v>
      </c>
      <c r="AQ92">
        <f t="shared" si="1107"/>
        <v>1.0449470976179513</v>
      </c>
      <c r="AR92">
        <f t="shared" si="1107"/>
        <v>1.0508121218989448</v>
      </c>
      <c r="AS92">
        <f t="shared" si="1107"/>
        <v>1.0574547081706109</v>
      </c>
      <c r="AT92">
        <f t="shared" si="1107"/>
        <v>1.0648773591188179</v>
      </c>
      <c r="AU92">
        <f t="shared" si="1107"/>
        <v>1.0730828178494145</v>
      </c>
      <c r="AV92">
        <f t="shared" si="1107"/>
        <v>1.0820741279864232</v>
      </c>
      <c r="AW92">
        <f t="shared" si="1107"/>
        <v>1.0918546945769974</v>
      </c>
      <c r="AX92">
        <f t="shared" si="1107"/>
        <v>1.1024283459614834</v>
      </c>
      <c r="AY92">
        <f t="shared" si="1107"/>
        <v>1.1103707646957006</v>
      </c>
      <c r="AZ92">
        <f t="shared" si="1107"/>
        <v>1.119147508832806</v>
      </c>
      <c r="BA92">
        <f t="shared" si="1107"/>
        <v>1.1287918007615088</v>
      </c>
      <c r="BB92">
        <f t="shared" si="1107"/>
        <v>1.1393401255265905</v>
      </c>
      <c r="BC92">
        <f t="shared" si="1107"/>
        <v>1.1508325444097864</v>
      </c>
      <c r="BD92">
        <f t="shared" si="1107"/>
        <v>1.1633130478716245</v>
      </c>
      <c r="BE92">
        <f t="shared" si="1107"/>
        <v>1.1768299530308621</v>
      </c>
      <c r="BF92">
        <f t="shared" si="1107"/>
        <v>1.191436351747192</v>
      </c>
      <c r="BG92">
        <f t="shared" si="1107"/>
        <v>1.2071906164100197</v>
      </c>
      <c r="BH92">
        <f t="shared" si="1107"/>
        <v>1.2241569717541485</v>
      </c>
      <c r="BI92">
        <f t="shared" si="1107"/>
        <v>1.2424005069039907</v>
      </c>
      <c r="BJ92">
        <f t="shared" si="1107"/>
        <v>1.2619840872260213</v>
      </c>
      <c r="BK92">
        <f t="shared" si="1107"/>
        <v>1.2813781973676812</v>
      </c>
      <c r="BL92">
        <f t="shared" si="1107"/>
        <v>1.3005298811325705</v>
      </c>
      <c r="BM92">
        <f t="shared" si="1107"/>
        <v>1.3194421688503986</v>
      </c>
      <c r="BN92">
        <f t="shared" si="1107"/>
        <v>1.3381180529717538</v>
      </c>
      <c r="BO92">
        <f t="shared" ref="BO92:DZ92" si="1108">BO7/$B$109</f>
        <v>1.3565604885415918</v>
      </c>
      <c r="BP92">
        <f t="shared" si="1108"/>
        <v>1.374772393666807</v>
      </c>
      <c r="BQ92">
        <f t="shared" si="1108"/>
        <v>1.3927566499779571</v>
      </c>
      <c r="BR92">
        <f t="shared" si="1108"/>
        <v>1.4105161030852178</v>
      </c>
      <c r="BS92">
        <f t="shared" si="1108"/>
        <v>1.428053563028638</v>
      </c>
      <c r="BT92">
        <f t="shared" si="1108"/>
        <v>1.4453718047227651</v>
      </c>
      <c r="BU92">
        <f t="shared" si="1108"/>
        <v>1.4624735683957155</v>
      </c>
      <c r="BV92">
        <f t="shared" si="1108"/>
        <v>1.4793615600227543</v>
      </c>
      <c r="BW92">
        <f t="shared" si="1108"/>
        <v>1.4960384517544549</v>
      </c>
      <c r="BX92">
        <f t="shared" si="1108"/>
        <v>1.5125068823395096</v>
      </c>
      <c r="BY92">
        <f t="shared" si="1108"/>
        <v>1.528769457542251</v>
      </c>
      <c r="BZ92">
        <f t="shared" si="1108"/>
        <v>1.5448287505549578</v>
      </c>
      <c r="CA92">
        <f t="shared" si="1108"/>
        <v>1.5606873024050059</v>
      </c>
      <c r="CB92">
        <f t="shared" si="1108"/>
        <v>1.5763476223569286</v>
      </c>
      <c r="CC92">
        <f t="shared" si="1108"/>
        <v>1.591812188309452</v>
      </c>
      <c r="CD92">
        <f t="shared" si="1108"/>
        <v>1.607083447187569</v>
      </c>
      <c r="CE92">
        <f t="shared" si="1108"/>
        <v>1.6221638153297098</v>
      </c>
      <c r="CF92">
        <f t="shared" si="1108"/>
        <v>1.6370556788700734</v>
      </c>
      <c r="CG92">
        <f t="shared" si="1108"/>
        <v>1.6517613941161828</v>
      </c>
      <c r="CH92">
        <f t="shared" si="1108"/>
        <v>1.6662832879217158</v>
      </c>
      <c r="CI92">
        <f t="shared" si="1108"/>
        <v>1.6806236580546796</v>
      </c>
      <c r="CJ92">
        <f t="shared" si="1108"/>
        <v>1.6947847735609813</v>
      </c>
      <c r="CK92">
        <f t="shared" si="1108"/>
        <v>1.7087688751234542</v>
      </c>
      <c r="CL92">
        <f t="shared" si="1108"/>
        <v>1.7225781754163962</v>
      </c>
      <c r="CM92">
        <f t="shared" si="1108"/>
        <v>1.7362148594556766</v>
      </c>
      <c r="CN92">
        <f t="shared" si="1108"/>
        <v>1.7496810849444659</v>
      </c>
      <c r="CO92">
        <f t="shared" si="1108"/>
        <v>1.7629789826146451</v>
      </c>
      <c r="CP92">
        <f t="shared" si="1108"/>
        <v>1.7761106565639471</v>
      </c>
      <c r="CQ92">
        <f t="shared" si="1108"/>
        <v>1.7890781845888828</v>
      </c>
      <c r="CR92">
        <f t="shared" si="1108"/>
        <v>1.8018836185135072</v>
      </c>
      <c r="CS92">
        <f t="shared" si="1108"/>
        <v>1.8145289845140735</v>
      </c>
      <c r="CT92">
        <f t="shared" si="1108"/>
        <v>1.8270162834396326</v>
      </c>
      <c r="CU92">
        <f t="shared" si="1108"/>
        <v>1.8393474911286223</v>
      </c>
      <c r="CV92">
        <f t="shared" si="1108"/>
        <v>1.8515245587214999</v>
      </c>
      <c r="CW92">
        <f t="shared" si="1108"/>
        <v>1.8635494129694663</v>
      </c>
      <c r="CX92">
        <f t="shared" si="1108"/>
        <v>1.8754239565393331</v>
      </c>
      <c r="CY92">
        <f t="shared" si="1108"/>
        <v>1.8871500683145768</v>
      </c>
      <c r="CZ92">
        <f t="shared" si="1108"/>
        <v>1.8987296036926296</v>
      </c>
      <c r="DA92">
        <f t="shared" si="1108"/>
        <v>1.910164394878457</v>
      </c>
      <c r="DB92">
        <f t="shared" si="1108"/>
        <v>1.9214562511744613</v>
      </c>
      <c r="DC92">
        <f t="shared" si="1108"/>
        <v>1.9326069592667658</v>
      </c>
      <c r="DD92">
        <f t="shared" si="1108"/>
        <v>1.9436182835079163</v>
      </c>
      <c r="DE92">
        <f t="shared" si="1108"/>
        <v>1.9544919661960527</v>
      </c>
      <c r="DF92">
        <f t="shared" si="1108"/>
        <v>1.965229727850587</v>
      </c>
      <c r="DG92">
        <f t="shared" si="1108"/>
        <v>1.9758332674844399</v>
      </c>
      <c r="DH92">
        <f t="shared" si="1108"/>
        <v>1.9863042628728695</v>
      </c>
      <c r="DI92">
        <f t="shared" si="1108"/>
        <v>1.9966443708189436</v>
      </c>
      <c r="DJ92">
        <f t="shared" si="1108"/>
        <v>2.0068552274156923</v>
      </c>
      <c r="DK92">
        <f t="shared" si="1108"/>
        <v>2.0169384483049813</v>
      </c>
      <c r="DL92">
        <f t="shared" si="1108"/>
        <v>2.0268956289331541</v>
      </c>
      <c r="DM92">
        <f t="shared" si="1108"/>
        <v>2.0367283448034748</v>
      </c>
      <c r="DN92">
        <f t="shared" si="1108"/>
        <v>2.0464381517254164</v>
      </c>
      <c r="DO92">
        <f t="shared" si="1108"/>
        <v>2.0560265860608338</v>
      </c>
      <c r="DP92">
        <f t="shared" si="1108"/>
        <v>2.065495164967059</v>
      </c>
      <c r="DQ92">
        <f t="shared" si="1108"/>
        <v>2.0748453866369556</v>
      </c>
      <c r="DR92">
        <f t="shared" si="1108"/>
        <v>2.0840787305359791</v>
      </c>
      <c r="DS92">
        <f t="shared" si="1108"/>
        <v>2.0931966576362644</v>
      </c>
      <c r="DT92">
        <f t="shared" si="1108"/>
        <v>2.1022006106477962</v>
      </c>
      <c r="DU92">
        <f t="shared" si="1108"/>
        <v>2.1110920142466836</v>
      </c>
      <c r="DV92">
        <f t="shared" si="1108"/>
        <v>2.1198722753005854</v>
      </c>
      <c r="DW92">
        <f t="shared" si="1108"/>
        <v>2.1285427830913131</v>
      </c>
      <c r="DX92">
        <f t="shared" si="1108"/>
        <v>2.1371049095346568</v>
      </c>
      <c r="DY92">
        <f t="shared" si="1108"/>
        <v>2.1455600093974585</v>
      </c>
      <c r="DZ92">
        <f t="shared" si="1108"/>
        <v>2.1539094205119755</v>
      </c>
      <c r="EA92">
        <f t="shared" ref="EA92:GL92" si="1109">EA7/$B$109</f>
        <v>2.1621544639875609</v>
      </c>
      <c r="EB92">
        <f t="shared" si="1109"/>
        <v>2.1702964444197015</v>
      </c>
      <c r="EC92">
        <f t="shared" si="1109"/>
        <v>2.1783366500964405</v>
      </c>
      <c r="ED92">
        <f t="shared" si="1109"/>
        <v>2.1862763532022202</v>
      </c>
      <c r="EE92">
        <f t="shared" si="1109"/>
        <v>2.1941168100191777</v>
      </c>
      <c r="EF92">
        <f t="shared" si="1109"/>
        <v>2.2018592611259229</v>
      </c>
      <c r="EG92">
        <f t="shared" si="1109"/>
        <v>2.209504931593834</v>
      </c>
      <c r="EH92">
        <f t="shared" si="1109"/>
        <v>2.2170550311808963</v>
      </c>
      <c r="EI92">
        <f t="shared" si="1109"/>
        <v>2.22451075452312</v>
      </c>
      <c r="EJ92">
        <f t="shared" si="1109"/>
        <v>2.2318732813235664</v>
      </c>
      <c r="EK92">
        <f t="shared" si="1109"/>
        <v>2.2391437765390068</v>
      </c>
      <c r="EL92">
        <f t="shared" si="1109"/>
        <v>2.2463233905642546</v>
      </c>
      <c r="EM92">
        <f t="shared" si="1109"/>
        <v>2.2534132594141867</v>
      </c>
      <c r="EN92">
        <f t="shared" si="1109"/>
        <v>2.2604145049034945</v>
      </c>
      <c r="EO92">
        <f t="shared" si="1109"/>
        <v>2.2673282348241859</v>
      </c>
      <c r="EP92">
        <f t="shared" si="1109"/>
        <v>2.2741555431208686</v>
      </c>
      <c r="EQ92">
        <f t="shared" si="1109"/>
        <v>2.2808975100638431</v>
      </c>
      <c r="ER92">
        <f t="shared" si="1109"/>
        <v>2.2875552024200303</v>
      </c>
      <c r="ES92">
        <f t="shared" si="1109"/>
        <v>2.2941296736217649</v>
      </c>
      <c r="ET92">
        <f t="shared" si="1109"/>
        <v>2.3006219639334784</v>
      </c>
      <c r="EU92">
        <f t="shared" si="1109"/>
        <v>2.307033100616295</v>
      </c>
      <c r="EV92">
        <f t="shared" si="1109"/>
        <v>2.3133640980905765</v>
      </c>
      <c r="EW92">
        <f t="shared" si="1109"/>
        <v>2.3196159580964295</v>
      </c>
      <c r="EX92">
        <f t="shared" si="1109"/>
        <v>2.3257896698522091</v>
      </c>
      <c r="EY92">
        <f t="shared" si="1109"/>
        <v>2.3318862102110418</v>
      </c>
      <c r="EZ92">
        <f t="shared" si="1109"/>
        <v>2.337906543815389</v>
      </c>
      <c r="FA92">
        <f t="shared" si="1109"/>
        <v>2.3438516232496815</v>
      </c>
      <c r="FB92">
        <f t="shared" si="1109"/>
        <v>2.3497223891910459</v>
      </c>
      <c r="FC92">
        <f t="shared" si="1109"/>
        <v>2.3555197705581428</v>
      </c>
      <c r="FD92">
        <f t="shared" si="1109"/>
        <v>2.3612446846581512</v>
      </c>
      <c r="FE92">
        <f t="shared" si="1109"/>
        <v>2.36689803733191</v>
      </c>
      <c r="FF92">
        <f t="shared" si="1109"/>
        <v>2.372480723097246</v>
      </c>
      <c r="FG92">
        <f t="shared" si="1109"/>
        <v>2.3779936252905158</v>
      </c>
      <c r="FH92">
        <f t="shared" si="1109"/>
        <v>2.3834376162063697</v>
      </c>
      <c r="FI92">
        <f t="shared" si="1109"/>
        <v>2.3888135572357752</v>
      </c>
      <c r="FJ92">
        <f t="shared" si="1109"/>
        <v>2.394122299002313</v>
      </c>
      <c r="FK92">
        <f t="shared" si="1109"/>
        <v>2.3993646814967695</v>
      </c>
      <c r="FL92">
        <f t="shared" si="1109"/>
        <v>2.4045415342100447</v>
      </c>
      <c r="FM92">
        <f t="shared" si="1109"/>
        <v>2.4096536762644045</v>
      </c>
      <c r="FN92">
        <f t="shared" si="1109"/>
        <v>2.4147019165430845</v>
      </c>
      <c r="FO92">
        <f t="shared" si="1109"/>
        <v>2.4196870538182811</v>
      </c>
      <c r="FP92">
        <f t="shared" si="1109"/>
        <v>2.4246098768775379</v>
      </c>
      <c r="FQ92">
        <f t="shared" si="1109"/>
        <v>2.4294711646485534</v>
      </c>
      <c r="FR92">
        <f t="shared" si="1109"/>
        <v>2.4342716863224321</v>
      </c>
      <c r="FS92">
        <f t="shared" si="1109"/>
        <v>2.4390122014753866</v>
      </c>
      <c r="FT92">
        <f t="shared" si="1109"/>
        <v>2.4436934601889293</v>
      </c>
      <c r="FU92">
        <f t="shared" si="1109"/>
        <v>2.4483162031685528</v>
      </c>
      <c r="FV92">
        <f t="shared" si="1109"/>
        <v>2.452881161860931</v>
      </c>
      <c r="FW92">
        <f t="shared" si="1109"/>
        <v>2.4573890585696545</v>
      </c>
      <c r="FX92">
        <f t="shared" si="1109"/>
        <v>2.4618406065695191</v>
      </c>
      <c r="FY92">
        <f t="shared" si="1109"/>
        <v>2.4662365102193853</v>
      </c>
      <c r="FZ92">
        <f t="shared" si="1109"/>
        <v>2.4705774650736281</v>
      </c>
      <c r="GA92">
        <f t="shared" si="1109"/>
        <v>2.4748641579921928</v>
      </c>
      <c r="GB92">
        <f t="shared" si="1109"/>
        <v>2.4790972672492755</v>
      </c>
      <c r="GC92">
        <f t="shared" si="1109"/>
        <v>2.4832774626406446</v>
      </c>
      <c r="GD92">
        <f t="shared" si="1109"/>
        <v>2.4874054055896218</v>
      </c>
      <c r="GE92">
        <f t="shared" si="1109"/>
        <v>2.4914817492517365</v>
      </c>
      <c r="GF92">
        <f t="shared" si="1109"/>
        <v>2.4955071386180752</v>
      </c>
      <c r="GG92">
        <f t="shared" si="1109"/>
        <v>2.4994822106173342</v>
      </c>
      <c r="GH92">
        <f t="shared" si="1109"/>
        <v>2.5034075942166027</v>
      </c>
      <c r="GI92">
        <f t="shared" si="1109"/>
        <v>2.5072839105208806</v>
      </c>
      <c r="GJ92">
        <f t="shared" si="1109"/>
        <v>2.5111117728713546</v>
      </c>
      <c r="GK92">
        <f t="shared" si="1109"/>
        <v>2.5148917869424476</v>
      </c>
      <c r="GL92">
        <f t="shared" si="1109"/>
        <v>2.5186245508376524</v>
      </c>
      <c r="GM92">
        <f t="shared" ref="GM92:IV92" si="1110">GM7/$B$109</f>
        <v>2.5223106551841665</v>
      </c>
      <c r="GN92">
        <f t="shared" si="1110"/>
        <v>2.5259506832263496</v>
      </c>
      <c r="GO92">
        <f t="shared" si="1110"/>
        <v>2.5295452109180054</v>
      </c>
      <c r="GP92">
        <f t="shared" si="1110"/>
        <v>2.5330948070135157</v>
      </c>
      <c r="GQ92">
        <f t="shared" si="1110"/>
        <v>2.536600033157832</v>
      </c>
      <c r="GR92">
        <f t="shared" si="1110"/>
        <v>2.5400614439753442</v>
      </c>
      <c r="GS92">
        <f t="shared" si="1110"/>
        <v>2.5434795871576372</v>
      </c>
      <c r="GT92">
        <f t="shared" si="1110"/>
        <v>2.546855003550152</v>
      </c>
      <c r="GU92">
        <f t="shared" si="1110"/>
        <v>2.5501882272377605</v>
      </c>
      <c r="GV92">
        <f t="shared" si="1110"/>
        <v>2.5534797856292735</v>
      </c>
      <c r="GW92">
        <f t="shared" si="1110"/>
        <v>2.5567301995408926</v>
      </c>
      <c r="GX92">
        <f t="shared" si="1110"/>
        <v>2.5599399832786167</v>
      </c>
      <c r="GY92">
        <f t="shared" si="1110"/>
        <v>2.5631096447196189</v>
      </c>
      <c r="GZ92">
        <f t="shared" si="1110"/>
        <v>2.5662396853926088</v>
      </c>
      <c r="HA92">
        <f t="shared" si="1110"/>
        <v>2.5693306005571865</v>
      </c>
      <c r="HB92">
        <f t="shared" si="1110"/>
        <v>2.5723828792822072</v>
      </c>
      <c r="HC92">
        <f t="shared" si="1110"/>
        <v>2.5753970045231647</v>
      </c>
      <c r="HD92">
        <f t="shared" si="1110"/>
        <v>2.5783734531986102</v>
      </c>
      <c r="HE92">
        <f t="shared" si="1110"/>
        <v>2.5813126962656128</v>
      </c>
      <c r="HF92">
        <f t="shared" si="1110"/>
        <v>2.5842151987942779</v>
      </c>
      <c r="HG92">
        <f t="shared" si="1110"/>
        <v>2.5870814200413341</v>
      </c>
      <c r="HH92">
        <f t="shared" si="1110"/>
        <v>2.5899118135228028</v>
      </c>
      <c r="HI92">
        <f t="shared" si="1110"/>
        <v>2.5927068270857525</v>
      </c>
      <c r="HJ92">
        <f t="shared" si="1110"/>
        <v>2.5954669029791662</v>
      </c>
      <c r="HK92">
        <f t="shared" si="1110"/>
        <v>2.5981924779239116</v>
      </c>
      <c r="HL92">
        <f t="shared" si="1110"/>
        <v>2.600883983181848</v>
      </c>
      <c r="HM92">
        <f t="shared" si="1110"/>
        <v>2.6035418446240599</v>
      </c>
      <c r="HN92">
        <f t="shared" si="1110"/>
        <v>2.6061664827982445</v>
      </c>
      <c r="HO92">
        <f t="shared" si="1110"/>
        <v>2.6087583129952514</v>
      </c>
      <c r="HP92">
        <f t="shared" si="1110"/>
        <v>2.6113177453147962</v>
      </c>
      <c r="HQ92">
        <f t="shared" si="1110"/>
        <v>2.6138451847303461</v>
      </c>
      <c r="HR92">
        <f t="shared" si="1110"/>
        <v>2.616341031153202</v>
      </c>
      <c r="HS92">
        <f t="shared" si="1110"/>
        <v>2.6188056794957721</v>
      </c>
      <c r="HT92">
        <f t="shared" si="1110"/>
        <v>2.6212395197340599</v>
      </c>
      <c r="HU92">
        <f t="shared" si="1110"/>
        <v>2.6236429369693695</v>
      </c>
      <c r="HV92">
        <f t="shared" si="1110"/>
        <v>2.6260163114892374</v>
      </c>
      <c r="HW92">
        <f t="shared" si="1110"/>
        <v>2.6283600188276068</v>
      </c>
      <c r="HX92">
        <f t="shared" si="1110"/>
        <v>2.6306744298242468</v>
      </c>
      <c r="HY92">
        <f t="shared" si="1110"/>
        <v>2.6329599106834292</v>
      </c>
      <c r="HZ92">
        <f t="shared" si="1110"/>
        <v>2.6352168230318713</v>
      </c>
      <c r="IA92">
        <f t="shared" si="1110"/>
        <v>2.6374455239759582</v>
      </c>
      <c r="IB92">
        <f t="shared" si="1110"/>
        <v>2.6396463661582441</v>
      </c>
      <c r="IC92">
        <f t="shared" si="1110"/>
        <v>2.6418196978132511</v>
      </c>
      <c r="ID92">
        <f t="shared" si="1110"/>
        <v>2.6439658628225708</v>
      </c>
      <c r="IE92">
        <f t="shared" si="1110"/>
        <v>2.6460852007692739</v>
      </c>
      <c r="IF92">
        <f t="shared" si="1110"/>
        <v>2.6481780469916432</v>
      </c>
      <c r="IG92">
        <f t="shared" si="1110"/>
        <v>2.6502447326362328</v>
      </c>
      <c r="IH92">
        <f t="shared" si="1110"/>
        <v>2.6522855847102651</v>
      </c>
      <c r="II92">
        <f t="shared" si="1110"/>
        <v>2.6543009261333719</v>
      </c>
      <c r="IJ92">
        <f t="shared" si="1110"/>
        <v>2.6562910757886899</v>
      </c>
      <c r="IK92">
        <f t="shared" si="1110"/>
        <v>2.6582563485733166</v>
      </c>
      <c r="IL92">
        <f t="shared" si="1110"/>
        <v>2.6601970554481351</v>
      </c>
      <c r="IM92">
        <f t="shared" si="1110"/>
        <v>2.6621135034870189</v>
      </c>
      <c r="IN92">
        <f t="shared" si="1110"/>
        <v>2.6640059959254159</v>
      </c>
      <c r="IO92">
        <f t="shared" si="1110"/>
        <v>2.6658748322083334</v>
      </c>
      <c r="IP92">
        <f t="shared" si="1110"/>
        <v>2.6677203080377145</v>
      </c>
      <c r="IQ92">
        <f t="shared" si="1110"/>
        <v>2.6695427154192282</v>
      </c>
      <c r="IR92">
        <f t="shared" si="1110"/>
        <v>2.6713423427084733</v>
      </c>
      <c r="IS92">
        <f t="shared" si="1110"/>
        <v>2.6731194746566023</v>
      </c>
      <c r="IT92">
        <f t="shared" si="1110"/>
        <v>2.6748743924553802</v>
      </c>
      <c r="IU92">
        <f t="shared" si="1110"/>
        <v>2.6766073737816733</v>
      </c>
      <c r="IV92">
        <f t="shared" si="1110"/>
        <v>2.6783186928413873</v>
      </c>
    </row>
    <row r="93" spans="1:256" x14ac:dyDescent="0.2">
      <c r="A93" t="s">
        <v>564</v>
      </c>
      <c r="B93">
        <v>0.7371634674072266</v>
      </c>
      <c r="C93">
        <f t="shared" ref="C93:BN93" si="1111">C8/$B$110</f>
        <v>1.0073495509681201</v>
      </c>
      <c r="D93">
        <f t="shared" si="1111"/>
        <v>1.0146072325491384</v>
      </c>
      <c r="E93">
        <f t="shared" si="1111"/>
        <v>1.0217741931103941</v>
      </c>
      <c r="F93">
        <f t="shared" si="1111"/>
        <v>1.0288515666646343</v>
      </c>
      <c r="G93">
        <f t="shared" si="1111"/>
        <v>1.0358404730494462</v>
      </c>
      <c r="H93">
        <f t="shared" si="1111"/>
        <v>1.042742018104448</v>
      </c>
      <c r="I93">
        <f t="shared" si="1111"/>
        <v>1.0495572938462623</v>
      </c>
      <c r="J93">
        <f t="shared" si="1111"/>
        <v>1.0562873786413041</v>
      </c>
      <c r="K93">
        <f t="shared" si="1111"/>
        <v>1.0452354572033615</v>
      </c>
      <c r="L93">
        <f t="shared" si="1111"/>
        <v>1.0343216847833931</v>
      </c>
      <c r="M93">
        <f t="shared" si="1111"/>
        <v>1.0235443345186743</v>
      </c>
      <c r="N93">
        <f t="shared" si="1111"/>
        <v>1.0129017011322645</v>
      </c>
      <c r="O93">
        <f t="shared" si="1111"/>
        <v>1.0023921006631851</v>
      </c>
      <c r="P93">
        <f t="shared" si="1111"/>
        <v>0.99201387019996901</v>
      </c>
      <c r="Q93">
        <f t="shared" si="1111"/>
        <v>0.98176536761754307</v>
      </c>
      <c r="R93">
        <f t="shared" si="1111"/>
        <v>0.97164497131739747</v>
      </c>
      <c r="S93">
        <f t="shared" si="1111"/>
        <v>0.96253379256798033</v>
      </c>
      <c r="T93">
        <f t="shared" si="1111"/>
        <v>0.95353650355293107</v>
      </c>
      <c r="U93">
        <f t="shared" si="1111"/>
        <v>0.9446516806505697</v>
      </c>
      <c r="V93">
        <f t="shared" si="1111"/>
        <v>0.93587791803448805</v>
      </c>
      <c r="W93">
        <f t="shared" si="1111"/>
        <v>0.92721382745110714</v>
      </c>
      <c r="X93">
        <f t="shared" si="1111"/>
        <v>0.91865803800001866</v>
      </c>
      <c r="Y93">
        <f t="shared" si="1111"/>
        <v>0.91020919591706884</v>
      </c>
      <c r="Z93">
        <f t="shared" si="1111"/>
        <v>0.90186596436015587</v>
      </c>
      <c r="AA93">
        <f t="shared" si="1111"/>
        <v>0.89666140658975457</v>
      </c>
      <c r="AB93">
        <f t="shared" si="1111"/>
        <v>0.89152190579148349</v>
      </c>
      <c r="AC93">
        <f t="shared" si="1111"/>
        <v>0.88644664875319068</v>
      </c>
      <c r="AD93">
        <f t="shared" si="1111"/>
        <v>0.88143483242787646</v>
      </c>
      <c r="AE93">
        <f t="shared" si="1111"/>
        <v>0.87648566380662873</v>
      </c>
      <c r="AF93">
        <f t="shared" si="1111"/>
        <v>0.87159835979314659</v>
      </c>
      <c r="AG93">
        <f t="shared" si="1111"/>
        <v>0.86677214707983308</v>
      </c>
      <c r="AH93">
        <f t="shared" si="1111"/>
        <v>0.86200626202543584</v>
      </c>
      <c r="AI93">
        <f t="shared" si="1111"/>
        <v>0.86586354756825368</v>
      </c>
      <c r="AJ93">
        <f t="shared" si="1111"/>
        <v>0.86967261704178622</v>
      </c>
      <c r="AK93">
        <f t="shared" si="1111"/>
        <v>0.87343407314689958</v>
      </c>
      <c r="AL93">
        <f t="shared" si="1111"/>
        <v>0.87714851105069902</v>
      </c>
      <c r="AM93">
        <f t="shared" si="1111"/>
        <v>0.88081651848070097</v>
      </c>
      <c r="AN93">
        <f t="shared" si="1111"/>
        <v>0.88443867581782798</v>
      </c>
      <c r="AO93">
        <f t="shared" si="1111"/>
        <v>0.88801555618824091</v>
      </c>
      <c r="AP93">
        <f t="shared" si="1111"/>
        <v>0.89154772555402373</v>
      </c>
      <c r="AQ93">
        <f t="shared" si="1111"/>
        <v>0.89769192602358416</v>
      </c>
      <c r="AR93">
        <f t="shared" si="1111"/>
        <v>0.90375932398727499</v>
      </c>
      <c r="AS93">
        <f t="shared" si="1111"/>
        <v>0.90975087947641964</v>
      </c>
      <c r="AT93">
        <f t="shared" si="1111"/>
        <v>0.9156675405219501</v>
      </c>
      <c r="AU93">
        <f t="shared" si="1111"/>
        <v>0.92151024330441134</v>
      </c>
      <c r="AV93">
        <f t="shared" si="1111"/>
        <v>0.92727991230209184</v>
      </c>
      <c r="AW93">
        <f t="shared" si="1111"/>
        <v>0.93297746043730123</v>
      </c>
      <c r="AX93">
        <f t="shared" si="1111"/>
        <v>0.93860378922082066</v>
      </c>
      <c r="AY93">
        <f t="shared" si="1111"/>
        <v>0.94672079151570998</v>
      </c>
      <c r="AZ93">
        <f t="shared" si="1111"/>
        <v>0.95473633128191315</v>
      </c>
      <c r="BA93">
        <f t="shared" si="1111"/>
        <v>0.96265167680103869</v>
      </c>
      <c r="BB93">
        <f t="shared" si="1111"/>
        <v>0.97046808050117528</v>
      </c>
      <c r="BC93">
        <f t="shared" si="1111"/>
        <v>0.97818677915506014</v>
      </c>
      <c r="BD93">
        <f t="shared" si="1111"/>
        <v>0.98580899407577127</v>
      </c>
      <c r="BE93">
        <f t="shared" si="1111"/>
        <v>0.99333593130997355</v>
      </c>
      <c r="BF93">
        <f t="shared" si="1111"/>
        <v>1.0007687818287483</v>
      </c>
      <c r="BG93">
        <f t="shared" si="1111"/>
        <v>1.0081087217160385</v>
      </c>
      <c r="BH93">
        <f t="shared" si="1111"/>
        <v>1.0153569123547375</v>
      </c>
      <c r="BI93">
        <f t="shared" si="1111"/>
        <v>1.0225145006104526</v>
      </c>
      <c r="BJ93">
        <f t="shared" si="1111"/>
        <v>1.0295826190129713</v>
      </c>
      <c r="BK93">
        <f t="shared" si="1111"/>
        <v>1.0365623859354587</v>
      </c>
      <c r="BL93">
        <f t="shared" si="1111"/>
        <v>1.0434549057714151</v>
      </c>
      <c r="BM93">
        <f t="shared" si="1111"/>
        <v>1.0502612691094217</v>
      </c>
      <c r="BN93">
        <f t="shared" si="1111"/>
        <v>1.0569825529057033</v>
      </c>
      <c r="BO93">
        <f t="shared" ref="BO93:DZ93" si="1112">BO8/$B$110</f>
        <v>1.0636198206545315</v>
      </c>
      <c r="BP93">
        <f t="shared" si="1112"/>
        <v>1.0701741225564994</v>
      </c>
      <c r="BQ93">
        <f t="shared" si="1112"/>
        <v>1.0766464956846926</v>
      </c>
      <c r="BR93">
        <f t="shared" si="1112"/>
        <v>1.0830379641487833</v>
      </c>
      <c r="BS93">
        <f t="shared" si="1112"/>
        <v>1.0893495392570731</v>
      </c>
      <c r="BT93">
        <f t="shared" si="1112"/>
        <v>1.0955822196765093</v>
      </c>
      <c r="BU93">
        <f t="shared" si="1112"/>
        <v>1.1017369915907023</v>
      </c>
      <c r="BV93">
        <f t="shared" si="1112"/>
        <v>1.1078148288559679</v>
      </c>
      <c r="BW93">
        <f t="shared" si="1112"/>
        <v>1.1138166931554179</v>
      </c>
      <c r="BX93">
        <f t="shared" si="1112"/>
        <v>1.1197435341511246</v>
      </c>
      <c r="BY93">
        <f t="shared" si="1112"/>
        <v>1.125596289634385</v>
      </c>
      <c r="BZ93">
        <f t="shared" si="1112"/>
        <v>1.1313758856741047</v>
      </c>
      <c r="CA93">
        <f t="shared" si="1112"/>
        <v>1.1370832367633279</v>
      </c>
      <c r="CB93">
        <f t="shared" si="1112"/>
        <v>1.1427192459639359</v>
      </c>
      <c r="CC93">
        <f t="shared" si="1112"/>
        <v>1.148284805049536</v>
      </c>
      <c r="CD93">
        <f t="shared" si="1112"/>
        <v>1.1537807946465664</v>
      </c>
      <c r="CE93">
        <f t="shared" si="1112"/>
        <v>1.1592080843736337</v>
      </c>
      <c r="CF93">
        <f t="shared" si="1112"/>
        <v>1.1645675329791128</v>
      </c>
      <c r="CG93">
        <f t="shared" si="1112"/>
        <v>1.1698599884770231</v>
      </c>
      <c r="CH93">
        <f t="shared" si="1112"/>
        <v>1.1750862882812099</v>
      </c>
      <c r="CI93">
        <f t="shared" si="1112"/>
        <v>1.1802472593378441</v>
      </c>
      <c r="CJ93">
        <f t="shared" si="1112"/>
        <v>1.1853437182562707</v>
      </c>
      <c r="CK93">
        <f t="shared" si="1112"/>
        <v>1.1903764714382166</v>
      </c>
      <c r="CL93">
        <f t="shared" si="1112"/>
        <v>1.1953463152053883</v>
      </c>
      <c r="CM93">
        <f t="shared" si="1112"/>
        <v>1.2002540359254703</v>
      </c>
      <c r="CN93">
        <f t="shared" si="1112"/>
        <v>1.2051004101365514</v>
      </c>
      <c r="CO93">
        <f t="shared" si="1112"/>
        <v>1.2098862046699941</v>
      </c>
      <c r="CP93">
        <f t="shared" si="1112"/>
        <v>1.2146121767717686</v>
      </c>
      <c r="CQ93">
        <f t="shared" si="1112"/>
        <v>1.219279074222271</v>
      </c>
      <c r="CR93">
        <f t="shared" si="1112"/>
        <v>1.2238876354546422</v>
      </c>
      <c r="CS93">
        <f t="shared" si="1112"/>
        <v>1.2284385896716086</v>
      </c>
      <c r="CT93">
        <f t="shared" si="1112"/>
        <v>1.232932656960863</v>
      </c>
      <c r="CU93">
        <f t="shared" si="1112"/>
        <v>1.2373705484090016</v>
      </c>
      <c r="CV93">
        <f t="shared" si="1112"/>
        <v>1.2417529662140385</v>
      </c>
      <c r="CW93">
        <f t="shared" si="1112"/>
        <v>1.2460806037965124</v>
      </c>
      <c r="CX93">
        <f t="shared" si="1112"/>
        <v>1.2503541459092056</v>
      </c>
      <c r="CY93">
        <f t="shared" si="1112"/>
        <v>1.2545742687454899</v>
      </c>
      <c r="CZ93">
        <f t="shared" si="1112"/>
        <v>1.2587416400463207</v>
      </c>
      <c r="DA93">
        <f t="shared" si="1112"/>
        <v>1.2628569192058914</v>
      </c>
      <c r="DB93">
        <f t="shared" si="1112"/>
        <v>1.2669207573759671</v>
      </c>
      <c r="DC93">
        <f t="shared" si="1112"/>
        <v>1.270933797568917</v>
      </c>
      <c r="DD93">
        <f t="shared" si="1112"/>
        <v>1.274896674759455</v>
      </c>
      <c r="DE93">
        <f t="shared" si="1112"/>
        <v>1.2788100159851112</v>
      </c>
      <c r="DF93">
        <f t="shared" si="1112"/>
        <v>1.2826744404454469</v>
      </c>
      <c r="DG93">
        <f t="shared" si="1112"/>
        <v>1.2864905596000282</v>
      </c>
      <c r="DH93">
        <f t="shared" si="1112"/>
        <v>1.2902589772651774</v>
      </c>
      <c r="DI93">
        <f t="shared" si="1112"/>
        <v>1.2939802897095121</v>
      </c>
      <c r="DJ93">
        <f t="shared" si="1112"/>
        <v>1.2976550857482925</v>
      </c>
      <c r="DK93">
        <f t="shared" si="1112"/>
        <v>1.3012839468365884</v>
      </c>
      <c r="DL93">
        <f t="shared" si="1112"/>
        <v>1.3048674471612804</v>
      </c>
      <c r="DM93">
        <f t="shared" si="1112"/>
        <v>1.308406153731914</v>
      </c>
      <c r="DN93">
        <f t="shared" si="1112"/>
        <v>1.3119006264704145</v>
      </c>
      <c r="DO93">
        <f t="shared" si="1112"/>
        <v>1.3153514182996839</v>
      </c>
      <c r="DP93">
        <f t="shared" si="1112"/>
        <v>1.3187590752310872</v>
      </c>
      <c r="DQ93">
        <f t="shared" si="1112"/>
        <v>1.3221241364508483</v>
      </c>
      <c r="DR93">
        <f t="shared" si="1112"/>
        <v>1.325447134405362</v>
      </c>
      <c r="DS93">
        <f t="shared" si="1112"/>
        <v>1.3287285948854444</v>
      </c>
      <c r="DT93">
        <f t="shared" si="1112"/>
        <v>1.3319690371095259</v>
      </c>
      <c r="DU93">
        <f t="shared" si="1112"/>
        <v>1.3351689738058063</v>
      </c>
      <c r="DV93">
        <f t="shared" si="1112"/>
        <v>1.3383289112933832</v>
      </c>
      <c r="DW93">
        <f t="shared" si="1112"/>
        <v>1.3414493495623654</v>
      </c>
      <c r="DX93">
        <f t="shared" si="1112"/>
        <v>1.3445307823529853</v>
      </c>
      <c r="DY93">
        <f t="shared" si="1112"/>
        <v>1.3475736972337224</v>
      </c>
      <c r="DZ93">
        <f t="shared" si="1112"/>
        <v>1.3505785756784503</v>
      </c>
      <c r="EA93">
        <f t="shared" ref="EA93:GL93" si="1113">EA8/$B$110</f>
        <v>1.3535458931426192</v>
      </c>
      <c r="EB93">
        <f t="shared" si="1113"/>
        <v>1.356476119138486</v>
      </c>
      <c r="EC93">
        <f t="shared" si="1113"/>
        <v>1.3593697173094044</v>
      </c>
      <c r="ED93">
        <f t="shared" si="1113"/>
        <v>1.3622271455031862</v>
      </c>
      <c r="EE93">
        <f t="shared" si="1113"/>
        <v>1.3650488558445459</v>
      </c>
      <c r="EF93">
        <f t="shared" si="1113"/>
        <v>1.3678352948066383</v>
      </c>
      <c r="EG93">
        <f t="shared" si="1113"/>
        <v>1.3705869032817048</v>
      </c>
      <c r="EH93">
        <f t="shared" si="1113"/>
        <v>1.3733041166508331</v>
      </c>
      <c r="EI93">
        <f t="shared" si="1113"/>
        <v>1.3759873648528471</v>
      </c>
      <c r="EJ93">
        <f t="shared" si="1113"/>
        <v>1.378637072452336</v>
      </c>
      <c r="EK93">
        <f t="shared" si="1113"/>
        <v>1.3812536587068314</v>
      </c>
      <c r="EL93">
        <f t="shared" si="1113"/>
        <v>1.3838375376331455</v>
      </c>
      <c r="EM93">
        <f t="shared" si="1113"/>
        <v>1.3863891180728807</v>
      </c>
      <c r="EN93">
        <f t="shared" si="1113"/>
        <v>1.3889088037571191</v>
      </c>
      <c r="EO93">
        <f t="shared" si="1113"/>
        <v>1.3913969933703045</v>
      </c>
      <c r="EP93">
        <f t="shared" si="1113"/>
        <v>1.3938540806133253</v>
      </c>
      <c r="EQ93">
        <f t="shared" si="1113"/>
        <v>1.3962804542658083</v>
      </c>
      <c r="ER93">
        <f t="shared" si="1113"/>
        <v>1.398676498247635</v>
      </c>
      <c r="ES93">
        <f t="shared" si="1113"/>
        <v>1.4010425916796891</v>
      </c>
      <c r="ET93">
        <f t="shared" si="1113"/>
        <v>1.4033791089438425</v>
      </c>
      <c r="EU93">
        <f t="shared" si="1113"/>
        <v>1.4056864197421939</v>
      </c>
      <c r="EV93">
        <f t="shared" si="1113"/>
        <v>1.4079648891555658</v>
      </c>
      <c r="EW93">
        <f t="shared" si="1113"/>
        <v>1.4102148777012709</v>
      </c>
      <c r="EX93">
        <f t="shared" si="1113"/>
        <v>1.4124367413901544</v>
      </c>
      <c r="EY93">
        <f t="shared" si="1113"/>
        <v>1.4146308317829268</v>
      </c>
      <c r="EZ93">
        <f t="shared" si="1113"/>
        <v>1.4167974960457896</v>
      </c>
      <c r="FA93">
        <f t="shared" si="1113"/>
        <v>1.4189370770053666</v>
      </c>
      <c r="FB93">
        <f t="shared" si="1113"/>
        <v>1.421049913202949</v>
      </c>
      <c r="FC93">
        <f t="shared" si="1113"/>
        <v>1.4231363389480616</v>
      </c>
      <c r="FD93">
        <f t="shared" si="1113"/>
        <v>1.4251966843713604</v>
      </c>
      <c r="FE93">
        <f t="shared" si="1113"/>
        <v>1.4272312754768679</v>
      </c>
      <c r="FF93">
        <f t="shared" si="1113"/>
        <v>1.4292404341935563</v>
      </c>
      <c r="FG93">
        <f t="shared" si="1113"/>
        <v>1.4312244784262862</v>
      </c>
      <c r="FH93">
        <f t="shared" si="1113"/>
        <v>1.4331837221061072</v>
      </c>
      <c r="FI93">
        <f t="shared" si="1113"/>
        <v>1.4351184752399304</v>
      </c>
      <c r="FJ93">
        <f t="shared" si="1113"/>
        <v>1.4370290439595808</v>
      </c>
      <c r="FK93">
        <f t="shared" si="1113"/>
        <v>1.4389157305702354</v>
      </c>
      <c r="FL93">
        <f t="shared" si="1113"/>
        <v>1.4407788335982568</v>
      </c>
      <c r="FM93">
        <f t="shared" si="1113"/>
        <v>1.442618647838428</v>
      </c>
      <c r="FN93">
        <f t="shared" si="1113"/>
        <v>1.4444354644005972</v>
      </c>
      <c r="FO93">
        <f t="shared" si="1113"/>
        <v>1.4462295707557391</v>
      </c>
      <c r="FP93">
        <f t="shared" si="1113"/>
        <v>1.4480012507814419</v>
      </c>
      <c r="FQ93">
        <f t="shared" si="1113"/>
        <v>1.4497507848068234</v>
      </c>
      <c r="FR93">
        <f t="shared" si="1113"/>
        <v>1.4514784496568875</v>
      </c>
      <c r="FS93">
        <f t="shared" si="1113"/>
        <v>1.4531845186963259</v>
      </c>
      <c r="FT93">
        <f t="shared" si="1113"/>
        <v>1.4548692618727712</v>
      </c>
      <c r="FU93">
        <f t="shared" si="1113"/>
        <v>1.4565329457595113</v>
      </c>
      <c r="FV93">
        <f t="shared" si="1113"/>
        <v>1.4581758335976667</v>
      </c>
      <c r="FW93">
        <f t="shared" si="1113"/>
        <v>1.4597981853378454</v>
      </c>
      <c r="FX93">
        <f t="shared" si="1113"/>
        <v>1.4614002576812717</v>
      </c>
      <c r="FY93">
        <f t="shared" si="1113"/>
        <v>1.4629823041204053</v>
      </c>
      <c r="FZ93">
        <f t="shared" si="1113"/>
        <v>1.4645445749790498</v>
      </c>
      <c r="GA93">
        <f t="shared" si="1113"/>
        <v>1.4660873174519611</v>
      </c>
      <c r="GB93">
        <f t="shared" si="1113"/>
        <v>1.4676107756439609</v>
      </c>
      <c r="GC93">
        <f t="shared" si="1113"/>
        <v>1.4691151906085609</v>
      </c>
      <c r="GD93">
        <f t="shared" si="1113"/>
        <v>1.4706008003861035</v>
      </c>
      <c r="GE93">
        <f t="shared" si="1113"/>
        <v>1.4720678400414267</v>
      </c>
      <c r="GF93">
        <f t="shared" si="1113"/>
        <v>1.4735165417010583</v>
      </c>
      <c r="GG93">
        <f t="shared" si="1113"/>
        <v>1.4749471345899445</v>
      </c>
      <c r="GH93">
        <f t="shared" si="1113"/>
        <v>1.4763598450677196</v>
      </c>
      <c r="GI93">
        <f t="shared" si="1113"/>
        <v>1.4777548966645226</v>
      </c>
      <c r="GJ93">
        <f t="shared" si="1113"/>
        <v>1.4791325101163655</v>
      </c>
      <c r="GK93">
        <f t="shared" si="1113"/>
        <v>1.4804929034000602</v>
      </c>
      <c r="GL93">
        <f t="shared" si="1113"/>
        <v>1.481836291767709</v>
      </c>
      <c r="GM93">
        <f t="shared" ref="GM93:IV93" si="1114">GM8/$B$110</f>
        <v>1.4831628877807621</v>
      </c>
      <c r="GN93">
        <f t="shared" si="1114"/>
        <v>1.4844729013436522</v>
      </c>
      <c r="GO93">
        <f t="shared" si="1114"/>
        <v>1.4857665397370059</v>
      </c>
      <c r="GP93">
        <f t="shared" si="1114"/>
        <v>1.487044007650443</v>
      </c>
      <c r="GQ93">
        <f t="shared" si="1114"/>
        <v>1.488305507214962</v>
      </c>
      <c r="GR93">
        <f t="shared" si="1114"/>
        <v>1.4895512380349243</v>
      </c>
      <c r="GS93">
        <f t="shared" si="1114"/>
        <v>1.4907813972196373</v>
      </c>
      <c r="GT93">
        <f t="shared" si="1114"/>
        <v>1.4919961794145411</v>
      </c>
      <c r="GU93">
        <f t="shared" si="1114"/>
        <v>1.493195776832009</v>
      </c>
      <c r="GV93">
        <f t="shared" si="1114"/>
        <v>1.4943803792817583</v>
      </c>
      <c r="GW93">
        <f t="shared" si="1114"/>
        <v>1.4955501742008859</v>
      </c>
      <c r="GX93">
        <f t="shared" si="1114"/>
        <v>1.4967053466835243</v>
      </c>
      <c r="GY93">
        <f t="shared" si="1114"/>
        <v>1.4978460795101296</v>
      </c>
      <c r="GZ93">
        <f t="shared" si="1114"/>
        <v>1.4989725531764024</v>
      </c>
      <c r="HA93">
        <f t="shared" si="1114"/>
        <v>1.500084945921847</v>
      </c>
      <c r="HB93">
        <f t="shared" si="1114"/>
        <v>1.5011834337579733</v>
      </c>
      <c r="HC93">
        <f t="shared" si="1114"/>
        <v>1.5022681904961481</v>
      </c>
      <c r="HD93">
        <f t="shared" si="1114"/>
        <v>1.5033393877750958</v>
      </c>
      <c r="HE93">
        <f t="shared" si="1114"/>
        <v>1.5043971950880564</v>
      </c>
      <c r="HF93">
        <f t="shared" si="1114"/>
        <v>1.5054417798096051</v>
      </c>
      <c r="HG93">
        <f t="shared" si="1114"/>
        <v>1.5064733072221346</v>
      </c>
      <c r="HH93">
        <f t="shared" si="1114"/>
        <v>1.5074919405420073</v>
      </c>
      <c r="HI93">
        <f t="shared" si="1114"/>
        <v>1.5084978409453815</v>
      </c>
      <c r="HJ93">
        <f t="shared" si="1114"/>
        <v>1.5094911675937137</v>
      </c>
      <c r="HK93">
        <f t="shared" si="1114"/>
        <v>1.5104720776589418</v>
      </c>
      <c r="HL93">
        <f t="shared" si="1114"/>
        <v>1.5114407263483545</v>
      </c>
      <c r="HM93">
        <f t="shared" si="1114"/>
        <v>1.5123972669291497</v>
      </c>
      <c r="HN93">
        <f t="shared" si="1114"/>
        <v>1.5133418507526846</v>
      </c>
      <c r="HO93">
        <f t="shared" si="1114"/>
        <v>1.5142746272784255</v>
      </c>
      <c r="HP93">
        <f t="shared" si="1114"/>
        <v>1.5151957440975947</v>
      </c>
      <c r="HQ93">
        <f t="shared" si="1114"/>
        <v>1.5161053469565242</v>
      </c>
      <c r="HR93">
        <f t="shared" si="1114"/>
        <v>1.517003579779717</v>
      </c>
      <c r="HS93">
        <f t="shared" si="1114"/>
        <v>1.5178905846926201</v>
      </c>
      <c r="HT93">
        <f t="shared" si="1114"/>
        <v>1.5187665020441117</v>
      </c>
      <c r="HU93">
        <f t="shared" si="1114"/>
        <v>1.5196314704287097</v>
      </c>
      <c r="HV93">
        <f t="shared" si="1114"/>
        <v>1.5204856267085003</v>
      </c>
      <c r="HW93">
        <f t="shared" si="1114"/>
        <v>1.5213291060347935</v>
      </c>
      <c r="HX93">
        <f t="shared" si="1114"/>
        <v>1.5221620418695081</v>
      </c>
      <c r="HY93">
        <f t="shared" si="1114"/>
        <v>1.5229845660062886</v>
      </c>
      <c r="HZ93">
        <f t="shared" si="1114"/>
        <v>1.5237968085913596</v>
      </c>
      <c r="IA93">
        <f t="shared" si="1114"/>
        <v>1.524598898144117</v>
      </c>
      <c r="IB93">
        <f t="shared" si="1114"/>
        <v>1.525390961577465</v>
      </c>
      <c r="IC93">
        <f t="shared" si="1114"/>
        <v>1.5261731242178962</v>
      </c>
      <c r="ID93">
        <f t="shared" si="1114"/>
        <v>1.526945509825322</v>
      </c>
      <c r="IE93">
        <f t="shared" si="1114"/>
        <v>1.5277082406126548</v>
      </c>
      <c r="IF93">
        <f t="shared" si="1114"/>
        <v>1.5284614372651459</v>
      </c>
      <c r="IG93">
        <f t="shared" si="1114"/>
        <v>1.5292052189594811</v>
      </c>
      <c r="IH93">
        <f t="shared" si="1114"/>
        <v>1.529939703382637</v>
      </c>
      <c r="II93">
        <f t="shared" si="1114"/>
        <v>1.5306650067505037</v>
      </c>
      <c r="IJ93">
        <f t="shared" si="1114"/>
        <v>1.5313812438262719</v>
      </c>
      <c r="IK93">
        <f t="shared" si="1114"/>
        <v>1.532088527938593</v>
      </c>
      <c r="IL93">
        <f t="shared" si="1114"/>
        <v>1.5327869709995099</v>
      </c>
      <c r="IM93">
        <f t="shared" si="1114"/>
        <v>1.5334766835221656</v>
      </c>
      <c r="IN93">
        <f t="shared" si="1114"/>
        <v>1.534157774638288</v>
      </c>
      <c r="IO93">
        <f t="shared" si="1114"/>
        <v>1.5348303521154589</v>
      </c>
      <c r="IP93">
        <f t="shared" si="1114"/>
        <v>1.5354945223741652</v>
      </c>
      <c r="IQ93">
        <f t="shared" si="1114"/>
        <v>1.5361503905046376</v>
      </c>
      <c r="IR93">
        <f t="shared" si="1114"/>
        <v>1.536798060283479</v>
      </c>
      <c r="IS93">
        <f t="shared" si="1114"/>
        <v>1.5374376341900851</v>
      </c>
      <c r="IT93">
        <f t="shared" si="1114"/>
        <v>1.5380692134228584</v>
      </c>
      <c r="IU93">
        <f t="shared" si="1114"/>
        <v>1.5386928979152221</v>
      </c>
      <c r="IV93">
        <f t="shared" si="1114"/>
        <v>1.5393087863514314</v>
      </c>
    </row>
    <row r="94" spans="1:256" x14ac:dyDescent="0.2">
      <c r="A94" t="s">
        <v>565</v>
      </c>
      <c r="B94">
        <v>0.53973793029785155</v>
      </c>
      <c r="C94">
        <f t="shared" ref="C94:BN94" si="1115">C9/$B$111</f>
        <v>0.99077967890214025</v>
      </c>
      <c r="D94">
        <f t="shared" si="1115"/>
        <v>0.98167461181800375</v>
      </c>
      <c r="E94">
        <f t="shared" si="1115"/>
        <v>0.97268335807241912</v>
      </c>
      <c r="F94">
        <f t="shared" si="1115"/>
        <v>0.96380449499865406</v>
      </c>
      <c r="G94">
        <f t="shared" si="1115"/>
        <v>0.95503661771331128</v>
      </c>
      <c r="H94">
        <f t="shared" si="1115"/>
        <v>0.94637833889403522</v>
      </c>
      <c r="I94">
        <f t="shared" si="1115"/>
        <v>0.93782828856</v>
      </c>
      <c r="J94">
        <f t="shared" si="1115"/>
        <v>0.92938511385514033</v>
      </c>
      <c r="K94">
        <f t="shared" si="1115"/>
        <v>0.92432715773623175</v>
      </c>
      <c r="L94">
        <f t="shared" si="1115"/>
        <v>0.91933242606880949</v>
      </c>
      <c r="M94">
        <f t="shared" si="1115"/>
        <v>0.91440012854722996</v>
      </c>
      <c r="N94">
        <f t="shared" si="1115"/>
        <v>0.90952948474467021</v>
      </c>
      <c r="O94">
        <f t="shared" si="1115"/>
        <v>0.9047197239896424</v>
      </c>
      <c r="P94">
        <f t="shared" si="1115"/>
        <v>0.89997008524405253</v>
      </c>
      <c r="Q94">
        <f t="shared" si="1115"/>
        <v>0.89527981698278236</v>
      </c>
      <c r="R94">
        <f t="shared" si="1115"/>
        <v>0.89064817707477817</v>
      </c>
      <c r="S94">
        <f t="shared" si="1115"/>
        <v>0.89263379046990465</v>
      </c>
      <c r="T94">
        <f t="shared" si="1115"/>
        <v>0.89459458369759204</v>
      </c>
      <c r="U94">
        <f t="shared" si="1115"/>
        <v>0.89653086700993334</v>
      </c>
      <c r="V94">
        <f t="shared" si="1115"/>
        <v>0.89844294678087033</v>
      </c>
      <c r="W94">
        <f t="shared" si="1115"/>
        <v>0.90033112555467054</v>
      </c>
      <c r="X94">
        <f t="shared" si="1115"/>
        <v>0.9021957020937984</v>
      </c>
      <c r="Y94">
        <f t="shared" si="1115"/>
        <v>0.90403697142618711</v>
      </c>
      <c r="Z94">
        <f t="shared" si="1115"/>
        <v>0.90585522489192094</v>
      </c>
      <c r="AA94">
        <f t="shared" si="1115"/>
        <v>0.90491214245996765</v>
      </c>
      <c r="AB94">
        <f t="shared" si="1115"/>
        <v>0.90398084855841365</v>
      </c>
      <c r="AC94">
        <f t="shared" si="1115"/>
        <v>0.90306119583062927</v>
      </c>
      <c r="AD94">
        <f t="shared" si="1115"/>
        <v>0.90215303876194197</v>
      </c>
      <c r="AE94">
        <f t="shared" si="1115"/>
        <v>0.90125623365661345</v>
      </c>
      <c r="AF94">
        <f t="shared" si="1115"/>
        <v>0.90037063861510147</v>
      </c>
      <c r="AG94">
        <f t="shared" si="1115"/>
        <v>0.89949611351160841</v>
      </c>
      <c r="AH94">
        <f t="shared" si="1115"/>
        <v>0.89863251997190907</v>
      </c>
      <c r="AI94">
        <f t="shared" si="1115"/>
        <v>0.90510128449908755</v>
      </c>
      <c r="AJ94">
        <f t="shared" si="1115"/>
        <v>0.91148918946967639</v>
      </c>
      <c r="AK94">
        <f t="shared" si="1115"/>
        <v>0.91779724562813281</v>
      </c>
      <c r="AL94">
        <f t="shared" si="1115"/>
        <v>0.92402645108460846</v>
      </c>
      <c r="AM94">
        <f t="shared" si="1115"/>
        <v>0.93017779147287827</v>
      </c>
      <c r="AN94">
        <f t="shared" si="1115"/>
        <v>0.9362522401062946</v>
      </c>
      <c r="AO94">
        <f t="shared" si="1115"/>
        <v>0.94225075813179326</v>
      </c>
      <c r="AP94">
        <f t="shared" si="1115"/>
        <v>0.94817429468197323</v>
      </c>
      <c r="AQ94">
        <f t="shared" si="1115"/>
        <v>0.9396017949005887</v>
      </c>
      <c r="AR94">
        <f t="shared" si="1115"/>
        <v>0.93113645136647172</v>
      </c>
      <c r="AS94">
        <f t="shared" si="1115"/>
        <v>0.92277692462653105</v>
      </c>
      <c r="AT94">
        <f t="shared" si="1115"/>
        <v>0.91452189197083966</v>
      </c>
      <c r="AU94">
        <f t="shared" si="1115"/>
        <v>0.90637004722334447</v>
      </c>
      <c r="AV94">
        <f t="shared" si="1115"/>
        <v>0.89832010053519296</v>
      </c>
      <c r="AW94">
        <f t="shared" si="1115"/>
        <v>0.89037077818064336</v>
      </c>
      <c r="AX94">
        <f t="shared" si="1115"/>
        <v>0.88252082235552565</v>
      </c>
      <c r="AY94">
        <f t="shared" si="1115"/>
        <v>0.87476899097822181</v>
      </c>
      <c r="AZ94">
        <f t="shared" si="1115"/>
        <v>0.8671140574931343</v>
      </c>
      <c r="BA94">
        <f t="shared" si="1115"/>
        <v>0.85955481067661055</v>
      </c>
      <c r="BB94">
        <f t="shared" si="1115"/>
        <v>0.85209005444529318</v>
      </c>
      <c r="BC94">
        <f t="shared" si="1115"/>
        <v>0.84471860766686724</v>
      </c>
      <c r="BD94">
        <f t="shared" si="1115"/>
        <v>0.83743930397317168</v>
      </c>
      <c r="BE94">
        <f t="shared" si="1115"/>
        <v>0.8302509915756473</v>
      </c>
      <c r="BF94">
        <f t="shared" si="1115"/>
        <v>0.823152533083092</v>
      </c>
      <c r="BG94">
        <f t="shared" si="1115"/>
        <v>0.8161428053216937</v>
      </c>
      <c r="BH94">
        <f t="shared" si="1115"/>
        <v>0.80922069915731287</v>
      </c>
      <c r="BI94">
        <f t="shared" si="1115"/>
        <v>0.80238511931998668</v>
      </c>
      <c r="BJ94">
        <f t="shared" si="1115"/>
        <v>0.79563498423062728</v>
      </c>
      <c r="BK94">
        <f t="shared" si="1115"/>
        <v>0.78896922582988471</v>
      </c>
      <c r="BL94">
        <f t="shared" si="1115"/>
        <v>0.78238678940915141</v>
      </c>
      <c r="BM94">
        <f t="shared" si="1115"/>
        <v>0.77588663344367736</v>
      </c>
      <c r="BN94">
        <f t="shared" si="1115"/>
        <v>0.76946772942777175</v>
      </c>
      <c r="BO94">
        <f t="shared" ref="BO94:DZ94" si="1116">BO9/$B$111</f>
        <v>0.76312906171206496</v>
      </c>
      <c r="BP94">
        <f t="shared" si="1116"/>
        <v>0.75686962734280439</v>
      </c>
      <c r="BQ94">
        <f t="shared" si="1116"/>
        <v>0.7506884359031597</v>
      </c>
      <c r="BR94">
        <f t="shared" si="1116"/>
        <v>0.74458450935651055</v>
      </c>
      <c r="BS94">
        <f t="shared" si="1116"/>
        <v>0.73855688189169455</v>
      </c>
      <c r="BT94">
        <f t="shared" si="1116"/>
        <v>0.73260459977018866</v>
      </c>
      <c r="BU94">
        <f t="shared" si="1116"/>
        <v>0.72672672117520154</v>
      </c>
      <c r="BV94">
        <f t="shared" si="1116"/>
        <v>0.72092231606265189</v>
      </c>
      <c r="BW94">
        <f t="shared" si="1116"/>
        <v>0.71519046601400904</v>
      </c>
      <c r="BX94">
        <f t="shared" si="1116"/>
        <v>0.70953026409097419</v>
      </c>
      <c r="BY94">
        <f t="shared" si="1116"/>
        <v>0.70394081469197733</v>
      </c>
      <c r="BZ94">
        <f t="shared" si="1116"/>
        <v>0.69842123341046791</v>
      </c>
      <c r="CA94">
        <f t="shared" si="1116"/>
        <v>0.69297064689497723</v>
      </c>
      <c r="CB94">
        <f t="shared" si="1116"/>
        <v>0.68758819271093041</v>
      </c>
      <c r="CC94">
        <f t="shared" si="1116"/>
        <v>0.68227301920418404</v>
      </c>
      <c r="CD94">
        <f t="shared" si="1116"/>
        <v>0.67702428536627213</v>
      </c>
      <c r="CE94">
        <f t="shared" si="1116"/>
        <v>0.67184116070133404</v>
      </c>
      <c r="CF94">
        <f t="shared" si="1116"/>
        <v>0.66672282509470771</v>
      </c>
      <c r="CG94">
        <f t="shared" si="1116"/>
        <v>0.6616684686831642</v>
      </c>
      <c r="CH94">
        <f t="shared" si="1116"/>
        <v>0.65667729172676481</v>
      </c>
      <c r="CI94">
        <f t="shared" si="1116"/>
        <v>0.65174850448232058</v>
      </c>
      <c r="CJ94">
        <f t="shared" si="1116"/>
        <v>0.64688132707843193</v>
      </c>
      <c r="CK94">
        <f t="shared" si="1116"/>
        <v>0.64207498939209184</v>
      </c>
      <c r="CL94">
        <f t="shared" si="1116"/>
        <v>0.63732873092683096</v>
      </c>
      <c r="CM94">
        <f t="shared" si="1116"/>
        <v>0.63264180069238585</v>
      </c>
      <c r="CN94">
        <f t="shared" si="1116"/>
        <v>0.62801345708587131</v>
      </c>
      <c r="CO94">
        <f t="shared" si="1116"/>
        <v>0.62344296777443819</v>
      </c>
      <c r="CP94">
        <f t="shared" si="1116"/>
        <v>0.61892960957939802</v>
      </c>
      <c r="CQ94">
        <f t="shared" si="1116"/>
        <v>0.61447266836179582</v>
      </c>
      <c r="CR94">
        <f t="shared" si="1116"/>
        <v>0.61007143890941373</v>
      </c>
      <c r="CS94">
        <f t="shared" si="1116"/>
        <v>0.60572522482518631</v>
      </c>
      <c r="CT94">
        <f t="shared" si="1116"/>
        <v>0.60143333841701174</v>
      </c>
      <c r="CU94">
        <f t="shared" si="1116"/>
        <v>0.59719510058893932</v>
      </c>
      <c r="CV94">
        <f t="shared" si="1116"/>
        <v>0.59300984073371787</v>
      </c>
      <c r="CW94">
        <f t="shared" si="1116"/>
        <v>0.58887689662668674</v>
      </c>
      <c r="CX94">
        <f t="shared" si="1116"/>
        <v>0.58479561432099347</v>
      </c>
      <c r="CY94">
        <f t="shared" si="1116"/>
        <v>0.58076534804412139</v>
      </c>
      <c r="CZ94">
        <f t="shared" si="1116"/>
        <v>0.57678546009571019</v>
      </c>
      <c r="DA94">
        <f t="shared" si="1116"/>
        <v>0.57285532074665413</v>
      </c>
      <c r="DB94">
        <f t="shared" si="1116"/>
        <v>0.56897430813946126</v>
      </c>
      <c r="DC94">
        <f t="shared" si="1116"/>
        <v>0.56514180818985826</v>
      </c>
      <c r="DD94">
        <f t="shared" si="1116"/>
        <v>0.56135721448962539</v>
      </c>
      <c r="DE94">
        <f t="shared" si="1116"/>
        <v>0.55761992821064543</v>
      </c>
      <c r="DF94">
        <f t="shared" si="1116"/>
        <v>0.55392935801015264</v>
      </c>
      <c r="DG94">
        <f t="shared" si="1116"/>
        <v>0.55028491993716599</v>
      </c>
      <c r="DH94">
        <f t="shared" si="1116"/>
        <v>0.54668603734009169</v>
      </c>
      <c r="DI94">
        <f t="shared" si="1116"/>
        <v>0.54313214077548078</v>
      </c>
      <c r="DJ94">
        <f t="shared" si="1116"/>
        <v>0.53962266791792768</v>
      </c>
      <c r="DK94">
        <f t="shared" si="1116"/>
        <v>0.53615706347109382</v>
      </c>
      <c r="DL94">
        <f t="shared" si="1116"/>
        <v>0.53273477907984546</v>
      </c>
      <c r="DM94">
        <f t="shared" si="1116"/>
        <v>0.52935527324348775</v>
      </c>
      <c r="DN94">
        <f t="shared" si="1116"/>
        <v>0.52601801123008451</v>
      </c>
      <c r="DO94">
        <f t="shared" si="1116"/>
        <v>0.52272246499184871</v>
      </c>
      <c r="DP94">
        <f t="shared" si="1116"/>
        <v>0.51946811308159091</v>
      </c>
      <c r="DQ94">
        <f t="shared" si="1116"/>
        <v>0.5162544405702113</v>
      </c>
      <c r="DR94">
        <f t="shared" si="1116"/>
        <v>0.513080938965224</v>
      </c>
      <c r="DS94">
        <f t="shared" si="1116"/>
        <v>0.50994710613029892</v>
      </c>
      <c r="DT94">
        <f t="shared" si="1116"/>
        <v>0.50685244620581049</v>
      </c>
      <c r="DU94">
        <f t="shared" si="1116"/>
        <v>0.50379646953037815</v>
      </c>
      <c r="DV94">
        <f t="shared" si="1116"/>
        <v>0.50077869256338881</v>
      </c>
      <c r="DW94">
        <f t="shared" si="1116"/>
        <v>0.49779863780848665</v>
      </c>
      <c r="DX94">
        <f t="shared" si="1116"/>
        <v>0.49485583373802089</v>
      </c>
      <c r="DY94">
        <f t="shared" si="1116"/>
        <v>0.49194981471843596</v>
      </c>
      <c r="DZ94">
        <f t="shared" si="1116"/>
        <v>0.48908012093659575</v>
      </c>
      <c r="EA94">
        <f t="shared" ref="EA94:GL94" si="1117">EA9/$B$111</f>
        <v>0.48624629832702865</v>
      </c>
      <c r="EB94">
        <f t="shared" si="1117"/>
        <v>0.48344789850008102</v>
      </c>
      <c r="EC94">
        <f t="shared" si="1117"/>
        <v>0.48068447867097031</v>
      </c>
      <c r="ED94">
        <f t="shared" si="1117"/>
        <v>0.47795560158972344</v>
      </c>
      <c r="EE94">
        <f t="shared" si="1117"/>
        <v>0.47526083547199216</v>
      </c>
      <c r="EF94">
        <f t="shared" si="1117"/>
        <v>0.47259975393073256</v>
      </c>
      <c r="EG94">
        <f t="shared" si="1117"/>
        <v>0.4699719359087387</v>
      </c>
      <c r="EH94">
        <f t="shared" si="1117"/>
        <v>0.4673769656120198</v>
      </c>
      <c r="EI94">
        <f t="shared" si="1117"/>
        <v>0.46481443244400983</v>
      </c>
      <c r="EJ94">
        <f t="shared" si="1117"/>
        <v>0.4622839309406</v>
      </c>
      <c r="EK94">
        <f t="shared" si="1117"/>
        <v>0.4597850607059828</v>
      </c>
      <c r="EL94">
        <f t="shared" si="1117"/>
        <v>0.45731742634929834</v>
      </c>
      <c r="EM94">
        <f t="shared" si="1117"/>
        <v>0.45488063742207241</v>
      </c>
      <c r="EN94">
        <f t="shared" si="1117"/>
        <v>0.45247430835643682</v>
      </c>
      <c r="EO94">
        <f t="shared" si="1117"/>
        <v>0.45009805840412165</v>
      </c>
      <c r="EP94">
        <f t="shared" si="1117"/>
        <v>0.44775151157621046</v>
      </c>
      <c r="EQ94">
        <f t="shared" si="1117"/>
        <v>0.44543429658364814</v>
      </c>
      <c r="ER94">
        <f t="shared" si="1117"/>
        <v>0.44314604677849284</v>
      </c>
      <c r="ES94">
        <f t="shared" si="1117"/>
        <v>0.44088640009590196</v>
      </c>
      <c r="ET94">
        <f t="shared" si="1117"/>
        <v>0.43865499899684346</v>
      </c>
      <c r="EU94">
        <f t="shared" si="1117"/>
        <v>0.43645149041152326</v>
      </c>
      <c r="EV94">
        <f t="shared" si="1117"/>
        <v>0.43427552568351951</v>
      </c>
      <c r="EW94">
        <f t="shared" si="1117"/>
        <v>0.43212676051461579</v>
      </c>
      <c r="EX94">
        <f t="shared" si="1117"/>
        <v>0.43000485491032342</v>
      </c>
      <c r="EY94">
        <f t="shared" si="1117"/>
        <v>0.42790947312608463</v>
      </c>
      <c r="EZ94">
        <f t="shared" si="1117"/>
        <v>0.42584028361414888</v>
      </c>
      <c r="FA94">
        <f t="shared" si="1117"/>
        <v>0.4237969589711123</v>
      </c>
      <c r="FB94">
        <f t="shared" si="1117"/>
        <v>0.42177917588611369</v>
      </c>
      <c r="FC94">
        <f t="shared" si="1117"/>
        <v>0.41978661508967757</v>
      </c>
      <c r="FD94">
        <f t="shared" si="1117"/>
        <v>0.4178189613031969</v>
      </c>
      <c r="FE94">
        <f t="shared" si="1117"/>
        <v>0.41587590318904727</v>
      </c>
      <c r="FF94">
        <f t="shared" si="1117"/>
        <v>0.41395713330132444</v>
      </c>
      <c r="FG94">
        <f t="shared" si="1117"/>
        <v>0.41206234803719821</v>
      </c>
      <c r="FH94">
        <f t="shared" si="1117"/>
        <v>0.4101912475888736</v>
      </c>
      <c r="FI94">
        <f t="shared" si="1117"/>
        <v>0.40834353589615296</v>
      </c>
      <c r="FJ94">
        <f t="shared" si="1117"/>
        <v>0.40651892059959138</v>
      </c>
      <c r="FK94">
        <f t="shared" si="1117"/>
        <v>0.40471711299423674</v>
      </c>
      <c r="FL94">
        <f t="shared" si="1117"/>
        <v>0.40293782798394912</v>
      </c>
      <c r="FM94">
        <f t="shared" si="1117"/>
        <v>0.40118078403629004</v>
      </c>
      <c r="FN94">
        <f t="shared" si="1117"/>
        <v>0.39944570313797667</v>
      </c>
      <c r="FO94">
        <f t="shared" si="1117"/>
        <v>0.39773231075089227</v>
      </c>
      <c r="FP94">
        <f t="shared" si="1117"/>
        <v>0.39604033576864645</v>
      </c>
      <c r="FQ94">
        <f t="shared" si="1117"/>
        <v>0.39436951047367863</v>
      </c>
      <c r="FR94">
        <f t="shared" si="1117"/>
        <v>0.39271957049489792</v>
      </c>
      <c r="FS94">
        <f t="shared" si="1117"/>
        <v>0.39109025476585202</v>
      </c>
      <c r="FT94">
        <f t="shared" si="1117"/>
        <v>0.38948130548341914</v>
      </c>
      <c r="FU94">
        <f t="shared" si="1117"/>
        <v>0.38789246806701672</v>
      </c>
      <c r="FV94">
        <f t="shared" si="1117"/>
        <v>0.38632349111831932</v>
      </c>
      <c r="FW94">
        <f t="shared" si="1117"/>
        <v>0.38477412638148062</v>
      </c>
      <c r="FX94">
        <f t="shared" si="1117"/>
        <v>0.38324412870385244</v>
      </c>
      <c r="FY94">
        <f t="shared" si="1117"/>
        <v>0.38173325599719454</v>
      </c>
      <c r="FZ94">
        <f t="shared" si="1117"/>
        <v>0.3802412691993699</v>
      </c>
      <c r="GA94">
        <f t="shared" si="1117"/>
        <v>0.37876793223651806</v>
      </c>
      <c r="GB94">
        <f t="shared" si="1117"/>
        <v>0.37731301198570188</v>
      </c>
      <c r="GC94">
        <f t="shared" si="1117"/>
        <v>0.37587627823802094</v>
      </c>
      <c r="GD94">
        <f t="shared" si="1117"/>
        <v>0.374457503662186</v>
      </c>
      <c r="GE94">
        <f t="shared" si="1117"/>
        <v>0.37305646376854895</v>
      </c>
      <c r="GF94">
        <f t="shared" si="1117"/>
        <v>0.37167293687358233</v>
      </c>
      <c r="GG94">
        <f t="shared" si="1117"/>
        <v>0.37030670406480287</v>
      </c>
      <c r="GH94">
        <f t="shared" si="1117"/>
        <v>0.36895754916613316</v>
      </c>
      <c r="GI94">
        <f t="shared" si="1117"/>
        <v>0.36762525870369678</v>
      </c>
      <c r="GJ94">
        <f t="shared" si="1117"/>
        <v>0.36630962187204086</v>
      </c>
      <c r="GK94">
        <f t="shared" si="1117"/>
        <v>0.36501043050078064</v>
      </c>
      <c r="GL94">
        <f t="shared" si="1117"/>
        <v>0.36372747902166119</v>
      </c>
      <c r="GM94">
        <f t="shared" ref="GM94:IV94" si="1118">GM9/$B$111</f>
        <v>0.36246056443603075</v>
      </c>
      <c r="GN94">
        <f t="shared" si="1118"/>
        <v>0.36120948628272065</v>
      </c>
      <c r="GO94">
        <f t="shared" si="1118"/>
        <v>0.35997404660632698</v>
      </c>
      <c r="GP94">
        <f t="shared" si="1118"/>
        <v>0.35875404992588816</v>
      </c>
      <c r="GQ94">
        <f t="shared" si="1118"/>
        <v>0.35754930320395484</v>
      </c>
      <c r="GR94">
        <f t="shared" si="1118"/>
        <v>0.35635961581604569</v>
      </c>
      <c r="GS94">
        <f t="shared" si="1118"/>
        <v>0.35518479952048548</v>
      </c>
      <c r="GT94">
        <f t="shared" si="1118"/>
        <v>0.35402466842861968</v>
      </c>
      <c r="GU94">
        <f t="shared" si="1118"/>
        <v>0.35287903897540224</v>
      </c>
      <c r="GV94">
        <f t="shared" si="1118"/>
        <v>0.35174772989034997</v>
      </c>
      <c r="GW94">
        <f t="shared" si="1118"/>
        <v>0.3506305621688609</v>
      </c>
      <c r="GX94">
        <f t="shared" si="1118"/>
        <v>0.34952735904389043</v>
      </c>
      <c r="GY94">
        <f t="shared" si="1118"/>
        <v>0.34843794595798205</v>
      </c>
      <c r="GZ94">
        <f t="shared" si="1118"/>
        <v>0.34736215053564756</v>
      </c>
      <c r="HA94">
        <f t="shared" si="1118"/>
        <v>0.34629980255609227</v>
      </c>
      <c r="HB94">
        <f t="shared" si="1118"/>
        <v>0.34525073392628142</v>
      </c>
      <c r="HC94">
        <f t="shared" si="1118"/>
        <v>0.34421477865434319</v>
      </c>
      <c r="HD94">
        <f t="shared" si="1118"/>
        <v>0.34319177282330415</v>
      </c>
      <c r="HE94">
        <f t="shared" si="1118"/>
        <v>0.3421815545651532</v>
      </c>
      <c r="HF94">
        <f t="shared" si="1118"/>
        <v>0.34118396403522905</v>
      </c>
      <c r="HG94">
        <f t="shared" si="1118"/>
        <v>0.34019884338692902</v>
      </c>
      <c r="HH94">
        <f t="shared" si="1118"/>
        <v>0.33922603674673268</v>
      </c>
      <c r="HI94">
        <f t="shared" si="1118"/>
        <v>0.33826539018953883</v>
      </c>
      <c r="HJ94">
        <f t="shared" si="1118"/>
        <v>0.33731675171430986</v>
      </c>
      <c r="HK94">
        <f t="shared" si="1118"/>
        <v>0.33637997122002128</v>
      </c>
      <c r="HL94">
        <f t="shared" si="1118"/>
        <v>0.33545490048191129</v>
      </c>
      <c r="HM94">
        <f t="shared" si="1118"/>
        <v>0.33454139312802772</v>
      </c>
      <c r="HN94">
        <f t="shared" si="1118"/>
        <v>0.33363930461606767</v>
      </c>
      <c r="HO94">
        <f t="shared" si="1118"/>
        <v>0.33274849221050717</v>
      </c>
      <c r="HP94">
        <f t="shared" si="1118"/>
        <v>0.33186881496001613</v>
      </c>
      <c r="HQ94">
        <f t="shared" si="1118"/>
        <v>0.33100013367515624</v>
      </c>
      <c r="HR94">
        <f t="shared" si="1118"/>
        <v>0.33014231090635709</v>
      </c>
      <c r="HS94">
        <f t="shared" si="1118"/>
        <v>0.32929521092216796</v>
      </c>
      <c r="HT94">
        <f t="shared" si="1118"/>
        <v>0.32845869968778113</v>
      </c>
      <c r="HU94">
        <f t="shared" si="1118"/>
        <v>0.32763264484382415</v>
      </c>
      <c r="HV94">
        <f t="shared" si="1118"/>
        <v>0.32681691568541665</v>
      </c>
      <c r="HW94">
        <f t="shared" si="1118"/>
        <v>0.32601138314148925</v>
      </c>
      <c r="HX94">
        <f t="shared" si="1118"/>
        <v>0.32521591975436098</v>
      </c>
      <c r="HY94">
        <f t="shared" si="1118"/>
        <v>0.32443039965957177</v>
      </c>
      <c r="HZ94">
        <f t="shared" si="1118"/>
        <v>0.3236546985659674</v>
      </c>
      <c r="IA94">
        <f t="shared" si="1118"/>
        <v>0.32288869373603313</v>
      </c>
      <c r="IB94">
        <f t="shared" si="1118"/>
        <v>0.32213226396647299</v>
      </c>
      <c r="IC94">
        <f t="shared" si="1118"/>
        <v>0.3213852895690324</v>
      </c>
      <c r="ID94">
        <f t="shared" si="1118"/>
        <v>0.32064765235155973</v>
      </c>
      <c r="IE94">
        <f t="shared" si="1118"/>
        <v>0.31991923559930552</v>
      </c>
      <c r="IF94">
        <f t="shared" si="1118"/>
        <v>0.31919992405645453</v>
      </c>
      <c r="IG94">
        <f t="shared" si="1118"/>
        <v>0.31848960390788916</v>
      </c>
      <c r="IH94">
        <f t="shared" si="1118"/>
        <v>0.31778816276118088</v>
      </c>
      <c r="II94">
        <f t="shared" si="1118"/>
        <v>0.3170954896288064</v>
      </c>
      <c r="IJ94">
        <f t="shared" si="1118"/>
        <v>0.31641147491058663</v>
      </c>
      <c r="IK94">
        <f t="shared" si="1118"/>
        <v>0.31573601037634463</v>
      </c>
      <c r="IL94">
        <f t="shared" si="1118"/>
        <v>0.31506898914878062</v>
      </c>
      <c r="IM94">
        <f t="shared" si="1118"/>
        <v>0.31441030568656114</v>
      </c>
      <c r="IN94">
        <f t="shared" si="1118"/>
        <v>0.31375985576761944</v>
      </c>
      <c r="IO94">
        <f t="shared" si="1118"/>
        <v>0.31311753647266449</v>
      </c>
      <c r="IP94">
        <f t="shared" si="1118"/>
        <v>0.3124832461688965</v>
      </c>
      <c r="IQ94">
        <f t="shared" si="1118"/>
        <v>0.31185688449392562</v>
      </c>
      <c r="IR94">
        <f t="shared" si="1118"/>
        <v>0.31123835233989183</v>
      </c>
      <c r="IS94">
        <f t="shared" si="1118"/>
        <v>0.31062755183778346</v>
      </c>
      <c r="IT94">
        <f t="shared" si="1118"/>
        <v>0.31002438634195145</v>
      </c>
      <c r="IU94">
        <f t="shared" si="1118"/>
        <v>0.30942876041481737</v>
      </c>
      <c r="IV94">
        <f t="shared" si="1118"/>
        <v>0.30884057981177243</v>
      </c>
    </row>
    <row r="95" spans="1:256" x14ac:dyDescent="0.2">
      <c r="A95" t="s">
        <v>566</v>
      </c>
      <c r="B95">
        <v>0.68254425048828127</v>
      </c>
      <c r="C95">
        <f t="shared" ref="C95:BN95" si="1119">C10/$B$112</f>
        <v>0.99368884775149591</v>
      </c>
      <c r="D95">
        <f t="shared" si="1119"/>
        <v>1.0066529072200576</v>
      </c>
      <c r="E95">
        <f t="shared" si="1119"/>
        <v>1.0194549159452624</v>
      </c>
      <c r="F95">
        <f t="shared" si="1119"/>
        <v>1.0320968995614022</v>
      </c>
      <c r="G95">
        <f t="shared" si="1119"/>
        <v>1.0445808583823402</v>
      </c>
      <c r="H95">
        <f t="shared" si="1119"/>
        <v>1.0569087677180162</v>
      </c>
      <c r="I95">
        <f t="shared" si="1119"/>
        <v>1.0690825781869966</v>
      </c>
      <c r="J95">
        <f t="shared" si="1119"/>
        <v>1.0811042160251145</v>
      </c>
      <c r="K95">
        <f t="shared" si="1119"/>
        <v>1.0929755833902561</v>
      </c>
      <c r="L95">
        <f t="shared" si="1119"/>
        <v>1.1046985586633331</v>
      </c>
      <c r="M95">
        <f t="shared" si="1119"/>
        <v>1.116274996745497</v>
      </c>
      <c r="N95">
        <f t="shared" si="1119"/>
        <v>1.1277067293516339</v>
      </c>
      <c r="O95">
        <f t="shared" si="1119"/>
        <v>1.1389955653001937</v>
      </c>
      <c r="P95">
        <f t="shared" si="1119"/>
        <v>1.1501432907993967</v>
      </c>
      <c r="Q95">
        <f t="shared" si="1119"/>
        <v>1.1611516697298598</v>
      </c>
      <c r="R95">
        <f t="shared" si="1119"/>
        <v>1.1720224439236919</v>
      </c>
      <c r="S95">
        <f t="shared" si="1119"/>
        <v>1.1773718344966271</v>
      </c>
      <c r="T95">
        <f t="shared" si="1119"/>
        <v>1.1831417600694099</v>
      </c>
      <c r="U95">
        <f t="shared" si="1119"/>
        <v>1.1893191400648506</v>
      </c>
      <c r="V95">
        <f t="shared" si="1119"/>
        <v>1.1958909071629593</v>
      </c>
      <c r="W95">
        <f t="shared" si="1119"/>
        <v>1.2028440237682969</v>
      </c>
      <c r="X95">
        <f t="shared" si="1119"/>
        <v>1.2101654973865021</v>
      </c>
      <c r="Y95">
        <f t="shared" si="1119"/>
        <v>1.2178423949646751</v>
      </c>
      <c r="Z95">
        <f t="shared" si="1119"/>
        <v>1.2258618562477084</v>
      </c>
      <c r="AA95">
        <f t="shared" si="1119"/>
        <v>1.2136009428722594</v>
      </c>
      <c r="AB95">
        <f t="shared" si="1119"/>
        <v>1.2016667223477393</v>
      </c>
      <c r="AC95">
        <f t="shared" si="1119"/>
        <v>1.1900561479830436</v>
      </c>
      <c r="AD95">
        <f t="shared" si="1119"/>
        <v>1.178766109859186</v>
      </c>
      <c r="AE95">
        <f t="shared" si="1119"/>
        <v>1.1677934392639009</v>
      </c>
      <c r="AF95">
        <f t="shared" si="1119"/>
        <v>1.1571349129616744</v>
      </c>
      <c r="AG95">
        <f t="shared" si="1119"/>
        <v>1.1467872573043265</v>
      </c>
      <c r="AH95">
        <f t="shared" si="1119"/>
        <v>1.1367471521871335</v>
      </c>
      <c r="AI95">
        <f t="shared" si="1119"/>
        <v>1.14792298285025</v>
      </c>
      <c r="AJ95">
        <f t="shared" si="1119"/>
        <v>1.1589591156300771</v>
      </c>
      <c r="AK95">
        <f t="shared" si="1119"/>
        <v>1.1698572967501566</v>
      </c>
      <c r="AL95">
        <f t="shared" si="1119"/>
        <v>1.180619250606235</v>
      </c>
      <c r="AM95">
        <f t="shared" si="1119"/>
        <v>1.1912466800391124</v>
      </c>
      <c r="AN95">
        <f t="shared" si="1119"/>
        <v>1.2017412666040788</v>
      </c>
      <c r="AO95">
        <f t="shared" si="1119"/>
        <v>1.2121046708369834</v>
      </c>
      <c r="AP95">
        <f t="shared" si="1119"/>
        <v>1.2223385325169764</v>
      </c>
      <c r="AQ95">
        <f t="shared" si="1119"/>
        <v>1.2324444709259696</v>
      </c>
      <c r="AR95">
        <f t="shared" si="1119"/>
        <v>1.2424240851048505</v>
      </c>
      <c r="AS95">
        <f t="shared" si="1119"/>
        <v>1.2522789541064954</v>
      </c>
      <c r="AT95">
        <f t="shared" si="1119"/>
        <v>1.2620106372456195</v>
      </c>
      <c r="AU95">
        <f t="shared" si="1119"/>
        <v>1.2716206743455047</v>
      </c>
      <c r="AV95">
        <f t="shared" si="1119"/>
        <v>1.2811105859816416</v>
      </c>
      <c r="AW95">
        <f t="shared" si="1119"/>
        <v>1.2904818737223265</v>
      </c>
      <c r="AX95">
        <f t="shared" si="1119"/>
        <v>1.2997360203662527</v>
      </c>
      <c r="AY95">
        <f t="shared" si="1119"/>
        <v>1.3014906580757586</v>
      </c>
      <c r="AZ95">
        <f t="shared" si="1119"/>
        <v>1.3039181874331565</v>
      </c>
      <c r="BA95">
        <f t="shared" si="1119"/>
        <v>1.3070116404182623</v>
      </c>
      <c r="BB95">
        <f t="shared" si="1119"/>
        <v>1.3107643168378196</v>
      </c>
      <c r="BC95">
        <f t="shared" si="1119"/>
        <v>1.315169783119009</v>
      </c>
      <c r="BD95">
        <f t="shared" si="1119"/>
        <v>1.3202218711271481</v>
      </c>
      <c r="BE95">
        <f t="shared" si="1119"/>
        <v>1.3259146770469361</v>
      </c>
      <c r="BF95">
        <f t="shared" si="1119"/>
        <v>1.3322425603592025</v>
      </c>
      <c r="BG95">
        <f t="shared" si="1119"/>
        <v>1.3392001429389662</v>
      </c>
      <c r="BH95">
        <f t="shared" si="1119"/>
        <v>1.3467823082955128</v>
      </c>
      <c r="BI95">
        <f t="shared" si="1119"/>
        <v>1.3549842009709205</v>
      </c>
      <c r="BJ95">
        <f t="shared" si="1119"/>
        <v>1.3634320685242396</v>
      </c>
      <c r="BK95">
        <f t="shared" si="1119"/>
        <v>1.3717743377331419</v>
      </c>
      <c r="BL95">
        <f t="shared" si="1119"/>
        <v>1.380012328576933</v>
      </c>
      <c r="BM95">
        <f t="shared" si="1119"/>
        <v>1.3881473445351766</v>
      </c>
      <c r="BN95">
        <f t="shared" si="1119"/>
        <v>1.3961806727939423</v>
      </c>
      <c r="BO95">
        <f t="shared" ref="BO95:DZ95" si="1120">BO10/$B$112</f>
        <v>1.4041135844494737</v>
      </c>
      <c r="BP95">
        <f t="shared" si="1120"/>
        <v>1.4119473347093106</v>
      </c>
      <c r="BQ95">
        <f t="shared" si="1120"/>
        <v>1.4196831630908995</v>
      </c>
      <c r="BR95">
        <f t="shared" si="1120"/>
        <v>1.4273222936177188</v>
      </c>
      <c r="BS95">
        <f t="shared" si="1120"/>
        <v>1.4348659350129527</v>
      </c>
      <c r="BT95">
        <f t="shared" si="1120"/>
        <v>1.4423152808907462</v>
      </c>
      <c r="BU95">
        <f t="shared" si="1120"/>
        <v>1.4496715099450674</v>
      </c>
      <c r="BV95">
        <f t="shared" si="1120"/>
        <v>1.4569357861362096</v>
      </c>
      <c r="BW95">
        <f t="shared" si="1120"/>
        <v>1.4641092588749622</v>
      </c>
      <c r="BX95">
        <f t="shared" si="1120"/>
        <v>1.4711930632044807</v>
      </c>
      <c r="BY95">
        <f t="shared" si="1120"/>
        <v>1.4781883199798802</v>
      </c>
      <c r="BZ95">
        <f t="shared" si="1120"/>
        <v>1.485096136045587</v>
      </c>
      <c r="CA95">
        <f t="shared" si="1120"/>
        <v>1.4919176044104725</v>
      </c>
      <c r="CB95">
        <f t="shared" si="1120"/>
        <v>1.4986538044207971</v>
      </c>
      <c r="CC95">
        <f t="shared" si="1120"/>
        <v>1.5053058019309924</v>
      </c>
      <c r="CD95">
        <f t="shared" si="1120"/>
        <v>1.5118746494723103</v>
      </c>
      <c r="CE95">
        <f t="shared" si="1120"/>
        <v>1.5183613864193619</v>
      </c>
      <c r="CF95">
        <f t="shared" si="1120"/>
        <v>1.5247670391545756</v>
      </c>
      <c r="CG95">
        <f t="shared" si="1120"/>
        <v>1.5310926212305986</v>
      </c>
      <c r="CH95">
        <f t="shared" si="1120"/>
        <v>1.5373391335306714</v>
      </c>
      <c r="CI95">
        <f t="shared" si="1120"/>
        <v>1.5435075644269938</v>
      </c>
      <c r="CJ95">
        <f t="shared" si="1120"/>
        <v>1.5495988899371116</v>
      </c>
      <c r="CK95">
        <f t="shared" si="1120"/>
        <v>1.5556140738783533</v>
      </c>
      <c r="CL95">
        <f t="shared" si="1120"/>
        <v>1.5615540680203293</v>
      </c>
      <c r="CM95">
        <f t="shared" si="1120"/>
        <v>1.5674198122355303</v>
      </c>
      <c r="CN95">
        <f t="shared" si="1120"/>
        <v>1.5732122346480417</v>
      </c>
      <c r="CO95">
        <f t="shared" si="1120"/>
        <v>1.5789322517803968</v>
      </c>
      <c r="CP95">
        <f t="shared" si="1120"/>
        <v>1.5845807686985973</v>
      </c>
      <c r="CQ95">
        <f t="shared" si="1120"/>
        <v>1.5901586791553202</v>
      </c>
      <c r="CR95">
        <f t="shared" si="1120"/>
        <v>1.595666865731334</v>
      </c>
      <c r="CS95">
        <f t="shared" si="1120"/>
        <v>1.6011061999751477</v>
      </c>
      <c r="CT95">
        <f t="shared" si="1120"/>
        <v>1.6064775425409139</v>
      </c>
      <c r="CU95">
        <f t="shared" si="1120"/>
        <v>1.6117817433246078</v>
      </c>
      <c r="CV95">
        <f t="shared" si="1120"/>
        <v>1.6170196415985059</v>
      </c>
      <c r="CW95">
        <f t="shared" si="1120"/>
        <v>1.6221920661439799</v>
      </c>
      <c r="CX95">
        <f t="shared" si="1120"/>
        <v>1.6272998353826356</v>
      </c>
      <c r="CY95">
        <f t="shared" si="1120"/>
        <v>1.6323437575058082</v>
      </c>
      <c r="CZ95">
        <f t="shared" si="1120"/>
        <v>1.6373246306024409</v>
      </c>
      <c r="DA95">
        <f t="shared" si="1120"/>
        <v>1.6422432427853659</v>
      </c>
      <c r="DB95">
        <f t="shared" si="1120"/>
        <v>1.6471003723160043</v>
      </c>
      <c r="DC95">
        <f t="shared" si="1120"/>
        <v>1.6518967877275099</v>
      </c>
      <c r="DD95">
        <f t="shared" si="1120"/>
        <v>1.6566332479463715</v>
      </c>
      <c r="DE95">
        <f t="shared" si="1120"/>
        <v>1.661310502412497</v>
      </c>
      <c r="DF95">
        <f t="shared" si="1120"/>
        <v>1.6659292911977963</v>
      </c>
      <c r="DG95">
        <f t="shared" si="1120"/>
        <v>1.6704903451232793</v>
      </c>
      <c r="DH95">
        <f t="shared" si="1120"/>
        <v>1.6749943858746938</v>
      </c>
      <c r="DI95">
        <f t="shared" si="1120"/>
        <v>1.6794421261167156</v>
      </c>
      <c r="DJ95">
        <f t="shared" si="1120"/>
        <v>1.683834269605712</v>
      </c>
      <c r="DK95">
        <f t="shared" si="1120"/>
        <v>1.688171511301096</v>
      </c>
      <c r="DL95">
        <f t="shared" si="1120"/>
        <v>1.6924545374752877</v>
      </c>
      <c r="DM95">
        <f t="shared" si="1120"/>
        <v>1.6966840258223022</v>
      </c>
      <c r="DN95">
        <f t="shared" si="1120"/>
        <v>1.7008606455649788</v>
      </c>
      <c r="DO95">
        <f t="shared" si="1120"/>
        <v>1.704985057560872</v>
      </c>
      <c r="DP95">
        <f t="shared" si="1120"/>
        <v>1.7090579144068165</v>
      </c>
      <c r="DQ95">
        <f t="shared" si="1120"/>
        <v>1.7130798605421869</v>
      </c>
      <c r="DR95">
        <f t="shared" si="1120"/>
        <v>1.7170515323508651</v>
      </c>
      <c r="DS95">
        <f t="shared" si="1120"/>
        <v>1.7209735582619345</v>
      </c>
      <c r="DT95">
        <f t="shared" si="1120"/>
        <v>1.7248465588491158</v>
      </c>
      <c r="DU95">
        <f t="shared" si="1120"/>
        <v>1.7286711469289573</v>
      </c>
      <c r="DV95">
        <f t="shared" si="1120"/>
        <v>1.7324479276578006</v>
      </c>
      <c r="DW95">
        <f t="shared" si="1120"/>
        <v>1.7361774986275336</v>
      </c>
      <c r="DX95">
        <f t="shared" si="1120"/>
        <v>1.7398604499601449</v>
      </c>
      <c r="DY95">
        <f t="shared" si="1120"/>
        <v>1.7434973644010985</v>
      </c>
      <c r="DZ95">
        <f t="shared" si="1120"/>
        <v>1.7470888174115402</v>
      </c>
      <c r="EA95">
        <f t="shared" ref="EA95:GL95" si="1121">EA10/$B$112</f>
        <v>1.7506353772593515</v>
      </c>
      <c r="EB95">
        <f t="shared" si="1121"/>
        <v>1.7541376051090651</v>
      </c>
      <c r="EC95">
        <f t="shared" si="1121"/>
        <v>1.7575960551106573</v>
      </c>
      <c r="ED95">
        <f t="shared" si="1121"/>
        <v>1.7610112744872295</v>
      </c>
      <c r="EE95">
        <f t="shared" si="1121"/>
        <v>1.7643838036215946</v>
      </c>
      <c r="EF95">
        <f t="shared" si="1121"/>
        <v>1.7677141761417801</v>
      </c>
      <c r="EG95">
        <f t="shared" si="1121"/>
        <v>1.7710029190054632</v>
      </c>
      <c r="EH95">
        <f t="shared" si="1121"/>
        <v>1.7742505525833503</v>
      </c>
      <c r="EI95">
        <f t="shared" si="1121"/>
        <v>1.777457590741514</v>
      </c>
      <c r="EJ95">
        <f t="shared" si="1121"/>
        <v>1.7806245409227006</v>
      </c>
      <c r="EK95">
        <f t="shared" si="1121"/>
        <v>1.7837519042266221</v>
      </c>
      <c r="EL95">
        <f t="shared" si="1121"/>
        <v>1.7868401754892449</v>
      </c>
      <c r="EM95">
        <f t="shared" si="1121"/>
        <v>1.7898898433610848</v>
      </c>
      <c r="EN95">
        <f t="shared" si="1121"/>
        <v>1.7929013903845266</v>
      </c>
      <c r="EO95">
        <f t="shared" si="1121"/>
        <v>1.7958752930701753</v>
      </c>
      <c r="EP95">
        <f t="shared" si="1121"/>
        <v>1.7988120219722536</v>
      </c>
      <c r="EQ95">
        <f t="shared" si="1121"/>
        <v>1.8017120417630557</v>
      </c>
      <c r="ER95">
        <f t="shared" si="1121"/>
        <v>1.8045758113064729</v>
      </c>
      <c r="ES95">
        <f t="shared" si="1121"/>
        <v>1.8074037837305974</v>
      </c>
      <c r="ET95">
        <f t="shared" si="1121"/>
        <v>1.8101964064994205</v>
      </c>
      <c r="EU95">
        <f t="shared" si="1121"/>
        <v>1.8129541214836333</v>
      </c>
      <c r="EV95">
        <f t="shared" si="1121"/>
        <v>1.8156773650305433</v>
      </c>
      <c r="EW95">
        <f t="shared" si="1121"/>
        <v>1.8183665680331169</v>
      </c>
      <c r="EX95">
        <f t="shared" si="1121"/>
        <v>1.8210221559981585</v>
      </c>
      <c r="EY95">
        <f t="shared" si="1121"/>
        <v>1.823644549113637</v>
      </c>
      <c r="EZ95">
        <f t="shared" si="1121"/>
        <v>1.8262341623151719</v>
      </c>
      <c r="FA95">
        <f t="shared" si="1121"/>
        <v>1.8287914053516878</v>
      </c>
      <c r="FB95">
        <f t="shared" si="1121"/>
        <v>1.831316682850247</v>
      </c>
      <c r="FC95">
        <f t="shared" si="1121"/>
        <v>1.8338103943800743</v>
      </c>
      <c r="FD95">
        <f t="shared" si="1121"/>
        <v>1.8362729345157789</v>
      </c>
      <c r="FE95">
        <f t="shared" si="1121"/>
        <v>1.8387046928997872</v>
      </c>
      <c r="FF95">
        <f t="shared" si="1121"/>
        <v>1.8411060543039954</v>
      </c>
      <c r="FG95">
        <f t="shared" si="1121"/>
        <v>1.8434773986906507</v>
      </c>
      <c r="FH95">
        <f t="shared" si="1121"/>
        <v>1.8458191012724732</v>
      </c>
      <c r="FI95">
        <f t="shared" si="1121"/>
        <v>1.8481315325720227</v>
      </c>
      <c r="FJ95">
        <f t="shared" si="1121"/>
        <v>1.8504150584803278</v>
      </c>
      <c r="FK95">
        <f t="shared" si="1121"/>
        <v>1.8526700403147791</v>
      </c>
      <c r="FL95">
        <f t="shared" si="1121"/>
        <v>1.8548968348763</v>
      </c>
      <c r="FM95">
        <f t="shared" si="1121"/>
        <v>1.8570957945058015</v>
      </c>
      <c r="FN95">
        <f t="shared" si="1121"/>
        <v>1.8592672671399344</v>
      </c>
      <c r="FO95">
        <f t="shared" si="1121"/>
        <v>1.8614115963661406</v>
      </c>
      <c r="FP95">
        <f t="shared" si="1121"/>
        <v>1.8635291214770193</v>
      </c>
      <c r="FQ95">
        <f t="shared" si="1121"/>
        <v>1.865620177524012</v>
      </c>
      <c r="FR95">
        <f t="shared" si="1121"/>
        <v>1.8676850953704172</v>
      </c>
      <c r="FS95">
        <f t="shared" si="1121"/>
        <v>1.8697242017437423</v>
      </c>
      <c r="FT95">
        <f t="shared" si="1121"/>
        <v>1.871737819287401</v>
      </c>
      <c r="FU95">
        <f t="shared" si="1121"/>
        <v>1.873726266611764</v>
      </c>
      <c r="FV95">
        <f t="shared" si="1121"/>
        <v>1.8756898583445725</v>
      </c>
      <c r="FW95">
        <f t="shared" si="1121"/>
        <v>1.8776289051807207</v>
      </c>
      <c r="FX95">
        <f t="shared" si="1121"/>
        <v>1.8795437139314171</v>
      </c>
      <c r="FY95">
        <f t="shared" si="1121"/>
        <v>1.8814345875727299</v>
      </c>
      <c r="FZ95">
        <f t="shared" si="1121"/>
        <v>1.8833018252935261</v>
      </c>
      <c r="GA95">
        <f t="shared" si="1121"/>
        <v>1.8851457225428125</v>
      </c>
      <c r="GB95">
        <f t="shared" si="1121"/>
        <v>1.8869665710764829</v>
      </c>
      <c r="GC95">
        <f t="shared" si="1121"/>
        <v>1.8887646590034823</v>
      </c>
      <c r="GD95">
        <f t="shared" si="1121"/>
        <v>1.8905402708313943</v>
      </c>
      <c r="GE95">
        <f t="shared" si="1121"/>
        <v>1.8922936875114573</v>
      </c>
      <c r="GF95">
        <f t="shared" si="1121"/>
        <v>1.8940251864830195</v>
      </c>
      <c r="GG95">
        <f t="shared" si="1121"/>
        <v>1.8957350417174372</v>
      </c>
      <c r="GH95">
        <f t="shared" si="1121"/>
        <v>1.8974235237614248</v>
      </c>
      <c r="GI95">
        <f t="shared" si="1121"/>
        <v>1.8990908997798623</v>
      </c>
      <c r="GJ95">
        <f t="shared" si="1121"/>
        <v>1.9007374335980696</v>
      </c>
      <c r="GK95">
        <f t="shared" si="1121"/>
        <v>1.9023633857435491</v>
      </c>
      <c r="GL95">
        <f t="shared" si="1121"/>
        <v>1.90396901348721</v>
      </c>
      <c r="GM95">
        <f t="shared" ref="GM95:IV95" si="1122">GM10/$B$112</f>
        <v>1.9055545708840753</v>
      </c>
      <c r="GN95">
        <f t="shared" si="1122"/>
        <v>1.9071203088134798</v>
      </c>
      <c r="GO95">
        <f t="shared" si="1122"/>
        <v>1.9086664750187667</v>
      </c>
      <c r="GP95">
        <f t="shared" si="1122"/>
        <v>1.9101933141464875</v>
      </c>
      <c r="GQ95">
        <f t="shared" si="1122"/>
        <v>1.9117010677851118</v>
      </c>
      <c r="GR95">
        <f t="shared" si="1122"/>
        <v>1.9131899745032535</v>
      </c>
      <c r="GS95">
        <f t="shared" si="1122"/>
        <v>1.914660269887418</v>
      </c>
      <c r="GT95">
        <f t="shared" si="1122"/>
        <v>1.916112186579281</v>
      </c>
      <c r="GU95">
        <f t="shared" si="1122"/>
        <v>1.9175459543124953</v>
      </c>
      <c r="GV95">
        <f t="shared" si="1122"/>
        <v>1.9189617999490445</v>
      </c>
      <c r="GW95">
        <f t="shared" si="1122"/>
        <v>1.9203599475151369</v>
      </c>
      <c r="GX95">
        <f t="shared" si="1122"/>
        <v>1.921740618236653</v>
      </c>
      <c r="GY95">
        <f t="shared" si="1122"/>
        <v>1.9231040305741502</v>
      </c>
      <c r="GZ95">
        <f t="shared" si="1122"/>
        <v>1.9244504002574288</v>
      </c>
      <c r="HA95">
        <f t="shared" si="1122"/>
        <v>1.9257799403196665</v>
      </c>
      <c r="HB95">
        <f t="shared" si="1122"/>
        <v>1.927092861131126</v>
      </c>
      <c r="HC95">
        <f t="shared" si="1122"/>
        <v>1.9283893704324422</v>
      </c>
      <c r="HD95">
        <f t="shared" si="1122"/>
        <v>1.9296696733674921</v>
      </c>
      <c r="HE95">
        <f t="shared" si="1122"/>
        <v>1.9309339725158539</v>
      </c>
      <c r="HF95">
        <f t="shared" si="1122"/>
        <v>1.9321824679248609</v>
      </c>
      <c r="HG95">
        <f t="shared" si="1122"/>
        <v>1.9334153571412556</v>
      </c>
      <c r="HH95">
        <f t="shared" si="1122"/>
        <v>1.9346328352424453</v>
      </c>
      <c r="HI95">
        <f t="shared" si="1122"/>
        <v>1.9358350948673704</v>
      </c>
      <c r="HJ95">
        <f t="shared" si="1122"/>
        <v>1.9370223262469837</v>
      </c>
      <c r="HK95">
        <f t="shared" si="1122"/>
        <v>1.9381947172343519</v>
      </c>
      <c r="HL95">
        <f t="shared" si="1122"/>
        <v>1.9393524533343778</v>
      </c>
      <c r="HM95">
        <f t="shared" si="1122"/>
        <v>1.9404957177331534</v>
      </c>
      <c r="HN95">
        <f t="shared" si="1122"/>
        <v>1.9416246913269446</v>
      </c>
      <c r="HO95">
        <f t="shared" si="1122"/>
        <v>1.9427395527508133</v>
      </c>
      <c r="HP95">
        <f t="shared" si="1122"/>
        <v>1.9438404784068835</v>
      </c>
      <c r="HQ95">
        <f t="shared" si="1122"/>
        <v>1.944927642492253</v>
      </c>
      <c r="HR95">
        <f t="shared" si="1122"/>
        <v>1.9460012170265553</v>
      </c>
      <c r="HS95">
        <f t="shared" si="1122"/>
        <v>1.9470613718791787</v>
      </c>
      <c r="HT95">
        <f t="shared" si="1122"/>
        <v>1.9481082747961445</v>
      </c>
      <c r="HU95">
        <f t="shared" si="1122"/>
        <v>1.9491420914266482</v>
      </c>
      <c r="HV95">
        <f t="shared" si="1122"/>
        <v>1.9501629853492706</v>
      </c>
      <c r="HW95">
        <f t="shared" si="1122"/>
        <v>1.9511711180978599</v>
      </c>
      <c r="HX95">
        <f t="shared" si="1122"/>
        <v>1.9521666491870922</v>
      </c>
      <c r="HY95">
        <f t="shared" si="1122"/>
        <v>1.953149736137709</v>
      </c>
      <c r="HZ95">
        <f t="shared" si="1122"/>
        <v>1.954120534501443</v>
      </c>
      <c r="IA95">
        <f t="shared" si="1122"/>
        <v>1.9550791978856303</v>
      </c>
      <c r="IB95">
        <f t="shared" si="1122"/>
        <v>1.9560258779775155</v>
      </c>
      <c r="IC95">
        <f t="shared" si="1122"/>
        <v>1.9569607245682519</v>
      </c>
      <c r="ID95">
        <f t="shared" si="1122"/>
        <v>1.9578838855766041</v>
      </c>
      <c r="IE95">
        <f t="shared" si="1122"/>
        <v>1.9587955070723519</v>
      </c>
      <c r="IF95">
        <f t="shared" si="1122"/>
        <v>1.9596957332994029</v>
      </c>
      <c r="IG95">
        <f t="shared" si="1122"/>
        <v>1.960584706698616</v>
      </c>
      <c r="IH95">
        <f t="shared" si="1122"/>
        <v>1.9614625679303386</v>
      </c>
      <c r="II95">
        <f t="shared" si="1122"/>
        <v>1.9623294558966646</v>
      </c>
      <c r="IJ95">
        <f t="shared" si="1122"/>
        <v>1.9631855077634119</v>
      </c>
      <c r="IK95">
        <f t="shared" si="1122"/>
        <v>1.9640308589818245</v>
      </c>
      <c r="IL95">
        <f t="shared" si="1122"/>
        <v>1.9648656433100071</v>
      </c>
      <c r="IM95">
        <f t="shared" si="1122"/>
        <v>1.9656899928340876</v>
      </c>
      <c r="IN95">
        <f t="shared" si="1122"/>
        <v>1.966504037989117</v>
      </c>
      <c r="IO95">
        <f t="shared" si="1122"/>
        <v>1.9673079075797084</v>
      </c>
      <c r="IP95">
        <f t="shared" si="1122"/>
        <v>1.9681017288004174</v>
      </c>
      <c r="IQ95">
        <f t="shared" si="1122"/>
        <v>1.9688856272558677</v>
      </c>
      <c r="IR95">
        <f t="shared" si="1122"/>
        <v>1.9696597269806246</v>
      </c>
      <c r="IS95">
        <f t="shared" si="1122"/>
        <v>1.9704241504588222</v>
      </c>
      <c r="IT95">
        <f t="shared" si="1122"/>
        <v>1.9711790186435423</v>
      </c>
      <c r="IU95">
        <f t="shared" si="1122"/>
        <v>1.9719244509759535</v>
      </c>
      <c r="IV95">
        <f t="shared" si="1122"/>
        <v>1.9726605654042095</v>
      </c>
    </row>
    <row r="96" spans="1:256" x14ac:dyDescent="0.2">
      <c r="A96" t="s">
        <v>567</v>
      </c>
      <c r="B96">
        <v>0.33077934265136721</v>
      </c>
      <c r="C96">
        <f t="shared" ref="C96:BN96" si="1123">C11/$B$113</f>
        <v>0.99849191487579414</v>
      </c>
      <c r="D96">
        <f t="shared" si="1123"/>
        <v>0.99421282298603775</v>
      </c>
      <c r="E96">
        <f t="shared" si="1123"/>
        <v>0.98997529976051157</v>
      </c>
      <c r="F96">
        <f t="shared" si="1123"/>
        <v>0.98577900854151734</v>
      </c>
      <c r="G96">
        <f t="shared" si="1123"/>
        <v>0.98162361360708872</v>
      </c>
      <c r="H96">
        <f t="shared" si="1123"/>
        <v>0.97750878023072818</v>
      </c>
      <c r="I96">
        <f t="shared" si="1123"/>
        <v>0.9734341747384796</v>
      </c>
      <c r="J96">
        <f t="shared" si="1123"/>
        <v>0.96939946456342962</v>
      </c>
      <c r="K96">
        <f t="shared" si="1123"/>
        <v>0.97352666533907617</v>
      </c>
      <c r="L96">
        <f t="shared" si="1123"/>
        <v>0.97758086486879603</v>
      </c>
      <c r="M96">
        <f t="shared" si="1123"/>
        <v>0.98156329862468283</v>
      </c>
      <c r="N96">
        <f t="shared" si="1123"/>
        <v>0.98547518101411979</v>
      </c>
      <c r="O96">
        <f t="shared" si="1123"/>
        <v>0.9893177057615391</v>
      </c>
      <c r="P96">
        <f t="shared" si="1123"/>
        <v>0.99309204628234737</v>
      </c>
      <c r="Q96">
        <f t="shared" si="1123"/>
        <v>0.9967993560492111</v>
      </c>
      <c r="R96">
        <f t="shared" si="1123"/>
        <v>1.000440768950887</v>
      </c>
      <c r="S96">
        <f t="shared" si="1123"/>
        <v>1.0200995399485608</v>
      </c>
      <c r="T96">
        <f t="shared" si="1123"/>
        <v>1.0394746191955555</v>
      </c>
      <c r="U96">
        <f t="shared" si="1123"/>
        <v>1.0585701151140776</v>
      </c>
      <c r="V96">
        <f t="shared" si="1123"/>
        <v>1.0773900752623595</v>
      </c>
      <c r="W96">
        <f t="shared" si="1123"/>
        <v>1.0959384872883255</v>
      </c>
      <c r="X96">
        <f t="shared" si="1123"/>
        <v>1.1142192798665587</v>
      </c>
      <c r="Y96">
        <f t="shared" si="1123"/>
        <v>1.1322363236189128</v>
      </c>
      <c r="Z96">
        <f t="shared" si="1123"/>
        <v>1.1499934320191214</v>
      </c>
      <c r="AA96">
        <f t="shared" si="1123"/>
        <v>1.1993702104445687</v>
      </c>
      <c r="AB96">
        <f t="shared" si="1123"/>
        <v>1.2480623497789105</v>
      </c>
      <c r="AC96">
        <f t="shared" si="1123"/>
        <v>1.2960793907067827</v>
      </c>
      <c r="AD96">
        <f t="shared" si="1123"/>
        <v>1.3434307384702948</v>
      </c>
      <c r="AE96">
        <f t="shared" si="1123"/>
        <v>1.3901256648787483</v>
      </c>
      <c r="AF96">
        <f t="shared" si="1123"/>
        <v>1.4361733102856946</v>
      </c>
      <c r="AG96">
        <f t="shared" si="1123"/>
        <v>1.4815826855339542</v>
      </c>
      <c r="AH96">
        <f t="shared" si="1123"/>
        <v>1.5263626738692091</v>
      </c>
      <c r="AI96">
        <f t="shared" si="1123"/>
        <v>1.5334307895088901</v>
      </c>
      <c r="AJ96">
        <f t="shared" si="1123"/>
        <v>1.5404679601515319</v>
      </c>
      <c r="AK96">
        <f t="shared" si="1123"/>
        <v>1.5474754368091188</v>
      </c>
      <c r="AL96">
        <f t="shared" si="1123"/>
        <v>1.5544544402850959</v>
      </c>
      <c r="AM96">
        <f t="shared" si="1123"/>
        <v>1.5614061618343549</v>
      </c>
      <c r="AN96">
        <f t="shared" si="1123"/>
        <v>1.5683317638039935</v>
      </c>
      <c r="AO96">
        <f t="shared" si="1123"/>
        <v>1.575232380255545</v>
      </c>
      <c r="AP96">
        <f t="shared" si="1123"/>
        <v>1.5821091175693573</v>
      </c>
      <c r="AQ96">
        <f t="shared" si="1123"/>
        <v>1.6155933564637712</v>
      </c>
      <c r="AR96">
        <f t="shared" si="1123"/>
        <v>1.6485953120689674</v>
      </c>
      <c r="AS96">
        <f t="shared" si="1123"/>
        <v>1.6811219590466122</v>
      </c>
      <c r="AT96">
        <f t="shared" si="1123"/>
        <v>1.7131801688190804</v>
      </c>
      <c r="AU96">
        <f t="shared" si="1123"/>
        <v>1.7447767111871415</v>
      </c>
      <c r="AV96">
        <f t="shared" si="1123"/>
        <v>1.7759182559192728</v>
      </c>
      <c r="AW96">
        <f t="shared" si="1123"/>
        <v>1.8066113743131944</v>
      </c>
      <c r="AX96">
        <f t="shared" si="1123"/>
        <v>1.8368625407302168</v>
      </c>
      <c r="AY96">
        <f t="shared" si="1123"/>
        <v>1.8959730265761936</v>
      </c>
      <c r="AZ96">
        <f t="shared" si="1123"/>
        <v>1.954344631349096</v>
      </c>
      <c r="BA96">
        <f t="shared" si="1123"/>
        <v>2.0119865910623367</v>
      </c>
      <c r="BB96">
        <f t="shared" si="1123"/>
        <v>2.0689080262791624</v>
      </c>
      <c r="BC96">
        <f t="shared" si="1123"/>
        <v>2.1251179435557779</v>
      </c>
      <c r="BD96">
        <f t="shared" si="1123"/>
        <v>2.1806252368664354</v>
      </c>
      <c r="BE96">
        <f t="shared" si="1123"/>
        <v>2.2354386890107096</v>
      </c>
      <c r="BF96">
        <f t="shared" si="1123"/>
        <v>2.2895669730031805</v>
      </c>
      <c r="BG96">
        <f t="shared" si="1123"/>
        <v>2.3430186534457453</v>
      </c>
      <c r="BH96">
        <f t="shared" si="1123"/>
        <v>2.395802187882778</v>
      </c>
      <c r="BI96">
        <f t="shared" si="1123"/>
        <v>2.4479259281393477</v>
      </c>
      <c r="BJ96">
        <f t="shared" si="1123"/>
        <v>2.4993981216427108</v>
      </c>
      <c r="BK96">
        <f t="shared" si="1123"/>
        <v>2.5502269127272816</v>
      </c>
      <c r="BL96">
        <f t="shared" si="1123"/>
        <v>2.6004203439232949</v>
      </c>
      <c r="BM96">
        <f t="shared" si="1123"/>
        <v>2.6499863572293587</v>
      </c>
      <c r="BN96">
        <f t="shared" si="1123"/>
        <v>2.698932795369096</v>
      </c>
      <c r="BO96">
        <f t="shared" ref="BO96:DZ96" si="1124">BO11/$B$113</f>
        <v>2.7472674030320872</v>
      </c>
      <c r="BP96">
        <f t="shared" si="1124"/>
        <v>2.7949978280992909</v>
      </c>
      <c r="BQ96">
        <f t="shared" si="1124"/>
        <v>2.8421316228531546</v>
      </c>
      <c r="BR96">
        <f t="shared" si="1124"/>
        <v>2.8886762451725945</v>
      </c>
      <c r="BS96">
        <f t="shared" si="1124"/>
        <v>2.9346390597130418</v>
      </c>
      <c r="BT96">
        <f t="shared" si="1124"/>
        <v>2.9800273390717336</v>
      </c>
      <c r="BU96">
        <f t="shared" si="1124"/>
        <v>3.0248482649384418</v>
      </c>
      <c r="BV96">
        <f t="shared" si="1124"/>
        <v>3.0691089292318159</v>
      </c>
      <c r="BW96">
        <f t="shared" si="1124"/>
        <v>3.112816335221523</v>
      </c>
      <c r="BX96">
        <f t="shared" si="1124"/>
        <v>3.1559773986363586</v>
      </c>
      <c r="BY96">
        <f t="shared" si="1124"/>
        <v>3.1985989487585087</v>
      </c>
      <c r="BZ96">
        <f t="shared" si="1124"/>
        <v>3.2406877295041321</v>
      </c>
      <c r="CA96">
        <f t="shared" si="1124"/>
        <v>3.2822504004904354</v>
      </c>
      <c r="CB96">
        <f t="shared" si="1124"/>
        <v>3.3232935380894095</v>
      </c>
      <c r="CC96">
        <f t="shared" si="1124"/>
        <v>3.3638236364683967</v>
      </c>
      <c r="CD96">
        <f t="shared" si="1124"/>
        <v>3.4038471086176458</v>
      </c>
      <c r="CE96">
        <f t="shared" si="1124"/>
        <v>3.4433702873650303</v>
      </c>
      <c r="CF96">
        <f t="shared" si="1124"/>
        <v>3.482399426378072</v>
      </c>
      <c r="CG96">
        <f t="shared" si="1124"/>
        <v>3.5209407011534508</v>
      </c>
      <c r="CH96">
        <f t="shared" si="1124"/>
        <v>3.5590002099941374</v>
      </c>
      <c r="CI96">
        <f t="shared" si="1124"/>
        <v>3.5965839749743149</v>
      </c>
      <c r="CJ96">
        <f t="shared" si="1124"/>
        <v>3.6336685905304744</v>
      </c>
      <c r="CK96">
        <f t="shared" si="1124"/>
        <v>3.6702291532697036</v>
      </c>
      <c r="CL96">
        <f t="shared" si="1124"/>
        <v>3.7062730575261371</v>
      </c>
      <c r="CM96">
        <f t="shared" si="1124"/>
        <v>3.7418075922992551</v>
      </c>
      <c r="CN96">
        <f t="shared" si="1124"/>
        <v>3.7768399427979169</v>
      </c>
      <c r="CO96">
        <f t="shared" si="1124"/>
        <v>3.8113771919603061</v>
      </c>
      <c r="CP96">
        <f t="shared" si="1124"/>
        <v>3.8454263219502174</v>
      </c>
      <c r="CQ96">
        <f t="shared" si="1124"/>
        <v>3.8789942156300894</v>
      </c>
      <c r="CR96">
        <f t="shared" si="1124"/>
        <v>3.9120876580111954</v>
      </c>
      <c r="CS96">
        <f t="shared" si="1124"/>
        <v>3.9447133376813821</v>
      </c>
      <c r="CT96">
        <f t="shared" si="1124"/>
        <v>3.9768778482107487</v>
      </c>
      <c r="CU96">
        <f t="shared" si="1124"/>
        <v>4.008587689535644</v>
      </c>
      <c r="CV96">
        <f t="shared" si="1124"/>
        <v>4.0398492693213495</v>
      </c>
      <c r="CW96">
        <f t="shared" si="1124"/>
        <v>4.0706689043038242</v>
      </c>
      <c r="CX96">
        <f t="shared" si="1124"/>
        <v>4.1010528216108542</v>
      </c>
      <c r="CY96">
        <f t="shared" si="1124"/>
        <v>4.131007160062965</v>
      </c>
      <c r="CZ96">
        <f t="shared" si="1124"/>
        <v>4.1605379714544428</v>
      </c>
      <c r="DA96">
        <f t="shared" si="1124"/>
        <v>4.189651221814791</v>
      </c>
      <c r="DB96">
        <f t="shared" si="1124"/>
        <v>4.2183527926509576</v>
      </c>
      <c r="DC96">
        <f t="shared" si="1124"/>
        <v>4.2466484821706576</v>
      </c>
      <c r="DD96">
        <f t="shared" si="1124"/>
        <v>4.2745440064870994</v>
      </c>
      <c r="DE96">
        <f t="shared" si="1124"/>
        <v>4.3020450008054389</v>
      </c>
      <c r="DF96">
        <f t="shared" si="1124"/>
        <v>4.3291570205912473</v>
      </c>
      <c r="DG96">
        <f t="shared" si="1124"/>
        <v>4.3558855427213103</v>
      </c>
      <c r="DH96">
        <f t="shared" si="1124"/>
        <v>4.3822359666170385</v>
      </c>
      <c r="DI96">
        <f t="shared" si="1124"/>
        <v>4.4082136153607765</v>
      </c>
      <c r="DJ96">
        <f t="shared" si="1124"/>
        <v>4.4338237367953006</v>
      </c>
      <c r="DK96">
        <f t="shared" si="1124"/>
        <v>4.4590715046067722</v>
      </c>
      <c r="DL96">
        <f t="shared" si="1124"/>
        <v>4.483962019391428</v>
      </c>
      <c r="DM96">
        <f t="shared" si="1124"/>
        <v>4.5085003097062577</v>
      </c>
      <c r="DN96">
        <f t="shared" si="1124"/>
        <v>4.5326913331039442</v>
      </c>
      <c r="DO96">
        <f t="shared" si="1124"/>
        <v>4.5565399771523172</v>
      </c>
      <c r="DP96">
        <f t="shared" si="1124"/>
        <v>4.5800510604385707</v>
      </c>
      <c r="DQ96">
        <f t="shared" si="1124"/>
        <v>4.6032293335584882</v>
      </c>
      <c r="DR96">
        <f t="shared" si="1124"/>
        <v>4.6260794800909251</v>
      </c>
      <c r="DS96">
        <f t="shared" si="1124"/>
        <v>4.6486061175577786</v>
      </c>
      <c r="DT96">
        <f t="shared" si="1124"/>
        <v>4.6708137983696805</v>
      </c>
      <c r="DU96">
        <f t="shared" si="1124"/>
        <v>4.6927070107576441</v>
      </c>
      <c r="DV96">
        <f t="shared" si="1124"/>
        <v>4.714290179690888</v>
      </c>
      <c r="DW96">
        <f t="shared" si="1124"/>
        <v>4.735567667781055</v>
      </c>
      <c r="DX96">
        <f t="shared" si="1124"/>
        <v>4.756543776173042</v>
      </c>
      <c r="DY96">
        <f t="shared" si="1124"/>
        <v>4.7772227454226712</v>
      </c>
      <c r="DZ96">
        <f t="shared" si="1124"/>
        <v>4.7976087563613756</v>
      </c>
      <c r="EA96">
        <f t="shared" ref="EA96:GL96" si="1125">EA11/$B$113</f>
        <v>4.8177059309481418</v>
      </c>
      <c r="EB96">
        <f t="shared" si="1125"/>
        <v>4.8375183331088891</v>
      </c>
      <c r="EC96">
        <f t="shared" si="1125"/>
        <v>4.8570499695634837</v>
      </c>
      <c r="ED96">
        <f t="shared" si="1125"/>
        <v>4.8763047906405994</v>
      </c>
      <c r="EE96">
        <f t="shared" si="1125"/>
        <v>4.8952866910805923</v>
      </c>
      <c r="EF96">
        <f t="shared" si="1125"/>
        <v>4.9139995108265921</v>
      </c>
      <c r="EG96">
        <f t="shared" si="1125"/>
        <v>4.9324470358039942</v>
      </c>
      <c r="EH96">
        <f t="shared" si="1125"/>
        <v>4.9506329986885262</v>
      </c>
      <c r="EI96">
        <f t="shared" si="1125"/>
        <v>4.9685610796630693</v>
      </c>
      <c r="EJ96">
        <f t="shared" si="1125"/>
        <v>4.9862349071634187</v>
      </c>
      <c r="EK96">
        <f t="shared" si="1125"/>
        <v>5.0036580586131363</v>
      </c>
      <c r="EL96">
        <f t="shared" si="1125"/>
        <v>5.0208340611476823</v>
      </c>
      <c r="EM96">
        <f t="shared" si="1125"/>
        <v>5.0377663923279847</v>
      </c>
      <c r="EN96">
        <f t="shared" si="1125"/>
        <v>5.0544584808436053</v>
      </c>
      <c r="EO96">
        <f t="shared" si="1125"/>
        <v>5.0709137072056683</v>
      </c>
      <c r="EP96">
        <f t="shared" si="1125"/>
        <v>5.0871354044297101</v>
      </c>
      <c r="EQ96">
        <f t="shared" si="1125"/>
        <v>5.1031268587086025</v>
      </c>
      <c r="ER96">
        <f t="shared" si="1125"/>
        <v>5.1188913100756954</v>
      </c>
      <c r="ES96">
        <f t="shared" si="1125"/>
        <v>5.1344319530583444</v>
      </c>
      <c r="ET96">
        <f t="shared" si="1125"/>
        <v>5.1497519373219527</v>
      </c>
      <c r="EU96">
        <f t="shared" si="1125"/>
        <v>5.1648543683046864</v>
      </c>
      <c r="EV96">
        <f t="shared" si="1125"/>
        <v>5.1797423078429974</v>
      </c>
      <c r="EW96">
        <f t="shared" si="1125"/>
        <v>5.1944187747880921</v>
      </c>
      <c r="EX96">
        <f t="shared" si="1125"/>
        <v>5.2088867456134951</v>
      </c>
      <c r="EY96">
        <f t="shared" si="1125"/>
        <v>5.2231491550138269</v>
      </c>
      <c r="EZ96">
        <f t="shared" si="1125"/>
        <v>5.2372088964949421</v>
      </c>
      <c r="FA96">
        <f t="shared" si="1125"/>
        <v>5.2510688229555509</v>
      </c>
      <c r="FB96">
        <f t="shared" si="1125"/>
        <v>5.2647317472604591</v>
      </c>
      <c r="FC96">
        <f t="shared" si="1125"/>
        <v>5.2782004428055442</v>
      </c>
      <c r="FD96">
        <f t="shared" si="1125"/>
        <v>5.2914776440746003</v>
      </c>
      <c r="FE96">
        <f t="shared" si="1125"/>
        <v>5.3045660471881728</v>
      </c>
      <c r="FF96">
        <f t="shared" si="1125"/>
        <v>5.3174683104444975</v>
      </c>
      <c r="FG96">
        <f t="shared" si="1125"/>
        <v>5.3301870548526704</v>
      </c>
      <c r="FH96">
        <f t="shared" si="1125"/>
        <v>5.3427248646581589</v>
      </c>
      <c r="FI96">
        <f t="shared" si="1125"/>
        <v>5.3550842878607714</v>
      </c>
      <c r="FJ96">
        <f t="shared" si="1125"/>
        <v>5.3672678367251994</v>
      </c>
      <c r="FK96">
        <f t="shared" si="1125"/>
        <v>5.3792779882842385</v>
      </c>
      <c r="FL96">
        <f t="shared" si="1125"/>
        <v>5.3911171848348047</v>
      </c>
      <c r="FM96">
        <f t="shared" si="1125"/>
        <v>5.4027878344268441</v>
      </c>
      <c r="FN96">
        <f t="shared" si="1125"/>
        <v>5.4142923113452524</v>
      </c>
      <c r="FO96">
        <f t="shared" si="1125"/>
        <v>5.4256329565848977</v>
      </c>
      <c r="FP96">
        <f t="shared" si="1125"/>
        <v>5.4368120783188552</v>
      </c>
      <c r="FQ96">
        <f t="shared" si="1125"/>
        <v>5.4478319523599561</v>
      </c>
      <c r="FR96">
        <f t="shared" si="1125"/>
        <v>5.4586948226157386</v>
      </c>
      <c r="FS96">
        <f t="shared" si="1125"/>
        <v>5.4694029015369194</v>
      </c>
      <c r="FT96">
        <f t="shared" si="1125"/>
        <v>5.4799583705594559</v>
      </c>
      <c r="FU96">
        <f t="shared" si="1125"/>
        <v>5.4903633805403169</v>
      </c>
      <c r="FV96">
        <f t="shared" si="1125"/>
        <v>5.5006200521870348</v>
      </c>
      <c r="FW96">
        <f t="shared" si="1125"/>
        <v>5.5107304764811484</v>
      </c>
      <c r="FX96">
        <f t="shared" si="1125"/>
        <v>5.5206967150956174</v>
      </c>
      <c r="FY96">
        <f t="shared" si="1125"/>
        <v>5.5305208008062916</v>
      </c>
      <c r="FZ96">
        <f t="shared" si="1125"/>
        <v>5.540204737897537</v>
      </c>
      <c r="GA96">
        <f t="shared" si="1125"/>
        <v>5.549750502562091</v>
      </c>
      <c r="GB96">
        <f t="shared" si="1125"/>
        <v>5.5591600432952388</v>
      </c>
      <c r="GC96">
        <f t="shared" si="1125"/>
        <v>5.5684352812833904</v>
      </c>
      <c r="GD96">
        <f t="shared" si="1125"/>
        <v>5.5775781107871438</v>
      </c>
      <c r="GE96">
        <f t="shared" si="1125"/>
        <v>5.5865903995189123</v>
      </c>
      <c r="GF96">
        <f t="shared" si="1125"/>
        <v>5.5954739890151934</v>
      </c>
      <c r="GG96">
        <f t="shared" si="1125"/>
        <v>5.6042306950035661</v>
      </c>
      <c r="GH96">
        <f t="shared" si="1125"/>
        <v>5.6128623077644786</v>
      </c>
      <c r="GI96">
        <f t="shared" si="1125"/>
        <v>5.6213705924879207</v>
      </c>
      <c r="GJ96">
        <f t="shared" si="1125"/>
        <v>5.6297572896250401</v>
      </c>
      <c r="GK96">
        <f t="shared" si="1125"/>
        <v>5.6380241152347814</v>
      </c>
      <c r="GL96">
        <f t="shared" si="1125"/>
        <v>5.6461727613256238</v>
      </c>
      <c r="GM96">
        <f t="shared" ref="GM96:IV96" si="1126">GM11/$B$113</f>
        <v>5.6542048961924856</v>
      </c>
      <c r="GN96">
        <f t="shared" si="1126"/>
        <v>5.6621221647488609</v>
      </c>
      <c r="GO96">
        <f t="shared" si="1126"/>
        <v>5.6699261888542676</v>
      </c>
      <c r="GP96">
        <f t="shared" si="1126"/>
        <v>5.6776185676370661</v>
      </c>
      <c r="GQ96">
        <f t="shared" si="1126"/>
        <v>5.6852008778127212</v>
      </c>
      <c r="GR96">
        <f t="shared" si="1126"/>
        <v>5.6926746739975673</v>
      </c>
      <c r="GS96">
        <f t="shared" si="1126"/>
        <v>5.7000414890181519</v>
      </c>
      <c r="GT96">
        <f t="shared" si="1126"/>
        <v>5.7073028342162049</v>
      </c>
      <c r="GU96">
        <f t="shared" si="1126"/>
        <v>5.7144601997493174</v>
      </c>
      <c r="GV96">
        <f t="shared" si="1126"/>
        <v>5.721515054887373</v>
      </c>
      <c r="GW96">
        <f t="shared" si="1126"/>
        <v>5.7284688483048063</v>
      </c>
      <c r="GX96">
        <f t="shared" si="1126"/>
        <v>5.7353230083687405</v>
      </c>
      <c r="GY96">
        <f t="shared" si="1126"/>
        <v>5.7420789434230679</v>
      </c>
      <c r="GZ96">
        <f t="shared" si="1126"/>
        <v>5.7487380420685303</v>
      </c>
      <c r="HA96">
        <f t="shared" si="1126"/>
        <v>5.7553016734388533</v>
      </c>
      <c r="HB96">
        <f t="shared" si="1126"/>
        <v>5.7617711874729975</v>
      </c>
      <c r="HC96">
        <f t="shared" si="1126"/>
        <v>5.7681479151835831</v>
      </c>
      <c r="HD96">
        <f t="shared" si="1126"/>
        <v>5.7744331689215285</v>
      </c>
      <c r="HE96">
        <f t="shared" si="1126"/>
        <v>5.7806282426369808</v>
      </c>
      <c r="HF96">
        <f t="shared" si="1126"/>
        <v>5.7867344121365649</v>
      </c>
      <c r="HG96">
        <f t="shared" si="1126"/>
        <v>5.7927529353370293</v>
      </c>
      <c r="HH96">
        <f t="shared" si="1126"/>
        <v>5.7986850525153182</v>
      </c>
      <c r="HI96">
        <f t="shared" si="1126"/>
        <v>5.8045319865551406</v>
      </c>
      <c r="HJ96">
        <f t="shared" si="1126"/>
        <v>5.8102949431900681</v>
      </c>
      <c r="HK96">
        <f t="shared" si="1126"/>
        <v>5.8159751112432234</v>
      </c>
      <c r="HL96">
        <f t="shared" si="1126"/>
        <v>5.8215736628636057</v>
      </c>
      <c r="HM96">
        <f t="shared" si="1126"/>
        <v>5.8270917537590998</v>
      </c>
      <c r="HN96">
        <f t="shared" si="1126"/>
        <v>5.8325305234262146</v>
      </c>
      <c r="HO96">
        <f t="shared" si="1126"/>
        <v>5.8378910953765946</v>
      </c>
      <c r="HP96">
        <f t="shared" si="1126"/>
        <v>5.8431745773603696</v>
      </c>
      <c r="HQ96">
        <f t="shared" si="1126"/>
        <v>5.8483820615863538</v>
      </c>
      <c r="HR96">
        <f t="shared" si="1126"/>
        <v>5.8535146249391765</v>
      </c>
      <c r="HS96">
        <f t="shared" si="1126"/>
        <v>5.8585733291933559</v>
      </c>
      <c r="HT96">
        <f t="shared" si="1126"/>
        <v>5.8635592212243797</v>
      </c>
      <c r="HU96">
        <f t="shared" si="1126"/>
        <v>5.8684733332168317</v>
      </c>
      <c r="HV96">
        <f t="shared" si="1126"/>
        <v>5.8733166828695973</v>
      </c>
      <c r="HW96">
        <f t="shared" si="1126"/>
        <v>5.8780902735981995</v>
      </c>
      <c r="HX96">
        <f t="shared" si="1126"/>
        <v>5.8827950947343002</v>
      </c>
      <c r="HY96">
        <f t="shared" si="1126"/>
        <v>5.8874321217224104</v>
      </c>
      <c r="HZ96">
        <f t="shared" si="1126"/>
        <v>5.8920023163138477</v>
      </c>
      <c r="IA96">
        <f t="shared" si="1126"/>
        <v>5.8965066267579784</v>
      </c>
      <c r="IB96">
        <f t="shared" si="1126"/>
        <v>5.9009459879907835</v>
      </c>
      <c r="IC96">
        <f t="shared" si="1126"/>
        <v>5.9053213218207921</v>
      </c>
      <c r="ID96">
        <f t="shared" si="1126"/>
        <v>5.9096335371124082</v>
      </c>
      <c r="IE96">
        <f t="shared" si="1126"/>
        <v>5.9138835299666788</v>
      </c>
      <c r="IF96">
        <f t="shared" si="1126"/>
        <v>5.9180721838995316</v>
      </c>
      <c r="IG96">
        <f t="shared" si="1126"/>
        <v>5.9222003700175225</v>
      </c>
      <c r="IH96">
        <f t="shared" si="1126"/>
        <v>5.9262689471911267</v>
      </c>
      <c r="II96">
        <f t="shared" si="1126"/>
        <v>5.9302787622256119</v>
      </c>
      <c r="IJ96">
        <f t="shared" si="1126"/>
        <v>5.9342306500295141</v>
      </c>
      <c r="IK96">
        <f t="shared" si="1126"/>
        <v>5.9381254337807752</v>
      </c>
      <c r="IL96">
        <f t="shared" si="1126"/>
        <v>5.9419639250905414</v>
      </c>
      <c r="IM96">
        <f t="shared" si="1126"/>
        <v>5.9457469241646921</v>
      </c>
      <c r="IN96">
        <f t="shared" si="1126"/>
        <v>5.9494752199630989</v>
      </c>
      <c r="IO96">
        <f t="shared" si="1126"/>
        <v>5.9531495903566727</v>
      </c>
      <c r="IP96">
        <f t="shared" si="1126"/>
        <v>5.9567708022822075</v>
      </c>
      <c r="IQ96">
        <f t="shared" si="1126"/>
        <v>5.9603396118950691</v>
      </c>
      <c r="IR96">
        <f t="shared" si="1126"/>
        <v>5.9638567647197549</v>
      </c>
      <c r="IS96">
        <f t="shared" si="1126"/>
        <v>5.9673229957983454</v>
      </c>
      <c r="IT96">
        <f t="shared" si="1126"/>
        <v>5.9707390298368903</v>
      </c>
      <c r="IU96">
        <f t="shared" si="1126"/>
        <v>5.9741055813497486</v>
      </c>
      <c r="IV96">
        <f t="shared" si="1126"/>
        <v>5.9774233548019184</v>
      </c>
    </row>
    <row r="97" spans="1:256" x14ac:dyDescent="0.2">
      <c r="A97" t="s">
        <v>568</v>
      </c>
      <c r="B97">
        <v>0.72533958435058599</v>
      </c>
      <c r="C97">
        <f t="shared" ref="C97:BN97" si="1127">C12/$B$114</f>
        <v>0.98754008979691699</v>
      </c>
      <c r="D97">
        <f t="shared" si="1127"/>
        <v>0.97757064168177277</v>
      </c>
      <c r="E97">
        <f t="shared" si="1127"/>
        <v>0.96776378631908233</v>
      </c>
      <c r="F97">
        <f t="shared" si="1127"/>
        <v>0.95811505578621459</v>
      </c>
      <c r="G97">
        <f t="shared" si="1127"/>
        <v>0.94862021386261863</v>
      </c>
      <c r="H97">
        <f t="shared" si="1127"/>
        <v>0.93927524537714713</v>
      </c>
      <c r="I97">
        <f t="shared" si="1127"/>
        <v>0.9300763456841129</v>
      </c>
      <c r="J97">
        <f t="shared" si="1127"/>
        <v>0.92101991033431596</v>
      </c>
      <c r="K97">
        <f t="shared" si="1127"/>
        <v>0.91210252499451239</v>
      </c>
      <c r="L97">
        <f t="shared" si="1127"/>
        <v>0.9032576993292728</v>
      </c>
      <c r="M97">
        <f t="shared" si="1127"/>
        <v>0.89448339018395573</v>
      </c>
      <c r="N97">
        <f t="shared" si="1127"/>
        <v>0.88577769452615607</v>
      </c>
      <c r="O97">
        <f t="shared" si="1127"/>
        <v>0.87713884430685618</v>
      </c>
      <c r="P97">
        <f t="shared" si="1127"/>
        <v>0.86856520124798464</v>
      </c>
      <c r="Q97">
        <f t="shared" si="1127"/>
        <v>0.86005525157869889</v>
      </c>
      <c r="R97">
        <f t="shared" si="1127"/>
        <v>0.85160760074142394</v>
      </c>
      <c r="S97">
        <f t="shared" si="1127"/>
        <v>0.84322096808739277</v>
      </c>
      <c r="T97">
        <f t="shared" si="1127"/>
        <v>0.834954633212731</v>
      </c>
      <c r="U97">
        <f t="shared" si="1127"/>
        <v>0.82680532613349056</v>
      </c>
      <c r="V97">
        <f t="shared" si="1127"/>
        <v>0.81876985368883171</v>
      </c>
      <c r="W97">
        <f t="shared" si="1127"/>
        <v>0.81084509710211006</v>
      </c>
      <c r="X97">
        <f t="shared" si="1127"/>
        <v>0.80302800978304034</v>
      </c>
      <c r="Y97">
        <f t="shared" si="1127"/>
        <v>0.79531561536877171</v>
      </c>
      <c r="Z97">
        <f t="shared" si="1127"/>
        <v>0.78770500599798221</v>
      </c>
      <c r="AA97">
        <f t="shared" si="1127"/>
        <v>0.78019334080897884</v>
      </c>
      <c r="AB97">
        <f t="shared" si="1127"/>
        <v>0.77283426606623251</v>
      </c>
      <c r="AC97">
        <f t="shared" si="1127"/>
        <v>0.76562107894232068</v>
      </c>
      <c r="AD97">
        <f t="shared" si="1127"/>
        <v>0.75854731901697381</v>
      </c>
      <c r="AE97">
        <f t="shared" si="1127"/>
        <v>0.75160676851235353</v>
      </c>
      <c r="AF97">
        <f t="shared" si="1127"/>
        <v>0.74479345146016362</v>
      </c>
      <c r="AG97">
        <f t="shared" si="1127"/>
        <v>0.7381016319189172</v>
      </c>
      <c r="AH97">
        <f t="shared" si="1127"/>
        <v>0.73152581135147854</v>
      </c>
      <c r="AI97">
        <f t="shared" si="1127"/>
        <v>0.74181348865641628</v>
      </c>
      <c r="AJ97">
        <f t="shared" si="1127"/>
        <v>0.75275468770144505</v>
      </c>
      <c r="AK97">
        <f t="shared" si="1127"/>
        <v>0.76438046297861395</v>
      </c>
      <c r="AL97">
        <f t="shared" si="1127"/>
        <v>0.77672494797395419</v>
      </c>
      <c r="AM97">
        <f t="shared" si="1127"/>
        <v>0.78982566894167472</v>
      </c>
      <c r="AN97">
        <f t="shared" si="1127"/>
        <v>0.80372389807378697</v>
      </c>
      <c r="AO97">
        <f t="shared" si="1127"/>
        <v>0.81846505195010832</v>
      </c>
      <c r="AP97">
        <f t="shared" si="1127"/>
        <v>0.83317277719141547</v>
      </c>
      <c r="AQ97">
        <f t="shared" si="1127"/>
        <v>0.84769665586720622</v>
      </c>
      <c r="AR97">
        <f t="shared" si="1127"/>
        <v>0.86203898605954954</v>
      </c>
      <c r="AS97">
        <f t="shared" si="1127"/>
        <v>0.87620203712448863</v>
      </c>
      <c r="AT97">
        <f t="shared" si="1127"/>
        <v>0.89018805005111601</v>
      </c>
      <c r="AU97">
        <f t="shared" si="1127"/>
        <v>0.90399923781616054</v>
      </c>
      <c r="AV97">
        <f t="shared" si="1127"/>
        <v>0.9176377857341419</v>
      </c>
      <c r="AW97">
        <f t="shared" si="1127"/>
        <v>0.93110585180314853</v>
      </c>
      <c r="AX97">
        <f t="shared" si="1127"/>
        <v>0.94440556704629264</v>
      </c>
      <c r="AY97">
        <f t="shared" si="1127"/>
        <v>0.95042408445754067</v>
      </c>
      <c r="AZ97">
        <f t="shared" si="1127"/>
        <v>0.95726946115804823</v>
      </c>
      <c r="BA97">
        <f t="shared" si="1127"/>
        <v>0.96496245900887112</v>
      </c>
      <c r="BB97">
        <f t="shared" si="1127"/>
        <v>0.97352659333005864</v>
      </c>
      <c r="BC97">
        <f t="shared" si="1127"/>
        <v>0.98298835588942124</v>
      </c>
      <c r="BD97">
        <f t="shared" si="1127"/>
        <v>0.99337746375426206</v>
      </c>
      <c r="BE97">
        <f t="shared" si="1127"/>
        <v>1.0047271384002541</v>
      </c>
      <c r="BF97">
        <f t="shared" si="1127"/>
        <v>1.0170744201290662</v>
      </c>
      <c r="BG97">
        <f t="shared" si="1127"/>
        <v>1.0292995282681363</v>
      </c>
      <c r="BH97">
        <f t="shared" si="1127"/>
        <v>1.0413718225554678</v>
      </c>
      <c r="BI97">
        <f t="shared" si="1127"/>
        <v>1.0532932131642079</v>
      </c>
      <c r="BJ97">
        <f t="shared" si="1127"/>
        <v>1.0650655863903387</v>
      </c>
      <c r="BK97">
        <f t="shared" si="1127"/>
        <v>1.0766908049511428</v>
      </c>
      <c r="BL97">
        <f t="shared" si="1127"/>
        <v>1.088170708279937</v>
      </c>
      <c r="BM97">
        <f t="shared" si="1127"/>
        <v>1.0995071128171212</v>
      </c>
      <c r="BN97">
        <f t="shared" si="1127"/>
        <v>1.1107018122975907</v>
      </c>
      <c r="BO97">
        <f t="shared" ref="BO97:DZ97" si="1128">BO12/$B$114</f>
        <v>1.1217565780345542</v>
      </c>
      <c r="BP97">
        <f t="shared" si="1128"/>
        <v>1.1326731591998058</v>
      </c>
      <c r="BQ97">
        <f t="shared" si="1128"/>
        <v>1.1434532831004915</v>
      </c>
      <c r="BR97">
        <f t="shared" si="1128"/>
        <v>1.1540986554524189</v>
      </c>
      <c r="BS97">
        <f t="shared" si="1128"/>
        <v>1.1646109606499471</v>
      </c>
      <c r="BT97">
        <f t="shared" si="1128"/>
        <v>1.1749918620325059</v>
      </c>
      <c r="BU97">
        <f t="shared" si="1128"/>
        <v>1.1852430021477831</v>
      </c>
      <c r="BV97">
        <f t="shared" si="1128"/>
        <v>1.1953660030116193</v>
      </c>
      <c r="BW97">
        <f t="shared" si="1128"/>
        <v>1.2053624663646576</v>
      </c>
      <c r="BX97">
        <f t="shared" si="1128"/>
        <v>1.2152339739257829</v>
      </c>
      <c r="BY97">
        <f t="shared" si="1128"/>
        <v>1.224982087642394</v>
      </c>
      <c r="BZ97">
        <f t="shared" si="1128"/>
        <v>1.2346083499375475</v>
      </c>
      <c r="CA97">
        <f t="shared" si="1128"/>
        <v>1.2441142839540116</v>
      </c>
      <c r="CB97">
        <f t="shared" si="1128"/>
        <v>1.2535013937952699</v>
      </c>
      <c r="CC97">
        <f t="shared" si="1128"/>
        <v>1.2627711647635125</v>
      </c>
      <c r="CD97">
        <f t="shared" si="1128"/>
        <v>1.271925063594652</v>
      </c>
      <c r="CE97">
        <f t="shared" si="1128"/>
        <v>1.2809645386904021</v>
      </c>
      <c r="CF97">
        <f t="shared" si="1128"/>
        <v>1.2898910203474556</v>
      </c>
      <c r="CG97">
        <f t="shared" si="1128"/>
        <v>1.2987059209837957</v>
      </c>
      <c r="CH97">
        <f t="shared" si="1128"/>
        <v>1.3074106353621817</v>
      </c>
      <c r="CI97">
        <f t="shared" si="1128"/>
        <v>1.3160065408108379</v>
      </c>
      <c r="CJ97">
        <f t="shared" si="1128"/>
        <v>1.3244949974413858</v>
      </c>
      <c r="CK97">
        <f t="shared" si="1128"/>
        <v>1.3328773483640519</v>
      </c>
      <c r="CL97">
        <f t="shared" si="1128"/>
        <v>1.3411549199001846</v>
      </c>
      <c r="CM97">
        <f t="shared" si="1128"/>
        <v>1.3493290217921157</v>
      </c>
      <c r="CN97">
        <f t="shared" si="1128"/>
        <v>1.3574009474103976</v>
      </c>
      <c r="CO97">
        <f t="shared" si="1128"/>
        <v>1.3653719739584513</v>
      </c>
      <c r="CP97">
        <f t="shared" si="1128"/>
        <v>1.3732433626746541</v>
      </c>
      <c r="CQ97">
        <f t="shared" si="1128"/>
        <v>1.3810163590319042</v>
      </c>
      <c r="CR97">
        <f t="shared" si="1128"/>
        <v>1.3886921929346889</v>
      </c>
      <c r="CS97">
        <f t="shared" si="1128"/>
        <v>1.3962720789136889</v>
      </c>
      <c r="CT97">
        <f t="shared" si="1128"/>
        <v>1.403757216317951</v>
      </c>
      <c r="CU97">
        <f t="shared" si="1128"/>
        <v>1.4111487895046602</v>
      </c>
      <c r="CV97">
        <f t="shared" si="1128"/>
        <v>1.4184479680265354</v>
      </c>
      <c r="CW97">
        <f t="shared" si="1128"/>
        <v>1.425655906816887</v>
      </c>
      <c r="CX97">
        <f t="shared" si="1128"/>
        <v>1.4327737463723593</v>
      </c>
      <c r="CY97">
        <f t="shared" si="1128"/>
        <v>1.4398026129333883</v>
      </c>
      <c r="CZ97">
        <f t="shared" si="1128"/>
        <v>1.4467436186624045</v>
      </c>
      <c r="DA97">
        <f t="shared" si="1128"/>
        <v>1.4535978618198078</v>
      </c>
      <c r="DB97">
        <f t="shared" si="1128"/>
        <v>1.4603664269377437</v>
      </c>
      <c r="DC97">
        <f t="shared" si="1128"/>
        <v>1.4670503849917054</v>
      </c>
      <c r="DD97">
        <f t="shared" si="1128"/>
        <v>1.4736507935699925</v>
      </c>
      <c r="DE97">
        <f t="shared" si="1128"/>
        <v>1.480168697041051</v>
      </c>
      <c r="DF97">
        <f t="shared" si="1128"/>
        <v>1.4866051267187212</v>
      </c>
      <c r="DG97">
        <f t="shared" si="1128"/>
        <v>1.4929611010254207</v>
      </c>
      <c r="DH97">
        <f t="shared" si="1128"/>
        <v>1.4992376256532864</v>
      </c>
      <c r="DI97">
        <f t="shared" si="1128"/>
        <v>1.5054356937233038</v>
      </c>
      <c r="DJ97">
        <f t="shared" si="1128"/>
        <v>1.5115562859424458</v>
      </c>
      <c r="DK97">
        <f t="shared" si="1128"/>
        <v>1.5176003707588488</v>
      </c>
      <c r="DL97">
        <f t="shared" si="1128"/>
        <v>1.5235689045150465</v>
      </c>
      <c r="DM97">
        <f t="shared" si="1128"/>
        <v>1.529462831599292</v>
      </c>
      <c r="DN97">
        <f t="shared" si="1128"/>
        <v>1.5352830845949841</v>
      </c>
      <c r="DO97">
        <f t="shared" si="1128"/>
        <v>1.5410305844282304</v>
      </c>
      <c r="DP97">
        <f t="shared" si="1128"/>
        <v>1.546706240513561</v>
      </c>
      <c r="DQ97">
        <f t="shared" si="1128"/>
        <v>1.5523109508978248</v>
      </c>
      <c r="DR97">
        <f t="shared" si="1128"/>
        <v>1.5578456024022855</v>
      </c>
      <c r="DS97">
        <f t="shared" si="1128"/>
        <v>1.5633110707629403</v>
      </c>
      <c r="DT97">
        <f t="shared" si="1128"/>
        <v>1.568708220769087</v>
      </c>
      <c r="DU97">
        <f t="shared" si="1128"/>
        <v>1.5740379064001566</v>
      </c>
      <c r="DV97">
        <f t="shared" si="1128"/>
        <v>1.5793009709608383</v>
      </c>
      <c r="DW97">
        <f t="shared" si="1128"/>
        <v>1.5844982472145113</v>
      </c>
      <c r="DX97">
        <f t="shared" si="1128"/>
        <v>1.5896305575150131</v>
      </c>
      <c r="DY97">
        <f t="shared" si="1128"/>
        <v>1.594698713936759</v>
      </c>
      <c r="DZ97">
        <f t="shared" si="1128"/>
        <v>1.5997035184032329</v>
      </c>
      <c r="EA97">
        <f t="shared" ref="EA97:GL97" si="1129">EA12/$B$114</f>
        <v>1.6046457628138757</v>
      </c>
      <c r="EB97">
        <f t="shared" si="1129"/>
        <v>1.6095262291693857</v>
      </c>
      <c r="EC97">
        <f t="shared" si="1129"/>
        <v>1.614345689695452</v>
      </c>
      <c r="ED97">
        <f t="shared" si="1129"/>
        <v>1.6191049069649421</v>
      </c>
      <c r="EE97">
        <f t="shared" si="1129"/>
        <v>1.6238046340185637</v>
      </c>
      <c r="EF97">
        <f t="shared" si="1129"/>
        <v>1.6284456144840151</v>
      </c>
      <c r="EG97">
        <f t="shared" si="1129"/>
        <v>1.6330285826936484</v>
      </c>
      <c r="EH97">
        <f t="shared" si="1129"/>
        <v>1.637554263800661</v>
      </c>
      <c r="EI97">
        <f t="shared" si="1129"/>
        <v>1.6420233738938363</v>
      </c>
      <c r="EJ97">
        <f t="shared" si="1129"/>
        <v>1.6464366201108467</v>
      </c>
      <c r="EK97">
        <f t="shared" si="1129"/>
        <v>1.6507947007501447</v>
      </c>
      <c r="EL97">
        <f t="shared" si="1129"/>
        <v>1.6550983053814512</v>
      </c>
      <c r="EM97">
        <f t="shared" si="1129"/>
        <v>1.6593481149548666</v>
      </c>
      <c r="EN97">
        <f t="shared" si="1129"/>
        <v>1.6635448019086141</v>
      </c>
      <c r="EO97">
        <f t="shared" si="1129"/>
        <v>1.6676890302754399</v>
      </c>
      <c r="EP97">
        <f t="shared" si="1129"/>
        <v>1.6717814557876802</v>
      </c>
      <c r="EQ97">
        <f t="shared" si="1129"/>
        <v>1.6758227259810177</v>
      </c>
      <c r="ER97">
        <f t="shared" si="1129"/>
        <v>1.6798134802969384</v>
      </c>
      <c r="ES97">
        <f t="shared" si="1129"/>
        <v>1.6837543501839101</v>
      </c>
      <c r="ET97">
        <f t="shared" si="1129"/>
        <v>1.6876459591972948</v>
      </c>
      <c r="EU97">
        <f t="shared" si="1129"/>
        <v>1.6914889230980121</v>
      </c>
      <c r="EV97">
        <f t="shared" si="1129"/>
        <v>1.6952838499499705</v>
      </c>
      <c r="EW97">
        <f t="shared" si="1129"/>
        <v>1.6990313402162791</v>
      </c>
      <c r="EX97">
        <f t="shared" si="1129"/>
        <v>1.702731986854259</v>
      </c>
      <c r="EY97">
        <f t="shared" si="1129"/>
        <v>1.7063863754092643</v>
      </c>
      <c r="EZ97">
        <f t="shared" si="1129"/>
        <v>1.7099950841073319</v>
      </c>
      <c r="FA97">
        <f t="shared" si="1129"/>
        <v>1.7135586839466737</v>
      </c>
      <c r="FB97">
        <f t="shared" si="1129"/>
        <v>1.7170777387880238</v>
      </c>
      <c r="FC97">
        <f t="shared" si="1129"/>
        <v>1.7205528054438568</v>
      </c>
      <c r="FD97">
        <f t="shared" si="1129"/>
        <v>1.723984433766492</v>
      </c>
      <c r="FE97">
        <f t="shared" si="1129"/>
        <v>1.7273731667350942</v>
      </c>
      <c r="FF97">
        <f t="shared" si="1129"/>
        <v>1.7307195405415892</v>
      </c>
      <c r="FG97">
        <f t="shared" si="1129"/>
        <v>1.7340240846755028</v>
      </c>
      <c r="FH97">
        <f t="shared" si="1129"/>
        <v>1.7372873220077423</v>
      </c>
      <c r="FI97">
        <f t="shared" si="1129"/>
        <v>1.7405097688733291</v>
      </c>
      <c r="FJ97">
        <f t="shared" si="1129"/>
        <v>1.7436919351530957</v>
      </c>
      <c r="FK97">
        <f t="shared" si="1129"/>
        <v>1.7468343243543656</v>
      </c>
      <c r="FL97">
        <f t="shared" si="1129"/>
        <v>1.7499374336906193</v>
      </c>
      <c r="FM97">
        <f t="shared" si="1129"/>
        <v>1.7530017541601701</v>
      </c>
      <c r="FN97">
        <f t="shared" si="1129"/>
        <v>1.7560277706238514</v>
      </c>
      <c r="FO97">
        <f t="shared" si="1129"/>
        <v>1.7590159618817367</v>
      </c>
      <c r="FP97">
        <f t="shared" si="1129"/>
        <v>1.7619668007488984</v>
      </c>
      <c r="FQ97">
        <f t="shared" si="1129"/>
        <v>1.7648807541302207</v>
      </c>
      <c r="FR97">
        <f t="shared" si="1129"/>
        <v>1.7677582830942764</v>
      </c>
      <c r="FS97">
        <f t="shared" si="1129"/>
        <v>1.7705998429462813</v>
      </c>
      <c r="FT97">
        <f t="shared" si="1129"/>
        <v>1.7734058833001363</v>
      </c>
      <c r="FU97">
        <f t="shared" si="1129"/>
        <v>1.7761768481495679</v>
      </c>
      <c r="FV97">
        <f t="shared" si="1129"/>
        <v>1.7789131759383816</v>
      </c>
      <c r="FW97">
        <f t="shared" si="1129"/>
        <v>1.7816152996298353</v>
      </c>
      <c r="FX97">
        <f t="shared" si="1129"/>
        <v>1.7842836467751457</v>
      </c>
      <c r="FY97">
        <f t="shared" si="1129"/>
        <v>1.7869186395811398</v>
      </c>
      <c r="FZ97">
        <f t="shared" si="1129"/>
        <v>1.7895206949770588</v>
      </c>
      <c r="GA97">
        <f t="shared" si="1129"/>
        <v>1.792090224680529</v>
      </c>
      <c r="GB97">
        <f t="shared" si="1129"/>
        <v>1.794627635262706</v>
      </c>
      <c r="GC97">
        <f t="shared" si="1129"/>
        <v>1.7971333282126054</v>
      </c>
      <c r="GD97">
        <f t="shared" si="1129"/>
        <v>1.7996077000006314</v>
      </c>
      <c r="GE97">
        <f t="shared" si="1129"/>
        <v>1.8020511421413068</v>
      </c>
      <c r="GF97">
        <f t="shared" si="1129"/>
        <v>1.804464041255224</v>
      </c>
      <c r="GG97">
        <f t="shared" si="1129"/>
        <v>1.806846779130217</v>
      </c>
      <c r="GH97">
        <f t="shared" si="1129"/>
        <v>1.8091997327817726</v>
      </c>
      <c r="GI97">
        <f t="shared" si="1129"/>
        <v>1.8115232745126839</v>
      </c>
      <c r="GJ97">
        <f t="shared" si="1129"/>
        <v>1.8138177719719588</v>
      </c>
      <c r="GK97">
        <f t="shared" si="1129"/>
        <v>1.8160835882129929</v>
      </c>
      <c r="GL97">
        <f t="shared" si="1129"/>
        <v>1.8183210817510138</v>
      </c>
      <c r="GM97">
        <f t="shared" ref="GM97:IV97" si="1130">GM12/$B$114</f>
        <v>1.8205306066198097</v>
      </c>
      <c r="GN97">
        <f t="shared" si="1130"/>
        <v>1.8227125124277455</v>
      </c>
      <c r="GO97">
        <f t="shared" si="1130"/>
        <v>1.8248671444130822</v>
      </c>
      <c r="GP97">
        <f t="shared" si="1130"/>
        <v>1.8269948434986021</v>
      </c>
      <c r="GQ97">
        <f t="shared" si="1130"/>
        <v>1.8290959463455532</v>
      </c>
      <c r="GR97">
        <f t="shared" si="1130"/>
        <v>1.8311707854069172</v>
      </c>
      <c r="GS97">
        <f t="shared" si="1130"/>
        <v>1.8332196889800143</v>
      </c>
      <c r="GT97">
        <f t="shared" si="1130"/>
        <v>1.8352429812584476</v>
      </c>
      <c r="GU97">
        <f t="shared" si="1130"/>
        <v>1.8372409823834004</v>
      </c>
      <c r="GV97">
        <f t="shared" si="1130"/>
        <v>1.8392140084942914</v>
      </c>
      <c r="GW97">
        <f t="shared" si="1130"/>
        <v>1.8411623717787962</v>
      </c>
      <c r="GX97">
        <f t="shared" si="1130"/>
        <v>1.8430863805222446</v>
      </c>
      <c r="GY97">
        <f t="shared" si="1130"/>
        <v>1.8449863391564001</v>
      </c>
      <c r="GZ97">
        <f t="shared" si="1130"/>
        <v>1.8468625483076284</v>
      </c>
      <c r="HA97">
        <f t="shared" si="1130"/>
        <v>1.8487153048444667</v>
      </c>
      <c r="HB97">
        <f t="shared" si="1130"/>
        <v>1.8505449019245943</v>
      </c>
      <c r="HC97">
        <f t="shared" si="1130"/>
        <v>1.8523516290412203</v>
      </c>
      <c r="HD97">
        <f t="shared" si="1130"/>
        <v>1.8541357720688885</v>
      </c>
      <c r="HE97">
        <f t="shared" si="1130"/>
        <v>1.8558976133087108</v>
      </c>
      <c r="HF97">
        <f t="shared" si="1130"/>
        <v>1.8576374315330355</v>
      </c>
      <c r="HG97">
        <f t="shared" si="1130"/>
        <v>1.8593555020295558</v>
      </c>
      <c r="HH97">
        <f t="shared" si="1130"/>
        <v>1.8610520966448698</v>
      </c>
      <c r="HI97">
        <f t="shared" si="1130"/>
        <v>1.8627274838274923</v>
      </c>
      <c r="HJ97">
        <f t="shared" si="1130"/>
        <v>1.864381928670332</v>
      </c>
      <c r="HK97">
        <f t="shared" si="1130"/>
        <v>1.8660156929526364</v>
      </c>
      <c r="HL97">
        <f t="shared" si="1130"/>
        <v>1.8676290351814118</v>
      </c>
      <c r="HM97">
        <f t="shared" si="1130"/>
        <v>1.8692222106323277</v>
      </c>
      <c r="HN97">
        <f t="shared" si="1130"/>
        <v>1.8707954713901072</v>
      </c>
      <c r="HO97">
        <f t="shared" si="1130"/>
        <v>1.8723490663884141</v>
      </c>
      <c r="HP97">
        <f t="shared" si="1130"/>
        <v>1.8738832414492423</v>
      </c>
      <c r="HQ97">
        <f t="shared" si="1130"/>
        <v>1.8753982393218105</v>
      </c>
      <c r="HR97">
        <f t="shared" si="1130"/>
        <v>1.8768942997209712</v>
      </c>
      <c r="HS97">
        <f t="shared" si="1130"/>
        <v>1.8783716593651425</v>
      </c>
      <c r="HT97">
        <f t="shared" si="1130"/>
        <v>1.8798305520137617</v>
      </c>
      <c r="HU97">
        <f t="shared" si="1130"/>
        <v>1.8812712085042729</v>
      </c>
      <c r="HV97">
        <f t="shared" si="1130"/>
        <v>1.8826938567886529</v>
      </c>
      <c r="HW97">
        <f t="shared" si="1130"/>
        <v>1.884098721969478</v>
      </c>
      <c r="HX97">
        <f t="shared" si="1130"/>
        <v>1.8854860263355431</v>
      </c>
      <c r="HY97">
        <f t="shared" si="1130"/>
        <v>1.886855989397032</v>
      </c>
      <c r="HZ97">
        <f t="shared" si="1130"/>
        <v>1.8882088279202527</v>
      </c>
      <c r="IA97">
        <f t="shared" si="1130"/>
        <v>1.8895447559619329</v>
      </c>
      <c r="IB97">
        <f t="shared" si="1130"/>
        <v>1.8908639849030922</v>
      </c>
      <c r="IC97">
        <f t="shared" si="1130"/>
        <v>1.8921667234824868</v>
      </c>
      <c r="ID97">
        <f t="shared" si="1130"/>
        <v>1.8934531778296393</v>
      </c>
      <c r="IE97">
        <f t="shared" si="1130"/>
        <v>1.8947235514974523</v>
      </c>
      <c r="IF97">
        <f t="shared" si="1130"/>
        <v>1.8959780454944175</v>
      </c>
      <c r="IG97">
        <f t="shared" si="1130"/>
        <v>1.8972168583164208</v>
      </c>
      <c r="IH97">
        <f t="shared" si="1130"/>
        <v>1.898440185978149</v>
      </c>
      <c r="II97">
        <f t="shared" si="1130"/>
        <v>1.8996482220441055</v>
      </c>
      <c r="IJ97">
        <f t="shared" si="1130"/>
        <v>1.9008411576592377</v>
      </c>
      <c r="IK97">
        <f t="shared" si="1130"/>
        <v>1.9020191815791807</v>
      </c>
      <c r="IL97">
        <f t="shared" si="1130"/>
        <v>1.9031824802001243</v>
      </c>
      <c r="IM97">
        <f t="shared" si="1130"/>
        <v>1.9043312375883061</v>
      </c>
      <c r="IN97">
        <f t="shared" si="1130"/>
        <v>1.9054656355091357</v>
      </c>
      <c r="IO97">
        <f t="shared" si="1130"/>
        <v>1.906585853455955</v>
      </c>
      <c r="IP97">
        <f t="shared" si="1130"/>
        <v>1.9076920686784391</v>
      </c>
      <c r="IQ97">
        <f t="shared" si="1130"/>
        <v>1.908784456210642</v>
      </c>
      <c r="IR97">
        <f t="shared" si="1130"/>
        <v>1.9098631888986923</v>
      </c>
      <c r="IS97">
        <f t="shared" si="1130"/>
        <v>1.9109284374281421</v>
      </c>
      <c r="IT97">
        <f t="shared" si="1130"/>
        <v>1.9119803703509739</v>
      </c>
      <c r="IU97">
        <f t="shared" si="1130"/>
        <v>1.9130191541122701</v>
      </c>
      <c r="IV97">
        <f t="shared" si="1130"/>
        <v>1.91404495307655</v>
      </c>
    </row>
    <row r="98" spans="1:256" x14ac:dyDescent="0.2">
      <c r="A98" t="s">
        <v>569</v>
      </c>
      <c r="B98">
        <v>0.34302524566650389</v>
      </c>
      <c r="C98">
        <f t="shared" ref="C98:BN98" si="1131">C13/$B$115</f>
        <v>1.0202805767993866</v>
      </c>
      <c r="D98">
        <f t="shared" si="1131"/>
        <v>1.0477965313755269</v>
      </c>
      <c r="E98">
        <f t="shared" si="1131"/>
        <v>1.0749685365194654</v>
      </c>
      <c r="F98">
        <f t="shared" si="1131"/>
        <v>1.1018008915991049</v>
      </c>
      <c r="G98">
        <f t="shared" si="1131"/>
        <v>1.1282978422402488</v>
      </c>
      <c r="H98">
        <f t="shared" si="1131"/>
        <v>1.1544635809983783</v>
      </c>
      <c r="I98">
        <f t="shared" si="1131"/>
        <v>1.1803022480220313</v>
      </c>
      <c r="J98">
        <f t="shared" si="1131"/>
        <v>1.2058179317078888</v>
      </c>
      <c r="K98">
        <f t="shared" si="1131"/>
        <v>1.2010790912556262</v>
      </c>
      <c r="L98">
        <f t="shared" si="1131"/>
        <v>1.196212944043697</v>
      </c>
      <c r="M98">
        <f t="shared" si="1131"/>
        <v>1.1912241980493712</v>
      </c>
      <c r="N98">
        <f t="shared" si="1131"/>
        <v>1.1861174523166531</v>
      </c>
      <c r="O98">
        <f t="shared" si="1131"/>
        <v>1.1808971997766999</v>
      </c>
      <c r="P98">
        <f t="shared" si="1131"/>
        <v>1.1755678299262784</v>
      </c>
      <c r="Q98">
        <f t="shared" si="1131"/>
        <v>1.1701336313745589</v>
      </c>
      <c r="R98">
        <f t="shared" si="1131"/>
        <v>1.1645987942678149</v>
      </c>
      <c r="S98">
        <f t="shared" si="1131"/>
        <v>1.1545043609701966</v>
      </c>
      <c r="T98">
        <f t="shared" si="1131"/>
        <v>1.1444586616131447</v>
      </c>
      <c r="U98">
        <f t="shared" si="1131"/>
        <v>1.1344623896355264</v>
      </c>
      <c r="V98">
        <f t="shared" si="1131"/>
        <v>1.1245162070496744</v>
      </c>
      <c r="W98">
        <f t="shared" si="1131"/>
        <v>1.1146207455682089</v>
      </c>
      <c r="X98">
        <f t="shared" si="1131"/>
        <v>1.1047766076631513</v>
      </c>
      <c r="Y98">
        <f t="shared" si="1131"/>
        <v>1.0949843675626632</v>
      </c>
      <c r="Z98">
        <f t="shared" si="1131"/>
        <v>1.0852445721903157</v>
      </c>
      <c r="AA98">
        <f t="shared" si="1131"/>
        <v>1.0755577420514186</v>
      </c>
      <c r="AB98">
        <f t="shared" si="1131"/>
        <v>1.0659532166148249</v>
      </c>
      <c r="AC98">
        <f t="shared" si="1131"/>
        <v>1.0564304901006754</v>
      </c>
      <c r="AD98">
        <f t="shared" si="1131"/>
        <v>1.0469890474208758</v>
      </c>
      <c r="AE98">
        <f t="shared" si="1131"/>
        <v>1.0376283651540206</v>
      </c>
      <c r="AF98">
        <f t="shared" si="1131"/>
        <v>1.0283479124554178</v>
      </c>
      <c r="AG98">
        <f t="shared" si="1131"/>
        <v>1.0191471519062163</v>
      </c>
      <c r="AH98">
        <f t="shared" si="1131"/>
        <v>1.0100255403053902</v>
      </c>
      <c r="AI98">
        <f t="shared" si="1131"/>
        <v>1.0096884430921311</v>
      </c>
      <c r="AJ98">
        <f t="shared" si="1131"/>
        <v>1.0095346127937805</v>
      </c>
      <c r="AK98">
        <f t="shared" si="1131"/>
        <v>1.0095610901778787</v>
      </c>
      <c r="AL98">
        <f t="shared" si="1131"/>
        <v>1.0097650687373998</v>
      </c>
      <c r="AM98">
        <f t="shared" si="1131"/>
        <v>1.0101438917657597</v>
      </c>
      <c r="AN98">
        <f t="shared" si="1131"/>
        <v>1.0106950497161231</v>
      </c>
      <c r="AO98">
        <f t="shared" si="1131"/>
        <v>1.0114161778256674</v>
      </c>
      <c r="AP98">
        <f t="shared" si="1131"/>
        <v>1.0123050539881187</v>
      </c>
      <c r="AQ98">
        <f t="shared" si="1131"/>
        <v>1.0036475519361681</v>
      </c>
      <c r="AR98">
        <f t="shared" si="1131"/>
        <v>0.99522075585742942</v>
      </c>
      <c r="AS98">
        <f t="shared" si="1131"/>
        <v>0.98702131433359952</v>
      </c>
      <c r="AT98">
        <f t="shared" si="1131"/>
        <v>0.97904593254250771</v>
      </c>
      <c r="AU98">
        <f t="shared" si="1131"/>
        <v>0.97129137172085855</v>
      </c>
      <c r="AV98">
        <f t="shared" si="1131"/>
        <v>0.96375444875267591</v>
      </c>
      <c r="AW98">
        <f t="shared" si="1131"/>
        <v>0.95643203586620418</v>
      </c>
      <c r="AX98">
        <f t="shared" si="1131"/>
        <v>0.9493210604249015</v>
      </c>
      <c r="AY98">
        <f t="shared" si="1131"/>
        <v>0.94241850480055944</v>
      </c>
      <c r="AZ98">
        <f t="shared" si="1131"/>
        <v>0.93574268405105498</v>
      </c>
      <c r="BA98">
        <f t="shared" si="1131"/>
        <v>0.92929184820494415</v>
      </c>
      <c r="BB98">
        <f t="shared" si="1131"/>
        <v>0.92306432610800782</v>
      </c>
      <c r="BC98">
        <f t="shared" si="1131"/>
        <v>0.91705852655245823</v>
      </c>
      <c r="BD98">
        <f t="shared" si="1131"/>
        <v>0.91127293971195766</v>
      </c>
      <c r="BE98">
        <f t="shared" si="1131"/>
        <v>0.90570613885171924</v>
      </c>
      <c r="BF98">
        <f t="shared" si="1131"/>
        <v>0.9003567822900016</v>
      </c>
      <c r="BG98">
        <f t="shared" si="1131"/>
        <v>0.89522361559302199</v>
      </c>
      <c r="BH98">
        <f t="shared" si="1131"/>
        <v>0.89030547398999982</v>
      </c>
      <c r="BI98">
        <f t="shared" si="1131"/>
        <v>0.8856003817484106</v>
      </c>
      <c r="BJ98">
        <f t="shared" si="1131"/>
        <v>0.88110527288792129</v>
      </c>
      <c r="BK98">
        <f t="shared" si="1131"/>
        <v>0.8768170877269853</v>
      </c>
      <c r="BL98">
        <f t="shared" si="1131"/>
        <v>0.87273277412518535</v>
      </c>
      <c r="BM98">
        <f t="shared" si="1131"/>
        <v>0.8688492886706588</v>
      </c>
      <c r="BN98">
        <f t="shared" si="1131"/>
        <v>0.86516359781435193</v>
      </c>
      <c r="BO98">
        <f t="shared" ref="BO98:DZ98" si="1132">BO13/$B$115</f>
        <v>0.86167267895280186</v>
      </c>
      <c r="BP98">
        <f t="shared" si="1132"/>
        <v>0.85837352146109569</v>
      </c>
      <c r="BQ98">
        <f t="shared" si="1132"/>
        <v>0.85526312767761048</v>
      </c>
      <c r="BR98">
        <f t="shared" si="1132"/>
        <v>0.85233851384209169</v>
      </c>
      <c r="BS98">
        <f t="shared" si="1132"/>
        <v>0.84959671098858447</v>
      </c>
      <c r="BT98">
        <f t="shared" si="1132"/>
        <v>0.84703476579468762</v>
      </c>
      <c r="BU98">
        <f t="shared" si="1132"/>
        <v>0.84464974138856008</v>
      </c>
      <c r="BV98">
        <f t="shared" si="1132"/>
        <v>0.84243871811506799</v>
      </c>
      <c r="BW98">
        <f t="shared" si="1132"/>
        <v>0.84039879426242048</v>
      </c>
      <c r="BX98">
        <f t="shared" si="1132"/>
        <v>0.83852708675060406</v>
      </c>
      <c r="BY98">
        <f t="shared" si="1132"/>
        <v>0.83682073178288874</v>
      </c>
      <c r="BZ98">
        <f t="shared" si="1132"/>
        <v>0.83527688546164169</v>
      </c>
      <c r="CA98">
        <f t="shared" si="1132"/>
        <v>0.83389272436964712</v>
      </c>
      <c r="CB98">
        <f t="shared" si="1132"/>
        <v>0.83266544611810078</v>
      </c>
      <c r="CC98">
        <f t="shared" si="1132"/>
        <v>0.83159226986240842</v>
      </c>
      <c r="CD98">
        <f t="shared" si="1132"/>
        <v>0.83067043678688923</v>
      </c>
      <c r="CE98">
        <f t="shared" si="1132"/>
        <v>0.8298972105594512</v>
      </c>
      <c r="CF98">
        <f t="shared" si="1132"/>
        <v>0.8292698777572739</v>
      </c>
      <c r="CG98">
        <f t="shared" si="1132"/>
        <v>0.82878574826450557</v>
      </c>
      <c r="CH98">
        <f t="shared" si="1132"/>
        <v>0.82844215564295154</v>
      </c>
      <c r="CI98">
        <f t="shared" si="1132"/>
        <v>0.82823645747670205</v>
      </c>
      <c r="CJ98">
        <f t="shared" si="1132"/>
        <v>0.82816603569161706</v>
      </c>
      <c r="CK98">
        <f t="shared" si="1132"/>
        <v>0.82822829685056754</v>
      </c>
      <c r="CL98">
        <f t="shared" si="1132"/>
        <v>0.82842067242529294</v>
      </c>
      <c r="CM98">
        <f t="shared" si="1132"/>
        <v>0.82874061904572172</v>
      </c>
      <c r="CN98">
        <f t="shared" si="1132"/>
        <v>0.82918561872756924</v>
      </c>
      <c r="CO98">
        <f t="shared" si="1132"/>
        <v>0.82975317907900448</v>
      </c>
      <c r="CP98">
        <f t="shared" si="1132"/>
        <v>0.83044083348715536</v>
      </c>
      <c r="CQ98">
        <f t="shared" si="1132"/>
        <v>0.83124614128519936</v>
      </c>
      <c r="CR98">
        <f t="shared" si="1132"/>
        <v>0.83216668790075987</v>
      </c>
      <c r="CS98">
        <f t="shared" si="1132"/>
        <v>0.83320008498631393</v>
      </c>
      <c r="CT98">
        <f t="shared" si="1132"/>
        <v>0.83434397053228748</v>
      </c>
      <c r="CU98">
        <f t="shared" si="1132"/>
        <v>0.83559600896350295</v>
      </c>
      <c r="CV98">
        <f t="shared" si="1132"/>
        <v>0.83695389121961583</v>
      </c>
      <c r="CW98">
        <f t="shared" si="1132"/>
        <v>0.83841533482016306</v>
      </c>
      <c r="CX98">
        <f t="shared" si="1132"/>
        <v>0.8399780839148232</v>
      </c>
      <c r="CY98">
        <f t="shared" si="1132"/>
        <v>0.84163990931947463</v>
      </c>
      <c r="CZ98">
        <f t="shared" si="1132"/>
        <v>0.84339860853861459</v>
      </c>
      <c r="DA98">
        <f t="shared" si="1132"/>
        <v>0.84525200577468973</v>
      </c>
      <c r="DB98">
        <f t="shared" si="1132"/>
        <v>0.84719795192486813</v>
      </c>
      <c r="DC98">
        <f t="shared" si="1132"/>
        <v>0.84923432456576864</v>
      </c>
      <c r="DD98">
        <f t="shared" si="1132"/>
        <v>0.85135902792664686</v>
      </c>
      <c r="DE98">
        <f t="shared" si="1132"/>
        <v>0.85356999285151991</v>
      </c>
      <c r="DF98">
        <f t="shared" si="1132"/>
        <v>0.85586517675070117</v>
      </c>
      <c r="DG98">
        <f t="shared" si="1132"/>
        <v>0.85824256354219608</v>
      </c>
      <c r="DH98">
        <f t="shared" si="1132"/>
        <v>0.86070016358340062</v>
      </c>
      <c r="DI98">
        <f t="shared" si="1132"/>
        <v>0.8632360135935272</v>
      </c>
      <c r="DJ98">
        <f t="shared" si="1132"/>
        <v>0.86584817656717161</v>
      </c>
      <c r="DK98">
        <f t="shared" si="1132"/>
        <v>0.86853474167941791</v>
      </c>
      <c r="DL98">
        <f t="shared" si="1132"/>
        <v>0.87129382418287082</v>
      </c>
      <c r="DM98">
        <f t="shared" si="1132"/>
        <v>0.87412356529698743</v>
      </c>
      <c r="DN98">
        <f t="shared" si="1132"/>
        <v>0.87702213209007163</v>
      </c>
      <c r="DO98">
        <f t="shared" si="1132"/>
        <v>0.87998771735428161</v>
      </c>
      <c r="DP98">
        <f t="shared" si="1132"/>
        <v>0.88301853947398956</v>
      </c>
      <c r="DQ98">
        <f t="shared" si="1132"/>
        <v>0.88611284228782072</v>
      </c>
      <c r="DR98">
        <f t="shared" si="1132"/>
        <v>0.88926889494469197</v>
      </c>
      <c r="DS98">
        <f t="shared" si="1132"/>
        <v>0.8924849917541533</v>
      </c>
      <c r="DT98">
        <f t="shared" si="1132"/>
        <v>0.89575945203133334</v>
      </c>
      <c r="DU98">
        <f t="shared" si="1132"/>
        <v>0.8990906199367712</v>
      </c>
      <c r="DV98">
        <f t="shared" si="1132"/>
        <v>0.90247686431141749</v>
      </c>
      <c r="DW98">
        <f t="shared" si="1132"/>
        <v>0.90591657850706875</v>
      </c>
      <c r="DX98">
        <f t="shared" si="1132"/>
        <v>0.90940818021249625</v>
      </c>
      <c r="DY98">
        <f t="shared" si="1132"/>
        <v>0.91295011127552039</v>
      </c>
      <c r="DZ98">
        <f t="shared" si="1132"/>
        <v>0.9165408375212718</v>
      </c>
      <c r="EA98">
        <f t="shared" ref="EA98:GL98" si="1133">EA13/$B$115</f>
        <v>0.92017884856687293</v>
      </c>
      <c r="EB98">
        <f t="shared" si="1133"/>
        <v>0.92386265763276765</v>
      </c>
      <c r="EC98">
        <f t="shared" si="1133"/>
        <v>0.92759080135091398</v>
      </c>
      <c r="ED98">
        <f t="shared" si="1133"/>
        <v>0.93136183957005425</v>
      </c>
      <c r="EE98">
        <f t="shared" si="1133"/>
        <v>0.93517435515826264</v>
      </c>
      <c r="EF98">
        <f t="shared" si="1133"/>
        <v>0.93902695380296819</v>
      </c>
      <c r="EG98">
        <f t="shared" si="1133"/>
        <v>0.94291826380864208</v>
      </c>
      <c r="EH98">
        <f t="shared" si="1133"/>
        <v>0.94684693589233093</v>
      </c>
      <c r="EI98">
        <f t="shared" si="1133"/>
        <v>0.9508116429772131</v>
      </c>
      <c r="EJ98">
        <f t="shared" si="1133"/>
        <v>0.95481107998434755</v>
      </c>
      <c r="EK98">
        <f t="shared" si="1133"/>
        <v>0.95884396362277813</v>
      </c>
      <c r="EL98">
        <f t="shared" si="1133"/>
        <v>0.96290903217815205</v>
      </c>
      <c r="EM98">
        <f t="shared" si="1133"/>
        <v>0.96700504530000297</v>
      </c>
      <c r="EN98">
        <f t="shared" si="1133"/>
        <v>0.97113078378784645</v>
      </c>
      <c r="EO98">
        <f t="shared" si="1133"/>
        <v>0.97528504937622784</v>
      </c>
      <c r="EP98">
        <f t="shared" si="1133"/>
        <v>0.97946666451885778</v>
      </c>
      <c r="EQ98">
        <f t="shared" si="1133"/>
        <v>0.98367447217196635</v>
      </c>
      <c r="ER98">
        <f t="shared" si="1133"/>
        <v>0.98790733557700172</v>
      </c>
      <c r="ES98">
        <f t="shared" si="1133"/>
        <v>0.9921641380427928</v>
      </c>
      <c r="ET98">
        <f t="shared" si="1133"/>
        <v>0.99644378272729273</v>
      </c>
      <c r="EU98">
        <f t="shared" si="1133"/>
        <v>1.0007451924190152</v>
      </c>
      <c r="EV98">
        <f t="shared" si="1133"/>
        <v>1.0050673093182692</v>
      </c>
      <c r="EW98">
        <f t="shared" si="1133"/>
        <v>1.0094090948182957</v>
      </c>
      <c r="EX98">
        <f t="shared" si="1133"/>
        <v>1.0137695292864071</v>
      </c>
      <c r="EY98">
        <f t="shared" si="1133"/>
        <v>1.0181476118452191</v>
      </c>
      <c r="EZ98">
        <f t="shared" si="1133"/>
        <v>1.022542360154072</v>
      </c>
      <c r="FA98">
        <f t="shared" si="1133"/>
        <v>1.0269528101907248</v>
      </c>
      <c r="FB98">
        <f t="shared" si="1133"/>
        <v>1.0313780160334041</v>
      </c>
      <c r="FC98">
        <f t="shared" si="1133"/>
        <v>1.0358170496432939</v>
      </c>
      <c r="FD98">
        <f t="shared" si="1133"/>
        <v>1.0402690006475357</v>
      </c>
      <c r="FE98">
        <f t="shared" si="1133"/>
        <v>1.0447329761228163</v>
      </c>
      <c r="FF98">
        <f t="shared" si="1133"/>
        <v>1.0492081003796134</v>
      </c>
      <c r="FG98">
        <f t="shared" si="1133"/>
        <v>1.0536935147471631</v>
      </c>
      <c r="FH98">
        <f t="shared" si="1133"/>
        <v>1.0581883773592167</v>
      </c>
      <c r="FI98">
        <f t="shared" si="1133"/>
        <v>1.0626918629406445</v>
      </c>
      <c r="FJ98">
        <f t="shared" si="1133"/>
        <v>1.0672031625949481</v>
      </c>
      <c r="FK98">
        <f t="shared" si="1133"/>
        <v>1.0717214835927329</v>
      </c>
      <c r="FL98">
        <f t="shared" si="1133"/>
        <v>1.0762460491611974</v>
      </c>
      <c r="FM98">
        <f t="shared" si="1133"/>
        <v>1.0807760982746863</v>
      </c>
      <c r="FN98">
        <f t="shared" si="1133"/>
        <v>1.0853108854463591</v>
      </c>
      <c r="FO98">
        <f t="shared" si="1133"/>
        <v>1.0898496805210132</v>
      </c>
      <c r="FP98">
        <f t="shared" si="1133"/>
        <v>1.0943917684691127</v>
      </c>
      <c r="FQ98">
        <f t="shared" si="1133"/>
        <v>1.0989364491820566</v>
      </c>
      <c r="FR98">
        <f t="shared" si="1133"/>
        <v>1.1034830372687301</v>
      </c>
      <c r="FS98">
        <f t="shared" si="1133"/>
        <v>1.1080308618533712</v>
      </c>
      <c r="FT98">
        <f t="shared" si="1133"/>
        <v>1.1125792663747924</v>
      </c>
      <c r="FU98">
        <f t="shared" si="1133"/>
        <v>1.1171276083869845</v>
      </c>
      <c r="FV98">
        <f t="shared" si="1133"/>
        <v>1.1216752593611377</v>
      </c>
      <c r="FW98">
        <f t="shared" si="1133"/>
        <v>1.1262216044891056</v>
      </c>
      <c r="FX98">
        <f t="shared" si="1133"/>
        <v>1.1307660424883426</v>
      </c>
      <c r="FY98">
        <f t="shared" si="1133"/>
        <v>1.1353079854083359</v>
      </c>
      <c r="FZ98">
        <f t="shared" si="1133"/>
        <v>1.1398468584385602</v>
      </c>
      <c r="GA98">
        <f t="shared" si="1133"/>
        <v>1.1443820997179734</v>
      </c>
      <c r="GB98">
        <f t="shared" si="1133"/>
        <v>1.1489131601460774</v>
      </c>
      <c r="GC98">
        <f t="shared" si="1133"/>
        <v>1.1534395031955602</v>
      </c>
      <c r="GD98">
        <f t="shared" si="1133"/>
        <v>1.1579606047265392</v>
      </c>
      <c r="GE98">
        <f t="shared" si="1133"/>
        <v>1.1624759528024204</v>
      </c>
      <c r="GF98">
        <f t="shared" si="1133"/>
        <v>1.1669850475073906</v>
      </c>
      <c r="GG98">
        <f t="shared" si="1133"/>
        <v>1.1714874007655525</v>
      </c>
      <c r="GH98">
        <f t="shared" si="1133"/>
        <v>1.1759825361617207</v>
      </c>
      <c r="GI98">
        <f t="shared" si="1133"/>
        <v>1.1804699887638845</v>
      </c>
      <c r="GJ98">
        <f t="shared" si="1133"/>
        <v>1.1849493049473521</v>
      </c>
      <c r="GK98">
        <f t="shared" si="1133"/>
        <v>1.1894200422205803</v>
      </c>
      <c r="GL98">
        <f t="shared" si="1133"/>
        <v>1.1938817690527037</v>
      </c>
      <c r="GM98">
        <f t="shared" ref="GM98:IV98" si="1134">GM13/$B$115</f>
        <v>1.1983340647027649</v>
      </c>
      <c r="GN98">
        <f t="shared" si="1134"/>
        <v>1.2027765190506556</v>
      </c>
      <c r="GO98">
        <f t="shared" si="1134"/>
        <v>1.20720873242977</v>
      </c>
      <c r="GP98">
        <f t="shared" si="1134"/>
        <v>1.2116303154613781</v>
      </c>
      <c r="GQ98">
        <f t="shared" si="1134"/>
        <v>1.2160408888907208</v>
      </c>
      <c r="GR98">
        <f t="shared" si="1134"/>
        <v>1.2204400834248266</v>
      </c>
      <c r="GS98">
        <f t="shared" si="1134"/>
        <v>1.2248275395720567</v>
      </c>
      <c r="GT98">
        <f t="shared" si="1134"/>
        <v>1.2292029074833739</v>
      </c>
      <c r="GU98">
        <f t="shared" si="1134"/>
        <v>1.2335658467953394</v>
      </c>
      <c r="GV98">
        <f t="shared" si="1134"/>
        <v>1.2379160264748346</v>
      </c>
      <c r="GW98">
        <f t="shared" si="1134"/>
        <v>1.2422531246655055</v>
      </c>
      <c r="GX98">
        <f t="shared" si="1134"/>
        <v>1.2465768285359331</v>
      </c>
      <c r="GY98">
        <f t="shared" si="1134"/>
        <v>1.2508868341295178</v>
      </c>
      <c r="GZ98">
        <f t="shared" si="1134"/>
        <v>1.2551828462160852</v>
      </c>
      <c r="HA98">
        <f t="shared" si="1134"/>
        <v>1.2594645781452007</v>
      </c>
      <c r="HB98">
        <f t="shared" si="1134"/>
        <v>1.2637317517011923</v>
      </c>
      <c r="HC98">
        <f t="shared" si="1134"/>
        <v>1.2679840969598781</v>
      </c>
      <c r="HD98">
        <f t="shared" si="1134"/>
        <v>1.2722213521469887</v>
      </c>
      <c r="HE98">
        <f t="shared" si="1134"/>
        <v>1.2764432634982825</v>
      </c>
      <c r="HF98">
        <f t="shared" si="1134"/>
        <v>1.280649585121346</v>
      </c>
      <c r="HG98">
        <f t="shared" si="1134"/>
        <v>1.2848400788590704</v>
      </c>
      <c r="HH98">
        <f t="shared" si="1134"/>
        <v>1.2890145141548013</v>
      </c>
      <c r="HI98">
        <f t="shared" si="1134"/>
        <v>1.29317266791915</v>
      </c>
      <c r="HJ98">
        <f t="shared" si="1134"/>
        <v>1.2973143243984593</v>
      </c>
      <c r="HK98">
        <f t="shared" si="1134"/>
        <v>1.3014392750449175</v>
      </c>
      <c r="HL98">
        <f t="shared" si="1134"/>
        <v>1.3055473183883086</v>
      </c>
      <c r="HM98">
        <f t="shared" si="1134"/>
        <v>1.3096382599093912</v>
      </c>
      <c r="HN98">
        <f t="shared" si="1134"/>
        <v>1.3137119119148974</v>
      </c>
      <c r="HO98">
        <f t="shared" si="1134"/>
        <v>1.3177680934141396</v>
      </c>
      <c r="HP98">
        <f t="shared" si="1134"/>
        <v>1.321806629997218</v>
      </c>
      <c r="HQ98">
        <f t="shared" si="1134"/>
        <v>1.3258273537148166</v>
      </c>
      <c r="HR98">
        <f t="shared" si="1134"/>
        <v>1.3298301029595774</v>
      </c>
      <c r="HS98">
        <f t="shared" si="1134"/>
        <v>1.3338147223490415</v>
      </c>
      <c r="HT98">
        <f t="shared" si="1134"/>
        <v>1.3377810626101496</v>
      </c>
      <c r="HU98">
        <f t="shared" si="1134"/>
        <v>1.3417289804652848</v>
      </c>
      <c r="HV98">
        <f t="shared" si="1134"/>
        <v>1.3456583385198517</v>
      </c>
      <c r="HW98">
        <f t="shared" si="1134"/>
        <v>1.3495690051513769</v>
      </c>
      <c r="HX98">
        <f t="shared" si="1134"/>
        <v>1.3534608544001192</v>
      </c>
      <c r="HY98">
        <f t="shared" si="1134"/>
        <v>1.3573337658611822</v>
      </c>
      <c r="HZ98">
        <f t="shared" si="1134"/>
        <v>1.3611876245781085</v>
      </c>
      <c r="IA98">
        <f t="shared" si="1134"/>
        <v>1.3650223209379533</v>
      </c>
      <c r="IB98">
        <f t="shared" si="1134"/>
        <v>1.3688377505678155</v>
      </c>
      <c r="IC98">
        <f t="shared" si="1134"/>
        <v>1.3726338142328234</v>
      </c>
      <c r="ID98">
        <f t="shared" si="1134"/>
        <v>1.3764104177355521</v>
      </c>
      <c r="IE98">
        <f t="shared" si="1134"/>
        <v>1.3801674718168706</v>
      </c>
      <c r="IF98">
        <f t="shared" si="1134"/>
        <v>1.3839048920581962</v>
      </c>
      <c r="IG98">
        <f t="shared" si="1134"/>
        <v>1.3876225987851503</v>
      </c>
      <c r="IH98">
        <f t="shared" si="1134"/>
        <v>1.3913205169725995</v>
      </c>
      <c r="II98">
        <f t="shared" si="1134"/>
        <v>1.3949985761510699</v>
      </c>
      <c r="IJ98">
        <f t="shared" si="1134"/>
        <v>1.3986567103145195</v>
      </c>
      <c r="IK98">
        <f t="shared" si="1134"/>
        <v>1.4022948578294601</v>
      </c>
      <c r="IL98">
        <f t="shared" si="1134"/>
        <v>1.4059129613454115</v>
      </c>
      <c r="IM98">
        <f t="shared" si="1134"/>
        <v>1.4095109677066757</v>
      </c>
      <c r="IN98">
        <f t="shared" si="1134"/>
        <v>1.4130888278654201</v>
      </c>
      <c r="IO98">
        <f t="shared" si="1134"/>
        <v>1.416646496796053</v>
      </c>
      <c r="IP98">
        <f t="shared" si="1134"/>
        <v>1.420183933410881</v>
      </c>
      <c r="IQ98">
        <f t="shared" si="1134"/>
        <v>1.4237011004770352</v>
      </c>
      <c r="IR98">
        <f t="shared" si="1134"/>
        <v>1.4271979645346484</v>
      </c>
      <c r="IS98">
        <f t="shared" si="1134"/>
        <v>1.430674495816278</v>
      </c>
      <c r="IT98">
        <f t="shared" si="1134"/>
        <v>1.4341306681675534</v>
      </c>
      <c r="IU98">
        <f t="shared" si="1134"/>
        <v>1.4375664589690393</v>
      </c>
      <c r="IV98">
        <f t="shared" si="1134"/>
        <v>1.4409818490593016</v>
      </c>
    </row>
    <row r="99" spans="1:256" x14ac:dyDescent="0.2">
      <c r="A99" t="s">
        <v>570</v>
      </c>
      <c r="B99">
        <v>0.81556205749511723</v>
      </c>
      <c r="C99">
        <f t="shared" ref="C99:BN99" si="1135">C14/$B$116</f>
        <v>1.0038931965832834</v>
      </c>
      <c r="D99">
        <f t="shared" si="1135"/>
        <v>1.0042958964564965</v>
      </c>
      <c r="E99">
        <f t="shared" si="1135"/>
        <v>1.0043652507366325</v>
      </c>
      <c r="F99">
        <f t="shared" si="1135"/>
        <v>1.0041279291423066</v>
      </c>
      <c r="G99">
        <f t="shared" si="1135"/>
        <v>1.0036079829460307</v>
      </c>
      <c r="H99">
        <f t="shared" si="1135"/>
        <v>1.002827151203431</v>
      </c>
      <c r="I99">
        <f t="shared" si="1135"/>
        <v>1.0018051236024672</v>
      </c>
      <c r="J99">
        <f t="shared" si="1135"/>
        <v>1.0005597671581041</v>
      </c>
      <c r="K99">
        <f t="shared" si="1135"/>
        <v>1.0044459666519112</v>
      </c>
      <c r="L99">
        <f t="shared" si="1135"/>
        <v>1.0082835886520454</v>
      </c>
      <c r="M99">
        <f t="shared" si="1135"/>
        <v>1.0120732403771782</v>
      </c>
      <c r="N99">
        <f t="shared" si="1135"/>
        <v>1.0158155214557465</v>
      </c>
      <c r="O99">
        <f t="shared" si="1135"/>
        <v>1.0195110240208329</v>
      </c>
      <c r="P99">
        <f t="shared" si="1135"/>
        <v>1.0231603328038559</v>
      </c>
      <c r="Q99">
        <f t="shared" si="1135"/>
        <v>1.0267640252270909</v>
      </c>
      <c r="R99">
        <f t="shared" si="1135"/>
        <v>1.0303226714950355</v>
      </c>
      <c r="S99">
        <f t="shared" si="1135"/>
        <v>1.0338368346846307</v>
      </c>
      <c r="T99">
        <f t="shared" si="1135"/>
        <v>1.0373070708343559</v>
      </c>
      <c r="U99">
        <f t="shared" si="1135"/>
        <v>1.0407339290322097</v>
      </c>
      <c r="V99">
        <f t="shared" si="1135"/>
        <v>1.0441179515025905</v>
      </c>
      <c r="W99">
        <f t="shared" si="1135"/>
        <v>1.0474596736920911</v>
      </c>
      <c r="X99">
        <f t="shared" si="1135"/>
        <v>1.0507596243542234</v>
      </c>
      <c r="Y99">
        <f t="shared" si="1135"/>
        <v>1.0540183256330788</v>
      </c>
      <c r="Z99">
        <f t="shared" si="1135"/>
        <v>1.0572362931459485</v>
      </c>
      <c r="AA99">
        <f t="shared" si="1135"/>
        <v>1.0604140360649073</v>
      </c>
      <c r="AB99">
        <f t="shared" si="1135"/>
        <v>1.0635520571973791</v>
      </c>
      <c r="AC99">
        <f t="shared" si="1135"/>
        <v>1.0666508530656953</v>
      </c>
      <c r="AD99">
        <f t="shared" si="1135"/>
        <v>1.0697109139856573</v>
      </c>
      <c r="AE99">
        <f t="shared" si="1135"/>
        <v>1.0727327241441198</v>
      </c>
      <c r="AF99">
        <f t="shared" si="1135"/>
        <v>1.0757167616756016</v>
      </c>
      <c r="AG99">
        <f t="shared" si="1135"/>
        <v>1.0786634987379398</v>
      </c>
      <c r="AH99">
        <f t="shared" si="1135"/>
        <v>1.0815734015869989</v>
      </c>
      <c r="AI99">
        <f t="shared" si="1135"/>
        <v>1.0780339757563224</v>
      </c>
      <c r="AJ99">
        <f t="shared" si="1135"/>
        <v>1.0742350516490358</v>
      </c>
      <c r="AK99">
        <f t="shared" si="1135"/>
        <v>1.0701916500319779</v>
      </c>
      <c r="AL99">
        <f t="shared" si="1135"/>
        <v>1.0659178981336324</v>
      </c>
      <c r="AM99">
        <f t="shared" si="1135"/>
        <v>1.0614270927320739</v>
      </c>
      <c r="AN99">
        <f t="shared" si="1135"/>
        <v>1.0567317579653648</v>
      </c>
      <c r="AO99">
        <f t="shared" si="1135"/>
        <v>1.0518436983726671</v>
      </c>
      <c r="AP99">
        <f t="shared" si="1135"/>
        <v>1.0467740476192207</v>
      </c>
      <c r="AQ99">
        <f t="shared" si="1135"/>
        <v>1.0493772545955602</v>
      </c>
      <c r="AR99">
        <f t="shared" si="1135"/>
        <v>1.0517215775239346</v>
      </c>
      <c r="AS99">
        <f t="shared" si="1135"/>
        <v>1.0538228602201734</v>
      </c>
      <c r="AT99">
        <f t="shared" si="1135"/>
        <v>1.0556954782932382</v>
      </c>
      <c r="AU99">
        <f t="shared" si="1135"/>
        <v>1.057352475619217</v>
      </c>
      <c r="AV99">
        <f t="shared" si="1135"/>
        <v>1.0588056843983717</v>
      </c>
      <c r="AW99">
        <f t="shared" si="1135"/>
        <v>1.0600658311879883</v>
      </c>
      <c r="AX99">
        <f t="shared" si="1135"/>
        <v>1.061142630915682</v>
      </c>
      <c r="AY99">
        <f t="shared" si="1135"/>
        <v>1.0612649398283776</v>
      </c>
      <c r="AZ99">
        <f t="shared" si="1135"/>
        <v>1.0609759345300431</v>
      </c>
      <c r="BA99">
        <f t="shared" si="1135"/>
        <v>1.0602986639497147</v>
      </c>
      <c r="BB99">
        <f t="shared" si="1135"/>
        <v>1.0592536523120146</v>
      </c>
      <c r="BC99">
        <f t="shared" si="1135"/>
        <v>1.0578592585218483</v>
      </c>
      <c r="BD99">
        <f t="shared" si="1135"/>
        <v>1.0561319791058108</v>
      </c>
      <c r="BE99">
        <f t="shared" si="1135"/>
        <v>1.0540867050416434</v>
      </c>
      <c r="BF99">
        <f t="shared" si="1135"/>
        <v>1.051736940636014</v>
      </c>
      <c r="BG99">
        <f t="shared" si="1135"/>
        <v>1.0490949909498475</v>
      </c>
      <c r="BH99">
        <f t="shared" si="1135"/>
        <v>1.046172122988527</v>
      </c>
      <c r="BI99">
        <f t="shared" si="1135"/>
        <v>1.0429787048768651</v>
      </c>
      <c r="BJ99">
        <f t="shared" si="1135"/>
        <v>1.0395243575054349</v>
      </c>
      <c r="BK99">
        <f t="shared" si="1135"/>
        <v>1.0358206108659216</v>
      </c>
      <c r="BL99">
        <f t="shared" si="1135"/>
        <v>1.0318804437229916</v>
      </c>
      <c r="BM99">
        <f t="shared" si="1135"/>
        <v>1.02771597285869</v>
      </c>
      <c r="BN99">
        <f t="shared" si="1135"/>
        <v>1.0233385576378824</v>
      </c>
      <c r="BO99">
        <f t="shared" ref="BO99:DZ99" si="1136">BO14/$B$116</f>
        <v>1.0187588849568205</v>
      </c>
      <c r="BP99">
        <f t="shared" si="1136"/>
        <v>1.0139870434353291</v>
      </c>
      <c r="BQ99">
        <f t="shared" si="1136"/>
        <v>1.0090325882275488</v>
      </c>
      <c r="BR99">
        <f t="shared" si="1136"/>
        <v>1.0039045976262373</v>
      </c>
      <c r="BS99">
        <f t="shared" si="1136"/>
        <v>0.99861172247077856</v>
      </c>
      <c r="BT99">
        <f t="shared" si="1136"/>
        <v>0.99316222923235908</v>
      </c>
      <c r="BU99">
        <f t="shared" si="1136"/>
        <v>0.98756403753573008</v>
      </c>
      <c r="BV99">
        <f t="shared" si="1136"/>
        <v>0.98182475278125581</v>
      </c>
      <c r="BW99">
        <f t="shared" si="1136"/>
        <v>0.97595169445006014</v>
      </c>
      <c r="BX99">
        <f t="shared" si="1136"/>
        <v>0.96995254210658877</v>
      </c>
      <c r="BY99">
        <f t="shared" si="1136"/>
        <v>0.96383542387507859</v>
      </c>
      <c r="BZ99">
        <f t="shared" si="1136"/>
        <v>0.95760808084849147</v>
      </c>
      <c r="CA99">
        <f t="shared" si="1136"/>
        <v>0.95127789579805455</v>
      </c>
      <c r="CB99">
        <f t="shared" si="1136"/>
        <v>0.94485191869037821</v>
      </c>
      <c r="CC99">
        <f t="shared" si="1136"/>
        <v>0.93833688938717941</v>
      </c>
      <c r="CD99">
        <f t="shared" si="1136"/>
        <v>0.93173925785960743</v>
      </c>
      <c r="CE99">
        <f t="shared" si="1136"/>
        <v>0.92506520221145327</v>
      </c>
      <c r="CF99">
        <f t="shared" si="1136"/>
        <v>0.91832064477231024</v>
      </c>
      <c r="CG99">
        <f t="shared" si="1136"/>
        <v>0.9115112664924111</v>
      </c>
      <c r="CH99">
        <f t="shared" si="1136"/>
        <v>0.90464251984483679</v>
      </c>
      <c r="CI99">
        <f t="shared" si="1136"/>
        <v>0.89771964041764762</v>
      </c>
      <c r="CJ99">
        <f t="shared" si="1136"/>
        <v>0.89075044921188484</v>
      </c>
      <c r="CK99">
        <f t="shared" si="1136"/>
        <v>0.88374221111591611</v>
      </c>
      <c r="CL99">
        <f t="shared" si="1136"/>
        <v>0.87670167892539863</v>
      </c>
      <c r="CM99">
        <f t="shared" si="1136"/>
        <v>0.86963509932473271</v>
      </c>
      <c r="CN99">
        <f t="shared" si="1136"/>
        <v>0.86254825472159036</v>
      </c>
      <c r="CO99">
        <f t="shared" si="1136"/>
        <v>0.85544650102247044</v>
      </c>
      <c r="CP99">
        <f t="shared" si="1136"/>
        <v>0.84833480180302101</v>
      </c>
      <c r="CQ99">
        <f t="shared" si="1136"/>
        <v>0.84121775926964815</v>
      </c>
      <c r="CR99">
        <f t="shared" si="1136"/>
        <v>0.83409964235972744</v>
      </c>
      <c r="CS99">
        <f t="shared" si="1136"/>
        <v>0.82698441228530595</v>
      </c>
      <c r="CT99">
        <f t="shared" si="1136"/>
        <v>0.81987574578851585</v>
      </c>
      <c r="CU99">
        <f t="shared" si="1136"/>
        <v>0.81277705634515196</v>
      </c>
      <c r="CV99">
        <f t="shared" si="1136"/>
        <v>0.80569151352527779</v>
      </c>
      <c r="CW99">
        <f t="shared" si="1136"/>
        <v>0.79862206069571329</v>
      </c>
      <c r="CX99">
        <f t="shared" si="1136"/>
        <v>0.79157143122831997</v>
      </c>
      <c r="CY99">
        <f t="shared" si="1136"/>
        <v>0.78454216335968863</v>
      </c>
      <c r="CZ99">
        <f t="shared" si="1136"/>
        <v>0.7775366138318095</v>
      </c>
      <c r="DA99">
        <f t="shared" si="1136"/>
        <v>0.77055697042922966</v>
      </c>
      <c r="DB99">
        <f t="shared" si="1136"/>
        <v>0.76360526351583824</v>
      </c>
      <c r="DC99">
        <f t="shared" si="1136"/>
        <v>0.75668337666351848</v>
      </c>
      <c r="DD99">
        <f t="shared" si="1136"/>
        <v>0.74979305645529093</v>
      </c>
      <c r="DE99">
        <f t="shared" si="1136"/>
        <v>0.74293592153707266</v>
      </c>
      <c r="DF99">
        <f t="shared" si="1136"/>
        <v>0.73611347098464441</v>
      </c>
      <c r="DG99">
        <f t="shared" si="1136"/>
        <v>0.72932709204574431</v>
      </c>
      <c r="DH99">
        <f t="shared" si="1136"/>
        <v>0.72257806731127094</v>
      </c>
      <c r="DI99">
        <f t="shared" si="1136"/>
        <v>0.71586758136429884</v>
      </c>
      <c r="DJ99">
        <f t="shared" si="1136"/>
        <v>0.70919672695090741</v>
      </c>
      <c r="DK99">
        <f t="shared" si="1136"/>
        <v>0.70256651071261833</v>
      </c>
      <c r="DL99">
        <f t="shared" si="1136"/>
        <v>0.69597785851649163</v>
      </c>
      <c r="DM99">
        <f t="shared" si="1136"/>
        <v>0.6894316204155615</v>
      </c>
      <c r="DN99">
        <f t="shared" si="1136"/>
        <v>0.68292857526928963</v>
      </c>
      <c r="DO99">
        <f t="shared" si="1136"/>
        <v>0.67646943505100399</v>
      </c>
      <c r="DP99">
        <f t="shared" si="1136"/>
        <v>0.67005484886686872</v>
      </c>
      <c r="DQ99">
        <f t="shared" si="1136"/>
        <v>0.6636854067087391</v>
      </c>
      <c r="DR99">
        <f t="shared" si="1136"/>
        <v>0.6573616429612924</v>
      </c>
      <c r="DS99">
        <f t="shared" si="1136"/>
        <v>0.65108403968204531</v>
      </c>
      <c r="DT99">
        <f t="shared" si="1136"/>
        <v>0.64485302967126656</v>
      </c>
      <c r="DU99">
        <f t="shared" si="1136"/>
        <v>0.63866899934734389</v>
      </c>
      <c r="DV99">
        <f t="shared" si="1136"/>
        <v>0.63253229144185252</v>
      </c>
      <c r="DW99">
        <f t="shared" si="1136"/>
        <v>0.62644320752738158</v>
      </c>
      <c r="DX99">
        <f t="shared" si="1136"/>
        <v>0.62040201039009879</v>
      </c>
      <c r="DY99">
        <f t="shared" si="1136"/>
        <v>0.61440892625805388</v>
      </c>
      <c r="DZ99">
        <f t="shared" si="1136"/>
        <v>0.60846414689532968</v>
      </c>
      <c r="EA99">
        <f t="shared" ref="EA99:GL99" si="1137">EA14/$B$116</f>
        <v>0.60256783157134519</v>
      </c>
      <c r="EB99">
        <f t="shared" si="1137"/>
        <v>0.59672010891387017</v>
      </c>
      <c r="EC99">
        <f t="shared" si="1137"/>
        <v>0.59092107865364762</v>
      </c>
      <c r="ED99">
        <f t="shared" si="1137"/>
        <v>0.58517081326789921</v>
      </c>
      <c r="EE99">
        <f t="shared" si="1137"/>
        <v>0.57946935952943546</v>
      </c>
      <c r="EF99">
        <f t="shared" si="1137"/>
        <v>0.57381673996757721</v>
      </c>
      <c r="EG99">
        <f t="shared" si="1137"/>
        <v>0.56821295424662743</v>
      </c>
      <c r="EH99">
        <f t="shared" si="1137"/>
        <v>0.5626579804672055</v>
      </c>
      <c r="EI99">
        <f t="shared" si="1137"/>
        <v>0.55715177639536062</v>
      </c>
      <c r="EJ99">
        <f t="shared" si="1137"/>
        <v>0.55169428062402437</v>
      </c>
      <c r="EK99">
        <f t="shared" si="1137"/>
        <v>0.54628541367102967</v>
      </c>
      <c r="EL99">
        <f t="shared" si="1137"/>
        <v>0.54092507901761866</v>
      </c>
      <c r="EM99">
        <f t="shared" si="1137"/>
        <v>0.53561316409108695</v>
      </c>
      <c r="EN99">
        <f t="shared" si="1137"/>
        <v>0.53034954119495181</v>
      </c>
      <c r="EO99">
        <f t="shared" si="1137"/>
        <v>0.52513406838979515</v>
      </c>
      <c r="EP99">
        <f t="shared" si="1137"/>
        <v>0.51996659032771675</v>
      </c>
      <c r="EQ99">
        <f t="shared" si="1137"/>
        <v>0.5148469390431305</v>
      </c>
      <c r="ER99">
        <f t="shared" si="1137"/>
        <v>0.50977493470245172</v>
      </c>
      <c r="ES99">
        <f t="shared" si="1137"/>
        <v>0.50475038631505287</v>
      </c>
      <c r="ET99">
        <f t="shared" si="1137"/>
        <v>0.49977309240770562</v>
      </c>
      <c r="EU99">
        <f t="shared" si="1137"/>
        <v>0.49484284166458237</v>
      </c>
      <c r="EV99">
        <f t="shared" si="1137"/>
        <v>0.48995941353475453</v>
      </c>
      <c r="EW99">
        <f t="shared" si="1137"/>
        <v>0.48512257880899917</v>
      </c>
      <c r="EX99">
        <f t="shared" si="1137"/>
        <v>0.48033210016761002</v>
      </c>
      <c r="EY99">
        <f t="shared" si="1137"/>
        <v>0.47558773270080107</v>
      </c>
      <c r="EZ99">
        <f t="shared" si="1137"/>
        <v>0.47088922440319148</v>
      </c>
      <c r="FA99">
        <f t="shared" si="1137"/>
        <v>0.46623631664376586</v>
      </c>
      <c r="FB99">
        <f t="shared" si="1137"/>
        <v>0.46162874461262132</v>
      </c>
      <c r="FC99">
        <f t="shared" si="1137"/>
        <v>0.45706623774572924</v>
      </c>
      <c r="FD99">
        <f t="shared" si="1137"/>
        <v>0.45254852012886665</v>
      </c>
      <c r="FE99">
        <f t="shared" si="1137"/>
        <v>0.44807531088180264</v>
      </c>
      <c r="FF99">
        <f t="shared" si="1137"/>
        <v>0.44364632452376113</v>
      </c>
      <c r="FG99">
        <f t="shared" si="1137"/>
        <v>0.43926127132111942</v>
      </c>
      <c r="FH99">
        <f t="shared" si="1137"/>
        <v>0.43491985761824786</v>
      </c>
      <c r="FI99">
        <f t="shared" si="1137"/>
        <v>0.43062178615234159</v>
      </c>
      <c r="FJ99">
        <f t="shared" si="1137"/>
        <v>0.42636675635304816</v>
      </c>
      <c r="FK99">
        <f t="shared" si="1137"/>
        <v>0.42215446462764772</v>
      </c>
      <c r="FL99">
        <f t="shared" si="1137"/>
        <v>0.41798460463250015</v>
      </c>
      <c r="FM99">
        <f t="shared" si="1137"/>
        <v>0.41385686753143447</v>
      </c>
      <c r="FN99">
        <f t="shared" si="1137"/>
        <v>0.40977094224171579</v>
      </c>
      <c r="FO99">
        <f t="shared" si="1137"/>
        <v>0.4057265156681939</v>
      </c>
      <c r="FP99">
        <f t="shared" si="1137"/>
        <v>0.40172327292620119</v>
      </c>
      <c r="FQ99">
        <f t="shared" si="1137"/>
        <v>0.39776089755373834</v>
      </c>
      <c r="FR99">
        <f t="shared" si="1137"/>
        <v>0.39383907171345772</v>
      </c>
      <c r="FS99">
        <f t="shared" si="1137"/>
        <v>0.38995747638492662</v>
      </c>
      <c r="FT99">
        <f t="shared" si="1137"/>
        <v>0.38611579154762665</v>
      </c>
      <c r="FU99">
        <f t="shared" si="1137"/>
        <v>0.38231369635512324</v>
      </c>
      <c r="FV99">
        <f t="shared" si="1137"/>
        <v>0.37855086930081444</v>
      </c>
      <c r="FW99">
        <f t="shared" si="1137"/>
        <v>0.37482698837564898</v>
      </c>
      <c r="FX99">
        <f t="shared" si="1137"/>
        <v>0.37114173121818306</v>
      </c>
      <c r="FY99">
        <f t="shared" si="1137"/>
        <v>0.36749477525732588</v>
      </c>
      <c r="FZ99">
        <f t="shared" si="1137"/>
        <v>0.36388579784810687</v>
      </c>
      <c r="GA99">
        <f t="shared" si="1137"/>
        <v>0.36031447640078201</v>
      </c>
      <c r="GB99">
        <f t="shared" si="1137"/>
        <v>0.35678048850357735</v>
      </c>
      <c r="GC99">
        <f t="shared" si="1137"/>
        <v>0.35328351203935876</v>
      </c>
      <c r="GD99">
        <f t="shared" si="1137"/>
        <v>0.3498232252964964</v>
      </c>
      <c r="GE99">
        <f t="shared" si="1137"/>
        <v>0.34639930707418448</v>
      </c>
      <c r="GF99">
        <f t="shared" si="1137"/>
        <v>0.34301143678246238</v>
      </c>
      <c r="GG99">
        <f t="shared" si="1137"/>
        <v>0.33965929453716992</v>
      </c>
      <c r="GH99">
        <f t="shared" si="1137"/>
        <v>0.3363425612500614</v>
      </c>
      <c r="GI99">
        <f t="shared" si="1137"/>
        <v>0.33306091871429033</v>
      </c>
      <c r="GJ99">
        <f t="shared" si="1137"/>
        <v>0.32981404968546746</v>
      </c>
      <c r="GK99">
        <f t="shared" si="1137"/>
        <v>0.32660163795848524</v>
      </c>
      <c r="GL99">
        <f t="shared" si="1137"/>
        <v>0.32342336844029312</v>
      </c>
      <c r="GM99">
        <f t="shared" ref="GM99:IV99" si="1138">GM14/$B$116</f>
        <v>0.32027892721879891</v>
      </c>
      <c r="GN99">
        <f t="shared" si="1138"/>
        <v>0.31716800162806419</v>
      </c>
      <c r="GO99">
        <f t="shared" si="1138"/>
        <v>0.31409028030995378</v>
      </c>
      <c r="GP99">
        <f t="shared" si="1138"/>
        <v>0.3110454532723918</v>
      </c>
      <c r="GQ99">
        <f t="shared" si="1138"/>
        <v>0.30803321194436989</v>
      </c>
      <c r="GR99">
        <f t="shared" si="1138"/>
        <v>0.30505324922784804</v>
      </c>
      <c r="GS99">
        <f t="shared" si="1138"/>
        <v>0.30210525954667966</v>
      </c>
      <c r="GT99">
        <f t="shared" si="1138"/>
        <v>0.29918893889268955</v>
      </c>
      <c r="GU99">
        <f t="shared" si="1138"/>
        <v>0.29630398486902515</v>
      </c>
      <c r="GV99">
        <f t="shared" si="1138"/>
        <v>0.29345009673089828</v>
      </c>
      <c r="GW99">
        <f t="shared" si="1138"/>
        <v>0.29062697542382843</v>
      </c>
      <c r="GX99">
        <f t="shared" si="1138"/>
        <v>0.28783432361949335</v>
      </c>
      <c r="GY99">
        <f t="shared" si="1138"/>
        <v>0.28507184574928973</v>
      </c>
      <c r="GZ99">
        <f t="shared" si="1138"/>
        <v>0.28233924803570087</v>
      </c>
      <c r="HA99">
        <f t="shared" si="1138"/>
        <v>0.27963623852156416</v>
      </c>
      <c r="HB99">
        <f t="shared" si="1138"/>
        <v>0.27696252709732899</v>
      </c>
      <c r="HC99">
        <f t="shared" si="1138"/>
        <v>0.27431782552638934</v>
      </c>
      <c r="HD99">
        <f t="shared" si="1138"/>
        <v>0.27170184746857318</v>
      </c>
      <c r="HE99">
        <f t="shared" si="1138"/>
        <v>0.26911430850186807</v>
      </c>
      <c r="HF99">
        <f t="shared" si="1138"/>
        <v>0.26655492614245668</v>
      </c>
      <c r="HG99">
        <f t="shared" si="1138"/>
        <v>0.26402341986313588</v>
      </c>
      <c r="HH99">
        <f t="shared" si="1138"/>
        <v>0.26151951111018662</v>
      </c>
      <c r="HI99">
        <f t="shared" si="1138"/>
        <v>0.25904292331876283</v>
      </c>
      <c r="HJ99">
        <f t="shared" si="1138"/>
        <v>0.25659338192686099</v>
      </c>
      <c r="HK99">
        <f t="shared" si="1138"/>
        <v>0.25417061438793237</v>
      </c>
      <c r="HL99">
        <f t="shared" si="1138"/>
        <v>0.25177435018219607</v>
      </c>
      <c r="HM99">
        <f t="shared" si="1138"/>
        <v>0.2494043208267083</v>
      </c>
      <c r="HN99">
        <f t="shared" si="1138"/>
        <v>0.24706025988424263</v>
      </c>
      <c r="HO99">
        <f t="shared" si="1138"/>
        <v>0.24474190297103177</v>
      </c>
      <c r="HP99">
        <f t="shared" si="1138"/>
        <v>0.24244898776342078</v>
      </c>
      <c r="HQ99">
        <f t="shared" si="1138"/>
        <v>0.24018125400347917</v>
      </c>
      <c r="HR99">
        <f t="shared" si="1138"/>
        <v>0.23793844350361762</v>
      </c>
      <c r="HS99">
        <f t="shared" si="1138"/>
        <v>0.23572030015025242</v>
      </c>
      <c r="HT99">
        <f t="shared" si="1138"/>
        <v>0.23352656990656026</v>
      </c>
      <c r="HU99">
        <f t="shared" si="1138"/>
        <v>0.23135700081436347</v>
      </c>
      <c r="HV99">
        <f t="shared" si="1138"/>
        <v>0.22921134299518411</v>
      </c>
      <c r="HW99">
        <f t="shared" si="1138"/>
        <v>0.22708934865050473</v>
      </c>
      <c r="HX99">
        <f t="shared" si="1138"/>
        <v>0.2249907720612708</v>
      </c>
      <c r="HY99">
        <f t="shared" si="1138"/>
        <v>0.22291536958666941</v>
      </c>
      <c r="HZ99">
        <f t="shared" si="1138"/>
        <v>0.22086289966221734</v>
      </c>
      <c r="IA99">
        <f t="shared" si="1138"/>
        <v>0.21883312279718972</v>
      </c>
      <c r="IB99">
        <f t="shared" si="1138"/>
        <v>0.21682580157142023</v>
      </c>
      <c r="IC99">
        <f t="shared" si="1138"/>
        <v>0.21484070063150129</v>
      </c>
      <c r="ID99">
        <f t="shared" si="1138"/>
        <v>0.21287758668641305</v>
      </c>
      <c r="IE99">
        <f t="shared" si="1138"/>
        <v>0.21093622850260763</v>
      </c>
      <c r="IF99">
        <f t="shared" si="1138"/>
        <v>0.20901639689857471</v>
      </c>
      <c r="IG99">
        <f t="shared" si="1138"/>
        <v>0.2071178647389133</v>
      </c>
      <c r="IH99">
        <f t="shared" si="1138"/>
        <v>0.20524040692793391</v>
      </c>
      <c r="II99">
        <f t="shared" si="1138"/>
        <v>0.20338380040281329</v>
      </c>
      <c r="IJ99">
        <f t="shared" si="1138"/>
        <v>0.2015478241263248</v>
      </c>
      <c r="IK99">
        <f t="shared" si="1138"/>
        <v>0.19973225907916531</v>
      </c>
      <c r="IL99">
        <f t="shared" si="1138"/>
        <v>0.19793688825189854</v>
      </c>
      <c r="IM99">
        <f t="shared" si="1138"/>
        <v>0.19616149663653509</v>
      </c>
      <c r="IN99">
        <f t="shared" si="1138"/>
        <v>0.19440587121776798</v>
      </c>
      <c r="IO99">
        <f t="shared" si="1138"/>
        <v>0.19266980096388114</v>
      </c>
      <c r="IP99">
        <f t="shared" si="1138"/>
        <v>0.1909530768173493</v>
      </c>
      <c r="IQ99">
        <f t="shared" si="1138"/>
        <v>0.18925549168514497</v>
      </c>
      <c r="IR99">
        <f t="shared" si="1138"/>
        <v>0.18757684042876949</v>
      </c>
      <c r="IS99">
        <f t="shared" si="1138"/>
        <v>0.18591691985402301</v>
      </c>
      <c r="IT99">
        <f t="shared" si="1138"/>
        <v>0.18427552870052841</v>
      </c>
      <c r="IU99">
        <f t="shared" si="1138"/>
        <v>0.1826524676310238</v>
      </c>
      <c r="IV99">
        <f t="shared" si="1138"/>
        <v>0.18104753922043673</v>
      </c>
    </row>
    <row r="100" spans="1:256" x14ac:dyDescent="0.2">
      <c r="A100" t="s">
        <v>571</v>
      </c>
      <c r="B100">
        <v>0.74665122985839849</v>
      </c>
      <c r="C100">
        <f t="shared" ref="C100:BN100" si="1139">C15/$B$117</f>
        <v>1.0006181027870109</v>
      </c>
      <c r="D100">
        <f t="shared" si="1139"/>
        <v>1.0020744095712946</v>
      </c>
      <c r="E100">
        <f t="shared" si="1139"/>
        <v>1.0035125125207747</v>
      </c>
      <c r="F100">
        <f t="shared" si="1139"/>
        <v>1.0049326391833862</v>
      </c>
      <c r="G100">
        <f t="shared" si="1139"/>
        <v>1.0063350142627152</v>
      </c>
      <c r="H100">
        <f t="shared" si="1139"/>
        <v>1.0077198596535526</v>
      </c>
      <c r="I100">
        <f t="shared" si="1139"/>
        <v>1.0090873944770045</v>
      </c>
      <c r="J100">
        <f t="shared" si="1139"/>
        <v>1.0104378351151633</v>
      </c>
      <c r="K100">
        <f t="shared" si="1139"/>
        <v>1.0117713952453449</v>
      </c>
      <c r="L100">
        <f t="shared" si="1139"/>
        <v>1.0130882858738994</v>
      </c>
      <c r="M100">
        <f t="shared" si="1139"/>
        <v>1.0143887153695967</v>
      </c>
      <c r="N100">
        <f t="shared" si="1139"/>
        <v>1.0156728894965983</v>
      </c>
      <c r="O100">
        <f t="shared" si="1139"/>
        <v>1.0169410114470121</v>
      </c>
      <c r="P100">
        <f t="shared" si="1139"/>
        <v>1.0181932818730457</v>
      </c>
      <c r="Q100">
        <f t="shared" si="1139"/>
        <v>1.0194298989187538</v>
      </c>
      <c r="R100">
        <f t="shared" si="1139"/>
        <v>1.0206510582513908</v>
      </c>
      <c r="S100">
        <f t="shared" si="1139"/>
        <v>1.0218569530923698</v>
      </c>
      <c r="T100">
        <f t="shared" si="1139"/>
        <v>1.0230477742478363</v>
      </c>
      <c r="U100">
        <f t="shared" si="1139"/>
        <v>1.0242237101388598</v>
      </c>
      <c r="V100">
        <f t="shared" si="1139"/>
        <v>1.0253849468312453</v>
      </c>
      <c r="W100">
        <f t="shared" si="1139"/>
        <v>1.0265316680649761</v>
      </c>
      <c r="X100">
        <f t="shared" si="1139"/>
        <v>1.0276640552832852</v>
      </c>
      <c r="Y100">
        <f t="shared" si="1139"/>
        <v>1.0287822876613653</v>
      </c>
      <c r="Z100">
        <f t="shared" si="1139"/>
        <v>1.0298865421347194</v>
      </c>
      <c r="AA100">
        <f t="shared" si="1139"/>
        <v>1.0309769934271567</v>
      </c>
      <c r="AB100">
        <f t="shared" si="1139"/>
        <v>1.0320538140784385</v>
      </c>
      <c r="AC100">
        <f t="shared" si="1139"/>
        <v>1.0331171744715792</v>
      </c>
      <c r="AD100">
        <f t="shared" si="1139"/>
        <v>1.0341672428598059</v>
      </c>
      <c r="AE100">
        <f t="shared" si="1139"/>
        <v>1.0352041853931795</v>
      </c>
      <c r="AF100">
        <f t="shared" si="1139"/>
        <v>1.0362281661448862</v>
      </c>
      <c r="AG100">
        <f t="shared" si="1139"/>
        <v>1.0372393471371963</v>
      </c>
      <c r="AH100">
        <f t="shared" si="1139"/>
        <v>1.0382378883671026</v>
      </c>
      <c r="AI100">
        <f t="shared" si="1139"/>
        <v>1.0359634589235758</v>
      </c>
      <c r="AJ100">
        <f t="shared" si="1139"/>
        <v>1.0336649586625464</v>
      </c>
      <c r="AK100">
        <f t="shared" si="1139"/>
        <v>1.0313433447340521</v>
      </c>
      <c r="AL100">
        <f t="shared" si="1139"/>
        <v>1.0289995541204457</v>
      </c>
      <c r="AM100">
        <f t="shared" si="1139"/>
        <v>1.0266345039910314</v>
      </c>
      <c r="AN100">
        <f t="shared" si="1139"/>
        <v>1.0242490920509872</v>
      </c>
      <c r="AO100">
        <f t="shared" si="1139"/>
        <v>1.0218441968846623</v>
      </c>
      <c r="AP100">
        <f t="shared" si="1139"/>
        <v>1.0194206782933291</v>
      </c>
      <c r="AQ100">
        <f t="shared" si="1139"/>
        <v>1.0206419528837836</v>
      </c>
      <c r="AR100">
        <f t="shared" si="1139"/>
        <v>1.0218479615418576</v>
      </c>
      <c r="AS100">
        <f t="shared" si="1139"/>
        <v>1.0230388950917055</v>
      </c>
      <c r="AT100">
        <f t="shared" si="1139"/>
        <v>1.0242149419721807</v>
      </c>
      <c r="AU100">
        <f t="shared" si="1139"/>
        <v>1.0253762882666495</v>
      </c>
      <c r="AV100">
        <f t="shared" si="1139"/>
        <v>1.0265231177324379</v>
      </c>
      <c r="AW100">
        <f t="shared" si="1139"/>
        <v>1.0276556118299036</v>
      </c>
      <c r="AX100">
        <f t="shared" si="1139"/>
        <v>1.028773949751151</v>
      </c>
      <c r="AY100">
        <f t="shared" si="1139"/>
        <v>1.0289412400871563</v>
      </c>
      <c r="AZ100">
        <f t="shared" si="1139"/>
        <v>1.0291570954782132</v>
      </c>
      <c r="BA100">
        <f t="shared" si="1139"/>
        <v>1.0294202756588307</v>
      </c>
      <c r="BB100">
        <f t="shared" si="1139"/>
        <v>1.0297295637818651</v>
      </c>
      <c r="BC100">
        <f t="shared" si="1139"/>
        <v>1.0300837660268525</v>
      </c>
      <c r="BD100">
        <f t="shared" si="1139"/>
        <v>1.0304817112144751</v>
      </c>
      <c r="BE100">
        <f t="shared" si="1139"/>
        <v>1.0309222504270659</v>
      </c>
      <c r="BF100">
        <f t="shared" si="1139"/>
        <v>1.0314042566350656</v>
      </c>
      <c r="BG100">
        <f t="shared" si="1139"/>
        <v>1.0319266243293366</v>
      </c>
      <c r="BH100">
        <f t="shared" si="1139"/>
        <v>1.0324882691592523</v>
      </c>
      <c r="BI100">
        <f t="shared" si="1139"/>
        <v>1.0330881275764692</v>
      </c>
      <c r="BJ100">
        <f t="shared" si="1139"/>
        <v>1.0337251564843004</v>
      </c>
      <c r="BK100">
        <f t="shared" si="1139"/>
        <v>1.0343983328926027</v>
      </c>
      <c r="BL100">
        <f t="shared" si="1139"/>
        <v>1.0351066535780973</v>
      </c>
      <c r="BM100">
        <f t="shared" si="1139"/>
        <v>1.0358491347500407</v>
      </c>
      <c r="BN100">
        <f t="shared" si="1139"/>
        <v>1.0366248117211647</v>
      </c>
      <c r="BO100">
        <f t="shared" ref="BO100:DZ100" si="1140">BO15/$B$117</f>
        <v>1.0374327385838065</v>
      </c>
      <c r="BP100">
        <f t="shared" si="1140"/>
        <v>1.0382719878911515</v>
      </c>
      <c r="BQ100">
        <f t="shared" si="1140"/>
        <v>1.0391416503435098</v>
      </c>
      <c r="BR100">
        <f t="shared" si="1140"/>
        <v>1.040040834479552</v>
      </c>
      <c r="BS100">
        <f t="shared" si="1140"/>
        <v>1.0409686663724274</v>
      </c>
      <c r="BT100">
        <f t="shared" si="1140"/>
        <v>1.0419205911118934</v>
      </c>
      <c r="BU100">
        <f t="shared" si="1140"/>
        <v>1.0428606167921159</v>
      </c>
      <c r="BV100">
        <f t="shared" si="1140"/>
        <v>1.0437888921513359</v>
      </c>
      <c r="BW100">
        <f t="shared" si="1140"/>
        <v>1.0447055640685654</v>
      </c>
      <c r="BX100">
        <f t="shared" si="1140"/>
        <v>1.0456107775868295</v>
      </c>
      <c r="BY100">
        <f t="shared" si="1140"/>
        <v>1.0465046759361154</v>
      </c>
      <c r="BZ100">
        <f t="shared" si="1140"/>
        <v>1.0473874005560353</v>
      </c>
      <c r="CA100">
        <f t="shared" si="1140"/>
        <v>1.0482590911182061</v>
      </c>
      <c r="CB100">
        <f t="shared" si="1140"/>
        <v>1.0491198855483499</v>
      </c>
      <c r="CC100">
        <f t="shared" si="1140"/>
        <v>1.0499699200481167</v>
      </c>
      <c r="CD100">
        <f t="shared" si="1140"/>
        <v>1.0508093291166365</v>
      </c>
      <c r="CE100">
        <f t="shared" si="1140"/>
        <v>1.0516382455717999</v>
      </c>
      <c r="CF100">
        <f t="shared" si="1140"/>
        <v>1.0524568005712738</v>
      </c>
      <c r="CG100">
        <f t="shared" si="1140"/>
        <v>1.053265123633254</v>
      </c>
      <c r="CH100">
        <f t="shared" si="1140"/>
        <v>1.0540633426569597</v>
      </c>
      <c r="CI100">
        <f t="shared" si="1140"/>
        <v>1.0548515839428689</v>
      </c>
      <c r="CJ100">
        <f t="shared" si="1140"/>
        <v>1.0556299722127043</v>
      </c>
      <c r="CK100">
        <f t="shared" si="1140"/>
        <v>1.0563986306291668</v>
      </c>
      <c r="CL100">
        <f t="shared" si="1140"/>
        <v>1.0571576808154235</v>
      </c>
      <c r="CM100">
        <f t="shared" si="1140"/>
        <v>1.0579072428743519</v>
      </c>
      <c r="CN100">
        <f t="shared" si="1140"/>
        <v>1.0586474354075439</v>
      </c>
      <c r="CO100">
        <f t="shared" si="1140"/>
        <v>1.0593783755340707</v>
      </c>
      <c r="CP100">
        <f t="shared" si="1140"/>
        <v>1.0601001789090161</v>
      </c>
      <c r="CQ100">
        <f t="shared" si="1140"/>
        <v>1.0608129597417748</v>
      </c>
      <c r="CR100">
        <f t="shared" si="1140"/>
        <v>1.0615168308141238</v>
      </c>
      <c r="CS100">
        <f t="shared" si="1140"/>
        <v>1.0622119034980686</v>
      </c>
      <c r="CT100">
        <f t="shared" si="1140"/>
        <v>1.0628982877734641</v>
      </c>
      <c r="CU100">
        <f t="shared" si="1140"/>
        <v>1.0635760922454169</v>
      </c>
      <c r="CV100">
        <f t="shared" si="1140"/>
        <v>1.0642454241614705</v>
      </c>
      <c r="CW100">
        <f t="shared" si="1140"/>
        <v>1.0649063894285735</v>
      </c>
      <c r="CX100">
        <f t="shared" si="1140"/>
        <v>1.0655590926298377</v>
      </c>
      <c r="CY100">
        <f t="shared" si="1140"/>
        <v>1.0662036370410861</v>
      </c>
      <c r="CZ100">
        <f t="shared" si="1140"/>
        <v>1.0668401246471937</v>
      </c>
      <c r="DA100">
        <f t="shared" si="1140"/>
        <v>1.0674686561582252</v>
      </c>
      <c r="DB100">
        <f t="shared" si="1140"/>
        <v>1.0680893310253685</v>
      </c>
      <c r="DC100">
        <f t="shared" si="1140"/>
        <v>1.0687022474566727</v>
      </c>
      <c r="DD100">
        <f t="shared" si="1140"/>
        <v>1.0693075024325855</v>
      </c>
      <c r="DE100">
        <f t="shared" si="1140"/>
        <v>1.0699051917212996</v>
      </c>
      <c r="DF100">
        <f t="shared" si="1140"/>
        <v>1.0704954098939046</v>
      </c>
      <c r="DG100">
        <f t="shared" si="1140"/>
        <v>1.0710782503393521</v>
      </c>
      <c r="DH100">
        <f t="shared" si="1140"/>
        <v>1.0716538052792315</v>
      </c>
      <c r="DI100">
        <f t="shared" si="1140"/>
        <v>1.0722221657823623</v>
      </c>
      <c r="DJ100">
        <f t="shared" si="1140"/>
        <v>1.072783421779204</v>
      </c>
      <c r="DK100">
        <f t="shared" si="1140"/>
        <v>1.0733376620760853</v>
      </c>
      <c r="DL100">
        <f t="shared" si="1140"/>
        <v>1.0738849743692556</v>
      </c>
      <c r="DM100">
        <f t="shared" si="1140"/>
        <v>1.0744254452587612</v>
      </c>
      <c r="DN100">
        <f t="shared" si="1140"/>
        <v>1.074959160262148</v>
      </c>
      <c r="DO100">
        <f t="shared" si="1140"/>
        <v>1.0754862038279922</v>
      </c>
      <c r="DP100">
        <f t="shared" si="1140"/>
        <v>1.0760066593492636</v>
      </c>
      <c r="DQ100">
        <f t="shared" si="1140"/>
        <v>1.0765206091765191</v>
      </c>
      <c r="DR100">
        <f t="shared" si="1140"/>
        <v>1.0770281346309338</v>
      </c>
      <c r="DS100">
        <f t="shared" si="1140"/>
        <v>1.0775293160171686</v>
      </c>
      <c r="DT100">
        <f t="shared" si="1140"/>
        <v>1.0780242326360752</v>
      </c>
      <c r="DU100">
        <f t="shared" si="1140"/>
        <v>1.0785129627972456</v>
      </c>
      <c r="DV100">
        <f t="shared" si="1140"/>
        <v>1.0789955838314014</v>
      </c>
      <c r="DW100">
        <f t="shared" si="1140"/>
        <v>1.0794721721026299</v>
      </c>
      <c r="DX100">
        <f t="shared" si="1140"/>
        <v>1.0799428030204683</v>
      </c>
      <c r="DY100">
        <f t="shared" si="1140"/>
        <v>1.0804075510518338</v>
      </c>
      <c r="DZ100">
        <f t="shared" si="1140"/>
        <v>1.0808664897328071</v>
      </c>
      <c r="EA100">
        <f t="shared" ref="EA100:GL100" si="1141">EA15/$B$117</f>
        <v>1.0813196916802683</v>
      </c>
      <c r="EB100">
        <f t="shared" si="1141"/>
        <v>1.0817672286033864</v>
      </c>
      <c r="EC100">
        <f t="shared" si="1141"/>
        <v>1.0822091713149653</v>
      </c>
      <c r="ED100">
        <f t="shared" si="1141"/>
        <v>1.0826455897426495</v>
      </c>
      <c r="EE100">
        <f t="shared" si="1141"/>
        <v>1.0830765529399877</v>
      </c>
      <c r="EF100">
        <f t="shared" si="1141"/>
        <v>1.083502129097359</v>
      </c>
      <c r="EG100">
        <f t="shared" si="1141"/>
        <v>1.0839223855527633</v>
      </c>
      <c r="EH100">
        <f t="shared" si="1141"/>
        <v>1.0843373888024752</v>
      </c>
      <c r="EI100">
        <f t="shared" si="1141"/>
        <v>1.0847472045115656</v>
      </c>
      <c r="EJ100">
        <f t="shared" si="1141"/>
        <v>1.0851518975242922</v>
      </c>
      <c r="EK100">
        <f t="shared" si="1141"/>
        <v>1.08555153187436</v>
      </c>
      <c r="EL100">
        <f t="shared" si="1141"/>
        <v>1.0859461707950517</v>
      </c>
      <c r="EM100">
        <f t="shared" si="1141"/>
        <v>1.0863358767292348</v>
      </c>
      <c r="EN100">
        <f t="shared" si="1141"/>
        <v>1.0867207113392408</v>
      </c>
      <c r="EO100">
        <f t="shared" si="1141"/>
        <v>1.0871007355166216</v>
      </c>
      <c r="EP100">
        <f t="shared" si="1141"/>
        <v>1.087476009391785</v>
      </c>
      <c r="EQ100">
        <f t="shared" si="1141"/>
        <v>1.087846592343509</v>
      </c>
      <c r="ER100">
        <f t="shared" si="1141"/>
        <v>1.0882125430083365</v>
      </c>
      <c r="ES100">
        <f t="shared" si="1141"/>
        <v>1.0885739192898536</v>
      </c>
      <c r="ET100">
        <f t="shared" si="1141"/>
        <v>1.0889307783678517</v>
      </c>
      <c r="EU100">
        <f t="shared" si="1141"/>
        <v>1.0892831767073747</v>
      </c>
      <c r="EV100">
        <f t="shared" si="1141"/>
        <v>1.0896311700676538</v>
      </c>
      <c r="EW100">
        <f t="shared" si="1141"/>
        <v>1.0899748135109295</v>
      </c>
      <c r="EX100">
        <f t="shared" si="1141"/>
        <v>1.0903141614111642</v>
      </c>
      <c r="EY100">
        <f t="shared" si="1141"/>
        <v>1.0906492674626458</v>
      </c>
      <c r="EZ100">
        <f t="shared" si="1141"/>
        <v>1.0909801846884841</v>
      </c>
      <c r="FA100">
        <f t="shared" si="1141"/>
        <v>1.0913069654489993</v>
      </c>
      <c r="FB100">
        <f t="shared" si="1141"/>
        <v>1.0916296614500081</v>
      </c>
      <c r="FC100">
        <f t="shared" si="1141"/>
        <v>1.0919483237510041</v>
      </c>
      <c r="FD100">
        <f t="shared" si="1141"/>
        <v>1.0922630027732378</v>
      </c>
      <c r="FE100">
        <f t="shared" si="1141"/>
        <v>1.0925737483076938</v>
      </c>
      <c r="FF100">
        <f t="shared" si="1141"/>
        <v>1.0928806095229688</v>
      </c>
      <c r="FG100">
        <f t="shared" si="1141"/>
        <v>1.093183634973053</v>
      </c>
      <c r="FH100">
        <f t="shared" si="1141"/>
        <v>1.093482872605011</v>
      </c>
      <c r="FI100">
        <f t="shared" si="1141"/>
        <v>1.0937783697665697</v>
      </c>
      <c r="FJ100">
        <f t="shared" si="1141"/>
        <v>1.0940701732136089</v>
      </c>
      <c r="FK100">
        <f t="shared" si="1141"/>
        <v>1.09435832911756</v>
      </c>
      <c r="FL100">
        <f t="shared" si="1141"/>
        <v>1.094642883072712</v>
      </c>
      <c r="FM100">
        <f t="shared" si="1141"/>
        <v>1.0949238801034242</v>
      </c>
      <c r="FN100">
        <f t="shared" si="1141"/>
        <v>1.0952013646712526</v>
      </c>
      <c r="FO100">
        <f t="shared" si="1141"/>
        <v>1.0954753806819835</v>
      </c>
      <c r="FP100">
        <f t="shared" si="1141"/>
        <v>1.0957459714925799</v>
      </c>
      <c r="FQ100">
        <f t="shared" si="1141"/>
        <v>1.0960131799180439</v>
      </c>
      <c r="FR100">
        <f t="shared" si="1141"/>
        <v>1.0962770482381896</v>
      </c>
      <c r="FS100">
        <f t="shared" si="1141"/>
        <v>1.0965376182043336</v>
      </c>
      <c r="FT100">
        <f t="shared" si="1141"/>
        <v>1.0967949310459006</v>
      </c>
      <c r="FU100">
        <f t="shared" si="1141"/>
        <v>1.097049027476948</v>
      </c>
      <c r="FV100">
        <f t="shared" si="1141"/>
        <v>1.0972999477026075</v>
      </c>
      <c r="FW100">
        <f t="shared" si="1141"/>
        <v>1.0975477314254463</v>
      </c>
      <c r="FX100">
        <f t="shared" si="1141"/>
        <v>1.0977924178517493</v>
      </c>
      <c r="FY100">
        <f t="shared" si="1141"/>
        <v>1.0980340456977238</v>
      </c>
      <c r="FZ100">
        <f t="shared" si="1141"/>
        <v>1.0982726531956235</v>
      </c>
      <c r="GA100">
        <f t="shared" si="1141"/>
        <v>1.0985082780997995</v>
      </c>
      <c r="GB100">
        <f t="shared" si="1141"/>
        <v>1.0987409576926732</v>
      </c>
      <c r="GC100">
        <f t="shared" si="1141"/>
        <v>1.0989707287906361</v>
      </c>
      <c r="GD100">
        <f t="shared" si="1141"/>
        <v>1.0991976277498743</v>
      </c>
      <c r="GE100">
        <f t="shared" si="1141"/>
        <v>1.0994216904721223</v>
      </c>
      <c r="GF100">
        <f t="shared" si="1141"/>
        <v>1.0996429524103422</v>
      </c>
      <c r="GG100">
        <f t="shared" si="1141"/>
        <v>1.0998614485743341</v>
      </c>
      <c r="GH100">
        <f t="shared" si="1141"/>
        <v>1.1000772135362762</v>
      </c>
      <c r="GI100">
        <f t="shared" si="1141"/>
        <v>1.1002902814361939</v>
      </c>
      <c r="GJ100">
        <f t="shared" si="1141"/>
        <v>1.1005006859873629</v>
      </c>
      <c r="GK100">
        <f t="shared" si="1141"/>
        <v>1.1007084604816422</v>
      </c>
      <c r="GL100">
        <f t="shared" si="1141"/>
        <v>1.100913637794743</v>
      </c>
      <c r="GM100">
        <f t="shared" ref="GM100:IV100" si="1142">GM15/$B$117</f>
        <v>1.10111625039143</v>
      </c>
      <c r="GN100">
        <f t="shared" si="1142"/>
        <v>1.1013163303306583</v>
      </c>
      <c r="GO100">
        <f t="shared" si="1142"/>
        <v>1.1015139092706465</v>
      </c>
      <c r="GP100">
        <f t="shared" si="1142"/>
        <v>1.1017090184738847</v>
      </c>
      <c r="GQ100">
        <f t="shared" si="1142"/>
        <v>1.1019016888120825</v>
      </c>
      <c r="GR100">
        <f t="shared" si="1142"/>
        <v>1.1020919507710527</v>
      </c>
      <c r="GS100">
        <f t="shared" si="1142"/>
        <v>1.1022798344555358</v>
      </c>
      <c r="GT100">
        <f t="shared" si="1142"/>
        <v>1.1024653695939628</v>
      </c>
      <c r="GU100">
        <f t="shared" si="1142"/>
        <v>1.1026485855431596</v>
      </c>
      <c r="GV100">
        <f t="shared" si="1142"/>
        <v>1.1028295112929913</v>
      </c>
      <c r="GW100">
        <f t="shared" si="1142"/>
        <v>1.1030081754709504</v>
      </c>
      <c r="GX100">
        <f t="shared" si="1142"/>
        <v>1.1031846063466848</v>
      </c>
      <c r="GY100">
        <f t="shared" si="1142"/>
        <v>1.1033588318364724</v>
      </c>
      <c r="GZ100">
        <f t="shared" si="1142"/>
        <v>1.1035308795076377</v>
      </c>
      <c r="HA100">
        <f t="shared" si="1142"/>
        <v>1.1037007765829137</v>
      </c>
      <c r="HB100">
        <f t="shared" si="1142"/>
        <v>1.1038685499447485</v>
      </c>
      <c r="HC100">
        <f t="shared" si="1142"/>
        <v>1.1040342261395604</v>
      </c>
      <c r="HD100">
        <f t="shared" si="1142"/>
        <v>1.1041978313819372</v>
      </c>
      <c r="HE100">
        <f t="shared" si="1142"/>
        <v>1.1043593915587842</v>
      </c>
      <c r="HF100">
        <f t="shared" si="1142"/>
        <v>1.1045189322334208</v>
      </c>
      <c r="HG100">
        <f t="shared" si="1142"/>
        <v>1.1046764786496244</v>
      </c>
      <c r="HH100">
        <f t="shared" si="1142"/>
        <v>1.1048320557356253</v>
      </c>
      <c r="HI100">
        <f t="shared" si="1142"/>
        <v>1.1049856881080511</v>
      </c>
      <c r="HJ100">
        <f t="shared" si="1142"/>
        <v>1.1051374000758218</v>
      </c>
      <c r="HK100">
        <f t="shared" si="1142"/>
        <v>1.1052872156439952</v>
      </c>
      <c r="HL100">
        <f t="shared" si="1142"/>
        <v>1.1054351585175668</v>
      </c>
      <c r="HM100">
        <f t="shared" si="1142"/>
        <v>1.1055812521052184</v>
      </c>
      <c r="HN100">
        <f t="shared" si="1142"/>
        <v>1.1057255195230244</v>
      </c>
      <c r="HO100">
        <f t="shared" si="1142"/>
        <v>1.105867983598108</v>
      </c>
      <c r="HP100">
        <f t="shared" si="1142"/>
        <v>1.1060086668722529</v>
      </c>
      <c r="HQ100">
        <f t="shared" si="1142"/>
        <v>1.106147591605471</v>
      </c>
      <c r="HR100">
        <f t="shared" si="1142"/>
        <v>1.1062847797795239</v>
      </c>
      <c r="HS100">
        <f t="shared" si="1142"/>
        <v>1.1064202531014011</v>
      </c>
      <c r="HT100">
        <f t="shared" si="1142"/>
        <v>1.1065540330067549</v>
      </c>
      <c r="HU100">
        <f t="shared" si="1142"/>
        <v>1.1066861406632917</v>
      </c>
      <c r="HV100">
        <f t="shared" si="1142"/>
        <v>1.1068165969741219</v>
      </c>
      <c r="HW100">
        <f t="shared" si="1142"/>
        <v>1.1069454225810667</v>
      </c>
      <c r="HX100">
        <f t="shared" si="1142"/>
        <v>1.1070726378679248</v>
      </c>
      <c r="HY100">
        <f t="shared" si="1142"/>
        <v>1.1071982629636967</v>
      </c>
      <c r="HZ100">
        <f t="shared" si="1142"/>
        <v>1.1073223177457718</v>
      </c>
      <c r="IA100">
        <f t="shared" si="1142"/>
        <v>1.107444821843071</v>
      </c>
      <c r="IB100">
        <f t="shared" si="1142"/>
        <v>1.1075657946391539</v>
      </c>
      <c r="IC100">
        <f t="shared" si="1142"/>
        <v>1.1076852552752858</v>
      </c>
      <c r="ID100">
        <f t="shared" si="1142"/>
        <v>1.107803222653466</v>
      </c>
      <c r="IE100">
        <f t="shared" si="1142"/>
        <v>1.1079197154394189</v>
      </c>
      <c r="IF100">
        <f t="shared" si="1142"/>
        <v>1.1080347520655476</v>
      </c>
      <c r="IG100">
        <f t="shared" si="1142"/>
        <v>1.1081483507338494</v>
      </c>
      <c r="IH100">
        <f t="shared" si="1142"/>
        <v>1.1082605294187977</v>
      </c>
      <c r="II100">
        <f t="shared" si="1142"/>
        <v>1.1083713058701838</v>
      </c>
      <c r="IJ100">
        <f t="shared" si="1142"/>
        <v>1.1084806976159278</v>
      </c>
      <c r="IK100">
        <f t="shared" si="1142"/>
        <v>1.10858872196485</v>
      </c>
      <c r="IL100">
        <f t="shared" si="1142"/>
        <v>1.1086953960094108</v>
      </c>
      <c r="IM100">
        <f t="shared" si="1142"/>
        <v>1.1088007366284145</v>
      </c>
      <c r="IN100">
        <f t="shared" si="1142"/>
        <v>1.1089047604896805</v>
      </c>
      <c r="IO100">
        <f t="shared" si="1142"/>
        <v>1.1090074840526807</v>
      </c>
      <c r="IP100">
        <f t="shared" si="1142"/>
        <v>1.1091089235711435</v>
      </c>
      <c r="IQ100">
        <f t="shared" si="1142"/>
        <v>1.1092090950956255</v>
      </c>
      <c r="IR100">
        <f t="shared" si="1142"/>
        <v>1.1093080144760514</v>
      </c>
      <c r="IS100">
        <f t="shared" si="1142"/>
        <v>1.1094056973642221</v>
      </c>
      <c r="IT100">
        <f t="shared" si="1142"/>
        <v>1.1095021592162906</v>
      </c>
      <c r="IU100">
        <f t="shared" si="1142"/>
        <v>1.1095974152952082</v>
      </c>
      <c r="IV100">
        <f t="shared" si="1142"/>
        <v>1.1096914806731393</v>
      </c>
    </row>
    <row r="101" spans="1:256" x14ac:dyDescent="0.2">
      <c r="A101" t="s">
        <v>572</v>
      </c>
      <c r="B101">
        <v>0.42901557922363281</v>
      </c>
      <c r="C101">
        <f t="shared" ref="C101:BN101" si="1143">C16/$B$118</f>
        <v>1.0102338278449092</v>
      </c>
      <c r="D101">
        <f t="shared" si="1143"/>
        <v>1.0203397328417572</v>
      </c>
      <c r="E101">
        <f t="shared" si="1143"/>
        <v>1.0303193140261444</v>
      </c>
      <c r="F101">
        <f t="shared" si="1143"/>
        <v>1.0401741504457269</v>
      </c>
      <c r="G101">
        <f t="shared" si="1143"/>
        <v>1.0499058014100646</v>
      </c>
      <c r="H101">
        <f t="shared" si="1143"/>
        <v>1.059515806737348</v>
      </c>
      <c r="I101">
        <f t="shared" si="1143"/>
        <v>1.0690056869980404</v>
      </c>
      <c r="J101">
        <f t="shared" si="1143"/>
        <v>1.0783769437554742</v>
      </c>
      <c r="K101">
        <f t="shared" si="1143"/>
        <v>1.0991382783501955</v>
      </c>
      <c r="L101">
        <f t="shared" si="1143"/>
        <v>1.1196400962624828</v>
      </c>
      <c r="M101">
        <f t="shared" si="1143"/>
        <v>1.1398856414508667</v>
      </c>
      <c r="N101">
        <f t="shared" si="1143"/>
        <v>1.1598781173243957</v>
      </c>
      <c r="O101">
        <f t="shared" si="1143"/>
        <v>1.1796206872495054</v>
      </c>
      <c r="P101">
        <f t="shared" si="1143"/>
        <v>1.1991164750505514</v>
      </c>
      <c r="Q101">
        <f t="shared" si="1143"/>
        <v>1.2183685655040843</v>
      </c>
      <c r="R101">
        <f t="shared" si="1143"/>
        <v>1.2373800048269481</v>
      </c>
      <c r="S101">
        <f t="shared" si="1143"/>
        <v>1.256153801158276</v>
      </c>
      <c r="T101">
        <f t="shared" si="1143"/>
        <v>1.2746929250354624</v>
      </c>
      <c r="U101">
        <f t="shared" si="1143"/>
        <v>1.2930003098641838</v>
      </c>
      <c r="V101">
        <f t="shared" si="1143"/>
        <v>1.3110788523825463</v>
      </c>
      <c r="W101">
        <f t="shared" si="1143"/>
        <v>1.3289314131194292</v>
      </c>
      <c r="X101">
        <f t="shared" si="1143"/>
        <v>1.346560816847101</v>
      </c>
      <c r="Y101">
        <f t="shared" si="1143"/>
        <v>1.363969853028177</v>
      </c>
      <c r="Z101">
        <f t="shared" si="1143"/>
        <v>1.3811612762569896</v>
      </c>
      <c r="AA101">
        <f t="shared" si="1143"/>
        <v>1.398137806695442</v>
      </c>
      <c r="AB101">
        <f t="shared" si="1143"/>
        <v>1.4149021305034135</v>
      </c>
      <c r="AC101">
        <f t="shared" si="1143"/>
        <v>1.4314569002637856</v>
      </c>
      <c r="AD101">
        <f t="shared" si="1143"/>
        <v>1.447804735402153</v>
      </c>
      <c r="AE101">
        <f t="shared" si="1143"/>
        <v>1.4639482226012908</v>
      </c>
      <c r="AF101">
        <f t="shared" si="1143"/>
        <v>1.4798899162104393</v>
      </c>
      <c r="AG101">
        <f t="shared" si="1143"/>
        <v>1.4956323386494739</v>
      </c>
      <c r="AH101">
        <f t="shared" si="1143"/>
        <v>1.5111779808080203</v>
      </c>
      <c r="AI101">
        <f t="shared" si="1143"/>
        <v>1.5069781983988633</v>
      </c>
      <c r="AJ101">
        <f t="shared" si="1143"/>
        <v>1.5028309132698208</v>
      </c>
      <c r="AK101">
        <f t="shared" si="1143"/>
        <v>1.4987354692048915</v>
      </c>
      <c r="AL101">
        <f t="shared" si="1143"/>
        <v>1.4946912181907737</v>
      </c>
      <c r="AM101">
        <f t="shared" si="1143"/>
        <v>1.4906975203143324</v>
      </c>
      <c r="AN101">
        <f t="shared" si="1143"/>
        <v>1.4867537436613465</v>
      </c>
      <c r="AO101">
        <f t="shared" si="1143"/>
        <v>1.4828592642165233</v>
      </c>
      <c r="AP101">
        <f t="shared" si="1143"/>
        <v>1.47901346576476</v>
      </c>
      <c r="AQ101">
        <f t="shared" si="1143"/>
        <v>1.4899056821445873</v>
      </c>
      <c r="AR101">
        <f t="shared" si="1143"/>
        <v>1.5006617458196667</v>
      </c>
      <c r="AS101">
        <f t="shared" si="1143"/>
        <v>1.5112833586988075</v>
      </c>
      <c r="AT101">
        <f t="shared" si="1143"/>
        <v>1.521772201416959</v>
      </c>
      <c r="AU101">
        <f t="shared" si="1143"/>
        <v>1.5321299336011338</v>
      </c>
      <c r="AV101">
        <f t="shared" si="1143"/>
        <v>1.5423581941330062</v>
      </c>
      <c r="AW101">
        <f t="shared" si="1143"/>
        <v>1.5524586014082302</v>
      </c>
      <c r="AX101">
        <f t="shared" si="1143"/>
        <v>1.5624327535925142</v>
      </c>
      <c r="AY101">
        <f t="shared" si="1143"/>
        <v>1.5771433905642727</v>
      </c>
      <c r="AZ101">
        <f t="shared" si="1143"/>
        <v>1.5916701445738839</v>
      </c>
      <c r="BA101">
        <f t="shared" si="1143"/>
        <v>1.6060153141583751</v>
      </c>
      <c r="BB101">
        <f t="shared" si="1143"/>
        <v>1.6201811691230601</v>
      </c>
      <c r="BC101">
        <f t="shared" si="1143"/>
        <v>1.6341699509006866</v>
      </c>
      <c r="BD101">
        <f t="shared" si="1143"/>
        <v>1.6479838729060929</v>
      </c>
      <c r="BE101">
        <f t="shared" si="1143"/>
        <v>1.6616251208864314</v>
      </c>
      <c r="BF101">
        <f t="shared" si="1143"/>
        <v>1.6750958532670159</v>
      </c>
      <c r="BG101">
        <f t="shared" si="1143"/>
        <v>1.6883982014928429</v>
      </c>
      <c r="BH101">
        <f t="shared" si="1143"/>
        <v>1.7015342703658471</v>
      </c>
      <c r="BI101">
        <f t="shared" si="1143"/>
        <v>1.714506138377939</v>
      </c>
      <c r="BJ101">
        <f t="shared" si="1143"/>
        <v>1.7273158580398795</v>
      </c>
      <c r="BK101">
        <f t="shared" si="1143"/>
        <v>1.7399654562060458</v>
      </c>
      <c r="BL101">
        <f t="shared" si="1143"/>
        <v>1.7524569343951348</v>
      </c>
      <c r="BM101">
        <f t="shared" si="1143"/>
        <v>1.7647922691068607</v>
      </c>
      <c r="BN101">
        <f t="shared" si="1143"/>
        <v>1.7769734121346896</v>
      </c>
      <c r="BO101">
        <f t="shared" ref="BO101:DZ101" si="1144">BO16/$B$118</f>
        <v>1.7890022908746708</v>
      </c>
      <c r="BP101">
        <f t="shared" si="1144"/>
        <v>1.8008808086304022</v>
      </c>
      <c r="BQ101">
        <f t="shared" si="1144"/>
        <v>1.8126108449141869</v>
      </c>
      <c r="BR101">
        <f t="shared" si="1144"/>
        <v>1.8241942557444244</v>
      </c>
      <c r="BS101">
        <f t="shared" si="1144"/>
        <v>1.835632873939284</v>
      </c>
      <c r="BT101">
        <f t="shared" si="1144"/>
        <v>1.8469285094067076</v>
      </c>
      <c r="BU101">
        <f t="shared" si="1144"/>
        <v>1.8580829494307887</v>
      </c>
      <c r="BV101">
        <f t="shared" si="1144"/>
        <v>1.8690979589545687</v>
      </c>
      <c r="BW101">
        <f t="shared" si="1144"/>
        <v>1.8799752808593013</v>
      </c>
      <c r="BX101">
        <f t="shared" si="1144"/>
        <v>1.890716636240225</v>
      </c>
      <c r="BY101">
        <f t="shared" si="1144"/>
        <v>1.901323724678887</v>
      </c>
      <c r="BZ101">
        <f t="shared" si="1144"/>
        <v>1.9117982245120657</v>
      </c>
      <c r="CA101">
        <f t="shared" si="1144"/>
        <v>1.9221417930973297</v>
      </c>
      <c r="CB101">
        <f t="shared" si="1144"/>
        <v>1.932356067075278</v>
      </c>
      <c r="CC101">
        <f t="shared" si="1144"/>
        <v>1.9424426626285016</v>
      </c>
      <c r="CD101">
        <f t="shared" si="1144"/>
        <v>1.9524031757373099</v>
      </c>
      <c r="CE101">
        <f t="shared" si="1144"/>
        <v>1.9622391824322585</v>
      </c>
      <c r="CF101">
        <f t="shared" si="1144"/>
        <v>1.97195223904352</v>
      </c>
      <c r="CG101">
        <f t="shared" si="1144"/>
        <v>1.981543882447141</v>
      </c>
      <c r="CH101">
        <f t="shared" si="1144"/>
        <v>1.9910156303082165</v>
      </c>
      <c r="CI101">
        <f t="shared" si="1144"/>
        <v>2.0003689813210288</v>
      </c>
      <c r="CJ101">
        <f t="shared" si="1144"/>
        <v>2.0096054154461802</v>
      </c>
      <c r="CK101">
        <f t="shared" si="1144"/>
        <v>2.018726394144768</v>
      </c>
      <c r="CL101">
        <f t="shared" si="1144"/>
        <v>2.0277333606096231</v>
      </c>
      <c r="CM101">
        <f t="shared" si="1144"/>
        <v>2.0366277399936674</v>
      </c>
      <c r="CN101">
        <f t="shared" si="1144"/>
        <v>2.0454109396354112</v>
      </c>
      <c r="CO101">
        <f t="shared" si="1144"/>
        <v>2.0540843492816334</v>
      </c>
      <c r="CP101">
        <f t="shared" si="1144"/>
        <v>2.062649341307278</v>
      </c>
      <c r="CQ101">
        <f t="shared" si="1144"/>
        <v>2.0711072709326017</v>
      </c>
      <c r="CR101">
        <f t="shared" si="1144"/>
        <v>2.0794594764376089</v>
      </c>
      <c r="CS101">
        <f t="shared" si="1144"/>
        <v>2.0877072793738032</v>
      </c>
      <c r="CT101">
        <f t="shared" si="1144"/>
        <v>2.0958519847732955</v>
      </c>
      <c r="CU101">
        <f t="shared" si="1144"/>
        <v>2.103894881355294</v>
      </c>
      <c r="CV101">
        <f t="shared" si="1144"/>
        <v>2.1118372417300177</v>
      </c>
      <c r="CW101">
        <f t="shared" si="1144"/>
        <v>2.1196803226000576</v>
      </c>
      <c r="CX101">
        <f t="shared" si="1144"/>
        <v>2.1274253649592216</v>
      </c>
      <c r="CY101">
        <f t="shared" si="1144"/>
        <v>2.1350735942888961</v>
      </c>
      <c r="CZ101">
        <f t="shared" si="1144"/>
        <v>2.1426262207519495</v>
      </c>
      <c r="DA101">
        <f t="shared" si="1144"/>
        <v>2.1500844393842149</v>
      </c>
      <c r="DB101">
        <f t="shared" si="1144"/>
        <v>2.1574494302835774</v>
      </c>
      <c r="DC101">
        <f t="shared" si="1144"/>
        <v>2.1647223587966975</v>
      </c>
      <c r="DD101">
        <f t="shared" si="1144"/>
        <v>2.1719043757034036</v>
      </c>
      <c r="DE101">
        <f t="shared" si="1144"/>
        <v>2.1789966173987754</v>
      </c>
      <c r="DF101">
        <f t="shared" si="1144"/>
        <v>2.1860002060729555</v>
      </c>
      <c r="DG101">
        <f t="shared" si="1144"/>
        <v>2.1929162498887083</v>
      </c>
      <c r="DH101">
        <f t="shared" si="1144"/>
        <v>2.1997458431567645</v>
      </c>
      <c r="DI101">
        <f t="shared" si="1144"/>
        <v>2.2064900665089695</v>
      </c>
      <c r="DJ101">
        <f t="shared" si="1144"/>
        <v>2.2131499870692721</v>
      </c>
      <c r="DK101">
        <f t="shared" si="1144"/>
        <v>2.2197266586225712</v>
      </c>
      <c r="DL101">
        <f t="shared" si="1144"/>
        <v>2.226221121781454</v>
      </c>
      <c r="DM101">
        <f t="shared" si="1144"/>
        <v>2.2326344041508506</v>
      </c>
      <c r="DN101">
        <f t="shared" si="1144"/>
        <v>2.2389675204906299</v>
      </c>
      <c r="DO101">
        <f t="shared" si="1144"/>
        <v>2.2452214728761621</v>
      </c>
      <c r="DP101">
        <f t="shared" si="1144"/>
        <v>2.2513972508568747</v>
      </c>
      <c r="DQ101">
        <f t="shared" si="1144"/>
        <v>2.2574958316128284</v>
      </c>
      <c r="DR101">
        <f t="shared" si="1144"/>
        <v>2.2635181801093327</v>
      </c>
      <c r="DS101">
        <f t="shared" si="1144"/>
        <v>2.269465249249631</v>
      </c>
      <c r="DT101">
        <f t="shared" si="1144"/>
        <v>2.2753379800256752</v>
      </c>
      <c r="DU101">
        <f t="shared" si="1144"/>
        <v>2.2811373016670191</v>
      </c>
      <c r="DV101">
        <f t="shared" si="1144"/>
        <v>2.286864131787846</v>
      </c>
      <c r="DW101">
        <f t="shared" si="1144"/>
        <v>2.2925193765321628</v>
      </c>
      <c r="DX101">
        <f t="shared" si="1144"/>
        <v>2.2981039307171756</v>
      </c>
      <c r="DY101">
        <f t="shared" si="1144"/>
        <v>2.3036186779748755</v>
      </c>
      <c r="DZ101">
        <f t="shared" si="1144"/>
        <v>2.3090644908918545</v>
      </c>
      <c r="EA101">
        <f t="shared" ref="EA101:GL101" si="1145">EA16/$B$118</f>
        <v>2.3144422311473711</v>
      </c>
      <c r="EB101">
        <f t="shared" si="1145"/>
        <v>2.3197527496496937</v>
      </c>
      <c r="EC101">
        <f t="shared" si="1145"/>
        <v>2.3249968866707373</v>
      </c>
      <c r="ED101">
        <f t="shared" si="1145"/>
        <v>2.3301754719790178</v>
      </c>
      <c r="EE101">
        <f t="shared" si="1145"/>
        <v>2.3352893249709448</v>
      </c>
      <c r="EF101">
        <f t="shared" si="1145"/>
        <v>2.3403392548004724</v>
      </c>
      <c r="EG101">
        <f t="shared" si="1145"/>
        <v>2.3453260605071313</v>
      </c>
      <c r="EH101">
        <f t="shared" si="1145"/>
        <v>2.3502505311424571</v>
      </c>
      <c r="EI101">
        <f t="shared" si="1145"/>
        <v>2.3551134458948413</v>
      </c>
      <c r="EJ101">
        <f t="shared" si="1145"/>
        <v>2.3599155742128204</v>
      </c>
      <c r="EK101">
        <f t="shared" si="1145"/>
        <v>2.364657675926825</v>
      </c>
      <c r="EL101">
        <f t="shared" si="1145"/>
        <v>2.3693405013694044</v>
      </c>
      <c r="EM101">
        <f t="shared" si="1145"/>
        <v>2.3739647914939517</v>
      </c>
      <c r="EN101">
        <f t="shared" si="1145"/>
        <v>2.3785312779919416</v>
      </c>
      <c r="EO101">
        <f t="shared" si="1145"/>
        <v>2.3830406834087072</v>
      </c>
      <c r="EP101">
        <f t="shared" si="1145"/>
        <v>2.3874937212577634</v>
      </c>
      <c r="EQ101">
        <f t="shared" si="1145"/>
        <v>2.3918910961337057</v>
      </c>
      <c r="ER101">
        <f t="shared" si="1145"/>
        <v>2.3962335038236993</v>
      </c>
      <c r="ES101">
        <f t="shared" si="1145"/>
        <v>2.4005216314175679</v>
      </c>
      <c r="ET101">
        <f t="shared" si="1145"/>
        <v>2.4047561574165131</v>
      </c>
      <c r="EU101">
        <f t="shared" si="1145"/>
        <v>2.4089377518404711</v>
      </c>
      <c r="EV101">
        <f t="shared" si="1145"/>
        <v>2.4130670763341304</v>
      </c>
      <c r="EW101">
        <f t="shared" si="1145"/>
        <v>2.4171447842716183</v>
      </c>
      <c r="EX101">
        <f t="shared" si="1145"/>
        <v>2.4211715208598878</v>
      </c>
      <c r="EY101">
        <f t="shared" si="1145"/>
        <v>2.4251479232408042</v>
      </c>
      <c r="EZ101">
        <f t="shared" si="1145"/>
        <v>2.4290746205919587</v>
      </c>
      <c r="FA101">
        <f t="shared" si="1145"/>
        <v>2.432952234226224</v>
      </c>
      <c r="FB101">
        <f t="shared" si="1145"/>
        <v>2.4367813776900613</v>
      </c>
      <c r="FC101">
        <f t="shared" si="1145"/>
        <v>2.4405626568606</v>
      </c>
      <c r="FD101">
        <f t="shared" si="1145"/>
        <v>2.4442966700415072</v>
      </c>
      <c r="FE101">
        <f t="shared" si="1145"/>
        <v>2.4479840080576536</v>
      </c>
      <c r="FF101">
        <f t="shared" si="1145"/>
        <v>2.4516252543485977</v>
      </c>
      <c r="FG101">
        <f t="shared" si="1145"/>
        <v>2.455220985060905</v>
      </c>
      <c r="FH101">
        <f t="shared" si="1145"/>
        <v>2.4587717691393083</v>
      </c>
      <c r="FI101">
        <f t="shared" si="1145"/>
        <v>2.4622781684167316</v>
      </c>
      <c r="FJ101">
        <f t="shared" si="1145"/>
        <v>2.4657407377031872</v>
      </c>
      <c r="FK101">
        <f t="shared" si="1145"/>
        <v>2.4691600248735623</v>
      </c>
      <c r="FL101">
        <f t="shared" si="1145"/>
        <v>2.4725365709543077</v>
      </c>
      <c r="FM101">
        <f t="shared" si="1145"/>
        <v>2.4758709102090437</v>
      </c>
      <c r="FN101">
        <f t="shared" si="1145"/>
        <v>2.4791635702230956</v>
      </c>
      <c r="FO101">
        <f t="shared" si="1145"/>
        <v>2.482415071986972</v>
      </c>
      <c r="FP101">
        <f t="shared" si="1145"/>
        <v>2.4856259299787991</v>
      </c>
      <c r="FQ101">
        <f t="shared" si="1145"/>
        <v>2.4887966522457292</v>
      </c>
      <c r="FR101">
        <f t="shared" si="1145"/>
        <v>2.4919277404843223</v>
      </c>
      <c r="FS101">
        <f t="shared" si="1145"/>
        <v>2.4950196901199329</v>
      </c>
      <c r="FT101">
        <f t="shared" si="1145"/>
        <v>2.4980729903850984</v>
      </c>
      <c r="FU101">
        <f t="shared" si="1145"/>
        <v>2.5010881243969494</v>
      </c>
      <c r="FV101">
        <f t="shared" si="1145"/>
        <v>2.5040655692336524</v>
      </c>
      <c r="FW101">
        <f t="shared" si="1145"/>
        <v>2.5070057960098966</v>
      </c>
      <c r="FX101">
        <f t="shared" si="1145"/>
        <v>2.5099092699514376</v>
      </c>
      <c r="FY101">
        <f t="shared" si="1145"/>
        <v>2.5127764504687091</v>
      </c>
      <c r="FZ101">
        <f t="shared" si="1145"/>
        <v>2.5156077912295154</v>
      </c>
      <c r="GA101">
        <f t="shared" si="1145"/>
        <v>2.518403740230811</v>
      </c>
      <c r="GB101">
        <f t="shared" si="1145"/>
        <v>2.5211647398695907</v>
      </c>
      <c r="GC101">
        <f t="shared" si="1145"/>
        <v>2.5238912270128857</v>
      </c>
      <c r="GD101">
        <f t="shared" si="1145"/>
        <v>2.5265836330668892</v>
      </c>
      <c r="GE101">
        <f t="shared" si="1145"/>
        <v>2.5292423840452178</v>
      </c>
      <c r="GF101">
        <f t="shared" si="1145"/>
        <v>2.5318679006363172</v>
      </c>
      <c r="GG101">
        <f t="shared" si="1145"/>
        <v>2.5344605982700279</v>
      </c>
      <c r="GH101">
        <f t="shared" si="1145"/>
        <v>2.5370208871833175</v>
      </c>
      <c r="GI101">
        <f t="shared" si="1145"/>
        <v>2.5395491724851906</v>
      </c>
      <c r="GJ101">
        <f t="shared" si="1145"/>
        <v>2.5420458542207904</v>
      </c>
      <c r="GK101">
        <f t="shared" si="1145"/>
        <v>2.5445113274346953</v>
      </c>
      <c r="GL101">
        <f t="shared" si="1145"/>
        <v>2.5469459822334262</v>
      </c>
      <c r="GM101">
        <f t="shared" ref="GM101:IV101" si="1146">GM16/$B$118</f>
        <v>2.5493502038471734</v>
      </c>
      <c r="GN101">
        <f t="shared" si="1146"/>
        <v>2.5517243726907486</v>
      </c>
      <c r="GO101">
        <f t="shared" si="1146"/>
        <v>2.5540688644237788</v>
      </c>
      <c r="GP101">
        <f t="shared" si="1146"/>
        <v>2.5563840500101462</v>
      </c>
      <c r="GQ101">
        <f t="shared" si="1146"/>
        <v>2.5586702957766843</v>
      </c>
      <c r="GR101">
        <f t="shared" si="1146"/>
        <v>2.5609279634711406</v>
      </c>
      <c r="GS101">
        <f t="shared" si="1146"/>
        <v>2.5631574103194161</v>
      </c>
      <c r="GT101">
        <f t="shared" si="1146"/>
        <v>2.5653589890820885</v>
      </c>
      <c r="GU101">
        <f t="shared" si="1146"/>
        <v>2.567533048110227</v>
      </c>
      <c r="GV101">
        <f t="shared" si="1146"/>
        <v>2.5696799314005139</v>
      </c>
      <c r="GW101">
        <f t="shared" si="1146"/>
        <v>2.5717999786496724</v>
      </c>
      <c r="GX101">
        <f t="shared" si="1146"/>
        <v>2.573893525308216</v>
      </c>
      <c r="GY101">
        <f t="shared" si="1146"/>
        <v>2.5759609026335282</v>
      </c>
      <c r="GZ101">
        <f t="shared" si="1146"/>
        <v>2.5780024377422737</v>
      </c>
      <c r="HA101">
        <f t="shared" si="1146"/>
        <v>2.5800184536621602</v>
      </c>
      <c r="HB101">
        <f t="shared" si="1146"/>
        <v>2.5820092693830481</v>
      </c>
      <c r="HC101">
        <f t="shared" si="1146"/>
        <v>2.5839751999074245</v>
      </c>
      <c r="HD101">
        <f t="shared" si="1146"/>
        <v>2.5859165563002469</v>
      </c>
      <c r="HE101">
        <f t="shared" si="1146"/>
        <v>2.5878336457381583</v>
      </c>
      <c r="HF101">
        <f t="shared" si="1146"/>
        <v>2.5897267715580963</v>
      </c>
      <c r="HG101">
        <f t="shared" si="1146"/>
        <v>2.5915962333052849</v>
      </c>
      <c r="HH101">
        <f t="shared" si="1146"/>
        <v>2.5934423267806332</v>
      </c>
      <c r="HI101">
        <f t="shared" si="1146"/>
        <v>2.5952653440875402</v>
      </c>
      <c r="HJ101">
        <f t="shared" si="1146"/>
        <v>2.597065573678111</v>
      </c>
      <c r="HK101">
        <f t="shared" si="1146"/>
        <v>2.5988433003987992</v>
      </c>
      <c r="HL101">
        <f t="shared" si="1146"/>
        <v>2.600598805535479</v>
      </c>
      <c r="HM101">
        <f t="shared" si="1146"/>
        <v>2.6023323668579503</v>
      </c>
      <c r="HN101">
        <f t="shared" si="1146"/>
        <v>2.6040442586638903</v>
      </c>
      <c r="HO101">
        <f t="shared" si="1146"/>
        <v>2.6057347518222569</v>
      </c>
      <c r="HP101">
        <f t="shared" si="1146"/>
        <v>2.6074041138161435</v>
      </c>
      <c r="HQ101">
        <f t="shared" si="1146"/>
        <v>2.6090526087851065</v>
      </c>
      <c r="HR101">
        <f t="shared" si="1146"/>
        <v>2.6106804975669573</v>
      </c>
      <c r="HS101">
        <f t="shared" si="1146"/>
        <v>2.612288037739035</v>
      </c>
      <c r="HT101">
        <f t="shared" si="1146"/>
        <v>2.6138754836589619</v>
      </c>
      <c r="HU101">
        <f t="shared" si="1146"/>
        <v>2.6154430865048899</v>
      </c>
      <c r="HV101">
        <f t="shared" si="1146"/>
        <v>2.6169910943152437</v>
      </c>
      <c r="HW101">
        <f t="shared" si="1146"/>
        <v>2.6185197520279679</v>
      </c>
      <c r="HX101">
        <f t="shared" si="1146"/>
        <v>2.620029301519283</v>
      </c>
      <c r="HY101">
        <f t="shared" si="1146"/>
        <v>2.6215199816419568</v>
      </c>
      <c r="HZ101">
        <f t="shared" si="1146"/>
        <v>2.6229920282630972</v>
      </c>
      <c r="IA101">
        <f t="shared" si="1146"/>
        <v>2.624445674301473</v>
      </c>
      <c r="IB101">
        <f t="shared" si="1146"/>
        <v>2.6258811497643695</v>
      </c>
      <c r="IC101">
        <f t="shared" si="1146"/>
        <v>2.6272986817839796</v>
      </c>
      <c r="ID101">
        <f t="shared" si="1146"/>
        <v>2.6286984946533449</v>
      </c>
      <c r="IE101">
        <f t="shared" si="1146"/>
        <v>2.6300808098618429</v>
      </c>
      <c r="IF101">
        <f t="shared" si="1146"/>
        <v>2.6314458461302346</v>
      </c>
      <c r="IG101">
        <f t="shared" si="1146"/>
        <v>2.6327938194452711</v>
      </c>
      <c r="IH101">
        <f t="shared" si="1146"/>
        <v>2.63412494309387</v>
      </c>
      <c r="II101">
        <f t="shared" si="1146"/>
        <v>2.6354394276968618</v>
      </c>
      <c r="IJ101">
        <f t="shared" si="1146"/>
        <v>2.6367374812423154</v>
      </c>
      <c r="IK101">
        <f t="shared" si="1146"/>
        <v>2.6380193091184516</v>
      </c>
      <c r="IL101">
        <f t="shared" si="1146"/>
        <v>2.6392851141461353</v>
      </c>
      <c r="IM101">
        <f t="shared" si="1146"/>
        <v>2.6405350966109737</v>
      </c>
      <c r="IN101">
        <f t="shared" si="1146"/>
        <v>2.6417694542950012</v>
      </c>
      <c r="IO101">
        <f t="shared" si="1146"/>
        <v>2.6429883825079785</v>
      </c>
      <c r="IP101">
        <f t="shared" si="1146"/>
        <v>2.6441920741182936</v>
      </c>
      <c r="IQ101">
        <f t="shared" si="1146"/>
        <v>2.6453807195834798</v>
      </c>
      <c r="IR101">
        <f t="shared" si="1146"/>
        <v>2.6465545069803507</v>
      </c>
      <c r="IS101">
        <f t="shared" si="1146"/>
        <v>2.647713622034761</v>
      </c>
      <c r="IT101">
        <f t="shared" si="1146"/>
        <v>2.6488582481509915</v>
      </c>
      <c r="IU101">
        <f t="shared" si="1146"/>
        <v>2.649988566440769</v>
      </c>
      <c r="IV101">
        <f t="shared" si="1146"/>
        <v>2.6511047557519243</v>
      </c>
    </row>
    <row r="102" spans="1:256" x14ac:dyDescent="0.2">
      <c r="A102" t="s">
        <v>573</v>
      </c>
      <c r="B102">
        <v>0.46971038818359373</v>
      </c>
      <c r="C102">
        <f t="shared" ref="C102:BN102" si="1147">C17/$B$119</f>
        <v>0.99822462905580411</v>
      </c>
      <c r="D102">
        <f t="shared" si="1147"/>
        <v>0.99647145024841066</v>
      </c>
      <c r="E102">
        <f t="shared" si="1147"/>
        <v>0.9947401861761096</v>
      </c>
      <c r="F102">
        <f t="shared" si="1147"/>
        <v>0.99303056290471237</v>
      </c>
      <c r="G102">
        <f t="shared" si="1147"/>
        <v>0.99134230992420758</v>
      </c>
      <c r="H102">
        <f t="shared" si="1147"/>
        <v>0.98967516010595913</v>
      </c>
      <c r="I102">
        <f t="shared" si="1147"/>
        <v>0.98802884966043869</v>
      </c>
      <c r="J102">
        <f t="shared" si="1147"/>
        <v>0.98640311809548731</v>
      </c>
      <c r="K102">
        <f t="shared" si="1147"/>
        <v>0.98994741671064812</v>
      </c>
      <c r="L102">
        <f t="shared" si="1147"/>
        <v>0.99344741159311944</v>
      </c>
      <c r="M102">
        <f t="shared" si="1147"/>
        <v>0.99690365653955992</v>
      </c>
      <c r="N102">
        <f t="shared" si="1147"/>
        <v>1.0003166984241698</v>
      </c>
      <c r="O102">
        <f t="shared" si="1147"/>
        <v>1.0036870772852222</v>
      </c>
      <c r="P102">
        <f t="shared" si="1147"/>
        <v>1.0070153264105113</v>
      </c>
      <c r="Q102">
        <f t="shared" si="1147"/>
        <v>1.0103019724217341</v>
      </c>
      <c r="R102">
        <f t="shared" si="1147"/>
        <v>1.0135475353578169</v>
      </c>
      <c r="S102">
        <f t="shared" si="1147"/>
        <v>1.0110852315379422</v>
      </c>
      <c r="T102">
        <f t="shared" si="1147"/>
        <v>1.0086537065158157</v>
      </c>
      <c r="U102">
        <f t="shared" si="1147"/>
        <v>1.006252575556466</v>
      </c>
      <c r="V102">
        <f t="shared" si="1147"/>
        <v>1.0038814587341081</v>
      </c>
      <c r="W102">
        <f t="shared" si="1147"/>
        <v>1.0015399808720296</v>
      </c>
      <c r="X102">
        <f t="shared" si="1147"/>
        <v>0.99922777148322717</v>
      </c>
      <c r="Y102">
        <f t="shared" si="1147"/>
        <v>0.99694446471178477</v>
      </c>
      <c r="Z102">
        <f t="shared" si="1147"/>
        <v>0.9946896992749853</v>
      </c>
      <c r="AA102">
        <f t="shared" si="1147"/>
        <v>0.99885557603702235</v>
      </c>
      <c r="AB102">
        <f t="shared" si="1147"/>
        <v>1.0029693793395338</v>
      </c>
      <c r="AC102">
        <f t="shared" si="1147"/>
        <v>1.0070317601007637</v>
      </c>
      <c r="AD102">
        <f t="shared" si="1147"/>
        <v>1.0110433611024785</v>
      </c>
      <c r="AE102">
        <f t="shared" si="1147"/>
        <v>1.0150048170916717</v>
      </c>
      <c r="AF102">
        <f t="shared" si="1147"/>
        <v>1.0189167548809999</v>
      </c>
      <c r="AG102">
        <f t="shared" si="1147"/>
        <v>1.0227797934479617</v>
      </c>
      <c r="AH102">
        <f t="shared" si="1147"/>
        <v>1.0265945440328363</v>
      </c>
      <c r="AI102">
        <f t="shared" si="1147"/>
        <v>1.0215590688830556</v>
      </c>
      <c r="AJ102">
        <f t="shared" si="1147"/>
        <v>1.0165865371726475</v>
      </c>
      <c r="AK102">
        <f t="shared" si="1147"/>
        <v>1.011676162108619</v>
      </c>
      <c r="AL102">
        <f t="shared" si="1147"/>
        <v>1.0068271667328912</v>
      </c>
      <c r="AM102">
        <f t="shared" si="1147"/>
        <v>1.0020387837993598</v>
      </c>
      <c r="AN102">
        <f t="shared" si="1147"/>
        <v>0.99731025565249765</v>
      </c>
      <c r="AO102">
        <f t="shared" si="1147"/>
        <v>0.99264083410747128</v>
      </c>
      <c r="AP102">
        <f t="shared" si="1147"/>
        <v>0.9880297803317577</v>
      </c>
      <c r="AQ102">
        <f t="shared" si="1147"/>
        <v>0.99127332137887036</v>
      </c>
      <c r="AR102">
        <f t="shared" si="1147"/>
        <v>0.99447631816289417</v>
      </c>
      <c r="AS102">
        <f t="shared" si="1147"/>
        <v>0.99763927748711756</v>
      </c>
      <c r="AT102">
        <f t="shared" si="1147"/>
        <v>1.0007626998197883</v>
      </c>
      <c r="AU102">
        <f t="shared" si="1147"/>
        <v>1.0038470793733005</v>
      </c>
      <c r="AV102">
        <f t="shared" si="1147"/>
        <v>1.006892904182394</v>
      </c>
      <c r="AW102">
        <f t="shared" si="1147"/>
        <v>1.0099006561813737</v>
      </c>
      <c r="AX102">
        <f t="shared" si="1147"/>
        <v>1.0128708112803662</v>
      </c>
      <c r="AY102">
        <f t="shared" si="1147"/>
        <v>1.0168094241184422</v>
      </c>
      <c r="AZ102">
        <f t="shared" si="1147"/>
        <v>1.0206988042960425</v>
      </c>
      <c r="BA102">
        <f t="shared" si="1147"/>
        <v>1.0245395672214228</v>
      </c>
      <c r="BB102">
        <f t="shared" si="1147"/>
        <v>1.0283323206102357</v>
      </c>
      <c r="BC102">
        <f t="shared" si="1147"/>
        <v>1.0320776645816887</v>
      </c>
      <c r="BD102">
        <f t="shared" si="1147"/>
        <v>1.0357761917534982</v>
      </c>
      <c r="BE102">
        <f t="shared" si="1147"/>
        <v>1.0394284873356603</v>
      </c>
      <c r="BF102">
        <f t="shared" si="1147"/>
        <v>1.0430351292230453</v>
      </c>
      <c r="BG102">
        <f t="shared" si="1147"/>
        <v>1.0465966880868378</v>
      </c>
      <c r="BH102">
        <f t="shared" si="1147"/>
        <v>1.0501137274648331</v>
      </c>
      <c r="BI102">
        <f t="shared" si="1147"/>
        <v>1.0535868038506035</v>
      </c>
      <c r="BJ102">
        <f t="shared" si="1147"/>
        <v>1.0570164667815516</v>
      </c>
      <c r="BK102">
        <f t="shared" si="1147"/>
        <v>1.060403258925863</v>
      </c>
      <c r="BL102">
        <f t="shared" si="1147"/>
        <v>1.0637477161683704</v>
      </c>
      <c r="BM102">
        <f t="shared" si="1147"/>
        <v>1.0670503676953464</v>
      </c>
      <c r="BN102">
        <f t="shared" si="1147"/>
        <v>1.0703117360782355</v>
      </c>
      <c r="BO102">
        <f t="shared" ref="BO102:DZ102" si="1148">BO17/$B$119</f>
        <v>1.0735323373563384</v>
      </c>
      <c r="BP102">
        <f t="shared" si="1148"/>
        <v>1.0767126811184649</v>
      </c>
      <c r="BQ102">
        <f t="shared" si="1148"/>
        <v>1.0798532705835648</v>
      </c>
      <c r="BR102">
        <f t="shared" si="1148"/>
        <v>1.0829546026803509</v>
      </c>
      <c r="BS102">
        <f t="shared" si="1148"/>
        <v>1.0860171681259272</v>
      </c>
      <c r="BT102">
        <f t="shared" si="1148"/>
        <v>1.0890414515034339</v>
      </c>
      <c r="BU102">
        <f t="shared" si="1148"/>
        <v>1.0920279313387218</v>
      </c>
      <c r="BV102">
        <f t="shared" si="1148"/>
        <v>1.0949770801760685</v>
      </c>
      <c r="BW102">
        <f t="shared" si="1148"/>
        <v>1.0978893646529484</v>
      </c>
      <c r="BX102">
        <f t="shared" si="1148"/>
        <v>1.1007652455738672</v>
      </c>
      <c r="BY102">
        <f t="shared" si="1148"/>
        <v>1.1036051779832745</v>
      </c>
      <c r="BZ102">
        <f t="shared" si="1148"/>
        <v>1.1064096112375643</v>
      </c>
      <c r="CA102">
        <f t="shared" si="1148"/>
        <v>1.1091789890761756</v>
      </c>
      <c r="CB102">
        <f t="shared" si="1148"/>
        <v>1.1119137496918041</v>
      </c>
      <c r="CC102">
        <f t="shared" si="1148"/>
        <v>1.1146143257997374</v>
      </c>
      <c r="CD102">
        <f t="shared" si="1148"/>
        <v>1.1172811447063213</v>
      </c>
      <c r="CE102">
        <f t="shared" si="1148"/>
        <v>1.1199146283765731</v>
      </c>
      <c r="CF102">
        <f t="shared" si="1148"/>
        <v>1.1225151935009468</v>
      </c>
      <c r="CG102">
        <f t="shared" si="1148"/>
        <v>1.1250832515612657</v>
      </c>
      <c r="CH102">
        <f t="shared" si="1148"/>
        <v>1.1276192088958306</v>
      </c>
      <c r="CI102">
        <f t="shared" si="1148"/>
        <v>1.1301234667637134</v>
      </c>
      <c r="CJ102">
        <f t="shared" si="1148"/>
        <v>1.1325964214082478</v>
      </c>
      <c r="CK102">
        <f t="shared" si="1148"/>
        <v>1.1350384641197255</v>
      </c>
      <c r="CL102">
        <f t="shared" si="1148"/>
        <v>1.1374499812973096</v>
      </c>
      <c r="CM102">
        <f t="shared" si="1148"/>
        <v>1.1398313545101741</v>
      </c>
      <c r="CN102">
        <f t="shared" si="1148"/>
        <v>1.1421829605578777</v>
      </c>
      <c r="CO102">
        <f t="shared" si="1148"/>
        <v>1.144505171529985</v>
      </c>
      <c r="CP102">
        <f t="shared" si="1148"/>
        <v>1.146798354864941</v>
      </c>
      <c r="CQ102">
        <f t="shared" si="1148"/>
        <v>1.1490628734082098</v>
      </c>
      <c r="CR102">
        <f t="shared" si="1148"/>
        <v>1.1512990854696878</v>
      </c>
      <c r="CS102">
        <f t="shared" si="1148"/>
        <v>1.1535073448803974</v>
      </c>
      <c r="CT102">
        <f t="shared" si="1148"/>
        <v>1.1556880010484734</v>
      </c>
      <c r="CU102">
        <f t="shared" si="1148"/>
        <v>1.1578413990144483</v>
      </c>
      <c r="CV102">
        <f t="shared" si="1148"/>
        <v>1.1599678795058483</v>
      </c>
      <c r="CW102">
        <f t="shared" si="1148"/>
        <v>1.162067778991106</v>
      </c>
      <c r="CX102">
        <f t="shared" si="1148"/>
        <v>1.1641414297327979</v>
      </c>
      <c r="CY102">
        <f t="shared" si="1148"/>
        <v>1.1661891598402188</v>
      </c>
      <c r="CZ102">
        <f t="shared" si="1148"/>
        <v>1.1682112933212967</v>
      </c>
      <c r="DA102">
        <f t="shared" si="1148"/>
        <v>1.1702081501338613</v>
      </c>
      <c r="DB102">
        <f t="shared" si="1148"/>
        <v>1.1721800462362688</v>
      </c>
      <c r="DC102">
        <f t="shared" si="1148"/>
        <v>1.1741272936373963</v>
      </c>
      <c r="DD102">
        <f t="shared" si="1148"/>
        <v>1.1760502004460096</v>
      </c>
      <c r="DE102">
        <f t="shared" si="1148"/>
        <v>1.1779490709195151</v>
      </c>
      <c r="DF102">
        <f t="shared" si="1148"/>
        <v>1.179824205512102</v>
      </c>
      <c r="DG102">
        <f t="shared" si="1148"/>
        <v>1.1816759009222815</v>
      </c>
      <c r="DH102">
        <f t="shared" si="1148"/>
        <v>1.1835044501398337</v>
      </c>
      <c r="DI102">
        <f t="shared" si="1148"/>
        <v>1.1853101424921666</v>
      </c>
      <c r="DJ102">
        <f t="shared" si="1148"/>
        <v>1.1870932636900953</v>
      </c>
      <c r="DK102">
        <f t="shared" si="1148"/>
        <v>1.1888540958730498</v>
      </c>
      <c r="DL102">
        <f t="shared" si="1148"/>
        <v>1.1905929176537176</v>
      </c>
      <c r="DM102">
        <f t="shared" si="1148"/>
        <v>1.1923100041621268</v>
      </c>
      <c r="DN102">
        <f t="shared" si="1148"/>
        <v>1.1940056270891808</v>
      </c>
      <c r="DO102">
        <f t="shared" si="1148"/>
        <v>1.1956800547296469</v>
      </c>
      <c r="DP102">
        <f t="shared" si="1148"/>
        <v>1.1973335520246071</v>
      </c>
      <c r="DQ102">
        <f t="shared" si="1148"/>
        <v>1.1989663806033801</v>
      </c>
      <c r="DR102">
        <f t="shared" si="1148"/>
        <v>1.2005787988249188</v>
      </c>
      <c r="DS102">
        <f t="shared" si="1148"/>
        <v>1.202171061818688</v>
      </c>
      <c r="DT102">
        <f t="shared" si="1148"/>
        <v>1.2037434215250351</v>
      </c>
      <c r="DU102">
        <f t="shared" si="1148"/>
        <v>1.205296126735053</v>
      </c>
      <c r="DV102">
        <f t="shared" si="1148"/>
        <v>1.2068294231299457</v>
      </c>
      <c r="DW102">
        <f t="shared" si="1148"/>
        <v>1.2083435533199021</v>
      </c>
      <c r="DX102">
        <f t="shared" si="1148"/>
        <v>1.209838756882484</v>
      </c>
      <c r="DY102">
        <f t="shared" si="1148"/>
        <v>1.2113152704005337</v>
      </c>
      <c r="DZ102">
        <f t="shared" si="1148"/>
        <v>1.2127733274996078</v>
      </c>
      <c r="EA102">
        <f t="shared" ref="EA102:GL102" si="1149">EA17/$B$119</f>
        <v>1.2142131588849434</v>
      </c>
      <c r="EB102">
        <f t="shared" si="1149"/>
        <v>1.2156349923779624</v>
      </c>
      <c r="EC102">
        <f t="shared" si="1149"/>
        <v>1.2170390529523185</v>
      </c>
      <c r="ED102">
        <f t="shared" si="1149"/>
        <v>1.2184255627694953</v>
      </c>
      <c r="EE102">
        <f t="shared" si="1149"/>
        <v>1.2197947412139576</v>
      </c>
      <c r="EF102">
        <f t="shared" si="1149"/>
        <v>1.2211468049278638</v>
      </c>
      <c r="EG102">
        <f t="shared" si="1149"/>
        <v>1.222481967845346</v>
      </c>
      <c r="EH102">
        <f t="shared" si="1149"/>
        <v>1.2238004412263601</v>
      </c>
      <c r="EI102">
        <f t="shared" si="1149"/>
        <v>1.2251024336901113</v>
      </c>
      <c r="EJ102">
        <f t="shared" si="1149"/>
        <v>1.2263881512480657</v>
      </c>
      <c r="EK102">
        <f t="shared" si="1149"/>
        <v>1.2276577973365457</v>
      </c>
      <c r="EL102">
        <f t="shared" si="1149"/>
        <v>1.2289115728489195</v>
      </c>
      <c r="EM102">
        <f t="shared" si="1149"/>
        <v>1.2301496761673887</v>
      </c>
      <c r="EN102">
        <f t="shared" si="1149"/>
        <v>1.2313723031943771</v>
      </c>
      <c r="EO102">
        <f t="shared" si="1149"/>
        <v>1.232579647383528</v>
      </c>
      <c r="EP102">
        <f t="shared" si="1149"/>
        <v>1.2337718997703147</v>
      </c>
      <c r="EQ102">
        <f t="shared" si="1149"/>
        <v>1.2349492490022664</v>
      </c>
      <c r="ER102">
        <f t="shared" si="1149"/>
        <v>1.2361118813688188</v>
      </c>
      <c r="ES102">
        <f t="shared" si="1149"/>
        <v>1.2372599808307894</v>
      </c>
      <c r="ET102">
        <f t="shared" si="1149"/>
        <v>1.2383937290494853</v>
      </c>
      <c r="EU102">
        <f t="shared" si="1149"/>
        <v>1.2395133054154475</v>
      </c>
      <c r="EV102">
        <f t="shared" si="1149"/>
        <v>1.2406188870768351</v>
      </c>
      <c r="EW102">
        <f t="shared" si="1149"/>
        <v>1.2417106489674554</v>
      </c>
      <c r="EX102">
        <f t="shared" si="1149"/>
        <v>1.2427887638344428</v>
      </c>
      <c r="EY102">
        <f t="shared" si="1149"/>
        <v>1.2438534022655932</v>
      </c>
      <c r="EZ102">
        <f t="shared" si="1149"/>
        <v>1.244904732716354</v>
      </c>
      <c r="FA102">
        <f t="shared" si="1149"/>
        <v>1.2459429215364803</v>
      </c>
      <c r="FB102">
        <f t="shared" si="1149"/>
        <v>1.2469681329963549</v>
      </c>
      <c r="FC102">
        <f t="shared" si="1149"/>
        <v>1.2479805293129813</v>
      </c>
      <c r="FD102">
        <f t="shared" si="1149"/>
        <v>1.2489802706756497</v>
      </c>
      <c r="FE102">
        <f t="shared" si="1149"/>
        <v>1.2499675152712848</v>
      </c>
      <c r="FF102">
        <f t="shared" si="1149"/>
        <v>1.2509424193094745</v>
      </c>
      <c r="FG102">
        <f t="shared" si="1149"/>
        <v>1.251905137047187</v>
      </c>
      <c r="FH102">
        <f t="shared" si="1149"/>
        <v>1.2528558208131777</v>
      </c>
      <c r="FI102">
        <f t="shared" si="1149"/>
        <v>1.2537946210320938</v>
      </c>
      <c r="FJ102">
        <f t="shared" si="1149"/>
        <v>1.2547216862482733</v>
      </c>
      <c r="FK102">
        <f t="shared" si="1149"/>
        <v>1.2556371631492507</v>
      </c>
      <c r="FL102">
        <f t="shared" si="1149"/>
        <v>1.2565411965889657</v>
      </c>
      <c r="FM102">
        <f t="shared" si="1149"/>
        <v>1.2574339296106845</v>
      </c>
      <c r="FN102">
        <f t="shared" si="1149"/>
        <v>1.2583155034696316</v>
      </c>
      <c r="FO102">
        <f t="shared" si="1149"/>
        <v>1.259186057655342</v>
      </c>
      <c r="FP102">
        <f t="shared" si="1149"/>
        <v>1.2600457299137311</v>
      </c>
      <c r="FQ102">
        <f t="shared" si="1149"/>
        <v>1.2608946562688901</v>
      </c>
      <c r="FR102">
        <f t="shared" si="1149"/>
        <v>1.2617329710446097</v>
      </c>
      <c r="FS102">
        <f t="shared" si="1149"/>
        <v>1.2625608068856329</v>
      </c>
      <c r="FT102">
        <f t="shared" si="1149"/>
        <v>1.2633782947786432</v>
      </c>
      <c r="FU102">
        <f t="shared" si="1149"/>
        <v>1.2641855640729909</v>
      </c>
      <c r="FV102">
        <f t="shared" si="1149"/>
        <v>1.2649827425011593</v>
      </c>
      <c r="FW102">
        <f t="shared" si="1149"/>
        <v>1.2657699561989755</v>
      </c>
      <c r="FX102">
        <f t="shared" si="1149"/>
        <v>1.2665473297255692</v>
      </c>
      <c r="FY102">
        <f t="shared" si="1149"/>
        <v>1.2673149860830804</v>
      </c>
      <c r="FZ102">
        <f t="shared" si="1149"/>
        <v>1.2680730467361225</v>
      </c>
      <c r="GA102">
        <f t="shared" si="1149"/>
        <v>1.2688216316310017</v>
      </c>
      <c r="GB102">
        <f t="shared" si="1149"/>
        <v>1.269560859214695</v>
      </c>
      <c r="GC102">
        <f t="shared" si="1149"/>
        <v>1.270290846453592</v>
      </c>
      <c r="GD102">
        <f t="shared" si="1149"/>
        <v>1.271011708852003</v>
      </c>
      <c r="GE102">
        <f t="shared" si="1149"/>
        <v>1.2717235604704336</v>
      </c>
      <c r="GF102">
        <f t="shared" si="1149"/>
        <v>1.2724265139436339</v>
      </c>
      <c r="GG102">
        <f t="shared" si="1149"/>
        <v>1.2731206804984192</v>
      </c>
      <c r="GH102">
        <f t="shared" si="1149"/>
        <v>1.2738061699712697</v>
      </c>
      <c r="GI102">
        <f t="shared" si="1149"/>
        <v>1.2744830908257094</v>
      </c>
      <c r="GJ102">
        <f t="shared" si="1149"/>
        <v>1.2751515501694688</v>
      </c>
      <c r="GK102">
        <f t="shared" si="1149"/>
        <v>1.2758116537714312</v>
      </c>
      <c r="GL102">
        <f t="shared" si="1149"/>
        <v>1.2764635060783691</v>
      </c>
      <c r="GM102">
        <f t="shared" ref="GM102:IV102" si="1150">GM17/$B$119</f>
        <v>1.2771072102314702</v>
      </c>
      <c r="GN102">
        <f t="shared" si="1150"/>
        <v>1.2777428680826575</v>
      </c>
      <c r="GO102">
        <f t="shared" si="1150"/>
        <v>1.278370580210705</v>
      </c>
      <c r="GP102">
        <f t="shared" si="1150"/>
        <v>1.2789904459371519</v>
      </c>
      <c r="GQ102">
        <f t="shared" si="1150"/>
        <v>1.2796025633420183</v>
      </c>
      <c r="GR102">
        <f t="shared" si="1150"/>
        <v>1.2802070292793237</v>
      </c>
      <c r="GS102">
        <f t="shared" si="1150"/>
        <v>1.2808039393924129</v>
      </c>
      <c r="GT102">
        <f t="shared" si="1150"/>
        <v>1.2813933881290884</v>
      </c>
      <c r="GU102">
        <f t="shared" si="1150"/>
        <v>1.2819754687565557</v>
      </c>
      <c r="GV102">
        <f t="shared" si="1150"/>
        <v>1.2825502733761796</v>
      </c>
      <c r="GW102">
        <f t="shared" si="1150"/>
        <v>1.283117892938058</v>
      </c>
      <c r="GX102">
        <f t="shared" si="1150"/>
        <v>1.283678417255413</v>
      </c>
      <c r="GY102">
        <f t="shared" si="1150"/>
        <v>1.2842319350188012</v>
      </c>
      <c r="GZ102">
        <f t="shared" si="1150"/>
        <v>1.2847785338101467</v>
      </c>
      <c r="HA102">
        <f t="shared" si="1150"/>
        <v>1.2853183001166006</v>
      </c>
      <c r="HB102">
        <f t="shared" si="1150"/>
        <v>1.285851319344224</v>
      </c>
      <c r="HC102">
        <f t="shared" si="1150"/>
        <v>1.286377675831502</v>
      </c>
      <c r="HD102">
        <f t="shared" si="1150"/>
        <v>1.2868974528626889</v>
      </c>
      <c r="HE102">
        <f t="shared" si="1150"/>
        <v>1.287410732680986</v>
      </c>
      <c r="HF102">
        <f t="shared" si="1150"/>
        <v>1.2879175965015546</v>
      </c>
      <c r="HG102">
        <f t="shared" si="1150"/>
        <v>1.2884181245243658</v>
      </c>
      <c r="HH102">
        <f t="shared" si="1150"/>
        <v>1.288912395946892</v>
      </c>
      <c r="HI102">
        <f t="shared" si="1150"/>
        <v>1.2894004889766366</v>
      </c>
      <c r="HJ102">
        <f t="shared" si="1150"/>
        <v>1.2898824808435094</v>
      </c>
      <c r="HK102">
        <f t="shared" si="1150"/>
        <v>1.2903584478120462</v>
      </c>
      <c r="HL102">
        <f t="shared" si="1150"/>
        <v>1.2908284651934765</v>
      </c>
      <c r="HM102">
        <f t="shared" si="1150"/>
        <v>1.2912926073576387</v>
      </c>
      <c r="HN102">
        <f t="shared" si="1150"/>
        <v>1.2917509477447489</v>
      </c>
      <c r="HO102">
        <f t="shared" si="1150"/>
        <v>1.2922035588770202</v>
      </c>
      <c r="HP102">
        <f t="shared" si="1150"/>
        <v>1.2926505123701384</v>
      </c>
      <c r="HQ102">
        <f t="shared" si="1150"/>
        <v>1.2930918789445924</v>
      </c>
      <c r="HR102">
        <f t="shared" si="1150"/>
        <v>1.2935277284368658</v>
      </c>
      <c r="HS102">
        <f t="shared" si="1150"/>
        <v>1.2939581298104856</v>
      </c>
      <c r="HT102">
        <f t="shared" si="1150"/>
        <v>1.2943831511669353</v>
      </c>
      <c r="HU102">
        <f t="shared" si="1150"/>
        <v>1.2948028597564294</v>
      </c>
      <c r="HV102">
        <f t="shared" si="1150"/>
        <v>1.2952173219885548</v>
      </c>
      <c r="HW102">
        <f t="shared" si="1150"/>
        <v>1.2956266034427784</v>
      </c>
      <c r="HX102">
        <f t="shared" si="1150"/>
        <v>1.2960307688788244</v>
      </c>
      <c r="HY102">
        <f t="shared" si="1150"/>
        <v>1.2964298822469198</v>
      </c>
      <c r="HZ102">
        <f t="shared" si="1150"/>
        <v>1.2968240066979142</v>
      </c>
      <c r="IA102">
        <f t="shared" si="1150"/>
        <v>1.2972132045932709</v>
      </c>
      <c r="IB102">
        <f t="shared" si="1150"/>
        <v>1.297597537514936</v>
      </c>
      <c r="IC102">
        <f t="shared" si="1150"/>
        <v>1.2979770662750798</v>
      </c>
      <c r="ID102">
        <f t="shared" si="1150"/>
        <v>1.2983518509257221</v>
      </c>
      <c r="IE102">
        <f t="shared" si="1150"/>
        <v>1.2987219507682315</v>
      </c>
      <c r="IF102">
        <f t="shared" si="1150"/>
        <v>1.2990874243627093</v>
      </c>
      <c r="IG102">
        <f t="shared" si="1150"/>
        <v>1.2994483295372561</v>
      </c>
      <c r="IH102">
        <f t="shared" si="1150"/>
        <v>1.2998047233971213</v>
      </c>
      <c r="II102">
        <f t="shared" si="1150"/>
        <v>1.3001566623337379</v>
      </c>
      <c r="IJ102">
        <f t="shared" si="1150"/>
        <v>1.3005042020336468</v>
      </c>
      <c r="IK102">
        <f t="shared" si="1150"/>
        <v>1.3008473974873072</v>
      </c>
      <c r="IL102">
        <f t="shared" si="1150"/>
        <v>1.3011863029977966</v>
      </c>
      <c r="IM102">
        <f t="shared" si="1150"/>
        <v>1.3015209721894048</v>
      </c>
      <c r="IN102">
        <f t="shared" si="1150"/>
        <v>1.301851458016118</v>
      </c>
      <c r="IO102">
        <f t="shared" si="1150"/>
        <v>1.3021778127699972</v>
      </c>
      <c r="IP102">
        <f t="shared" si="1150"/>
        <v>1.3025000880894531</v>
      </c>
      <c r="IQ102">
        <f t="shared" si="1150"/>
        <v>1.3028183349674156</v>
      </c>
      <c r="IR102">
        <f t="shared" si="1150"/>
        <v>1.3031326037594035</v>
      </c>
      <c r="IS102">
        <f t="shared" si="1150"/>
        <v>1.3034429441914919</v>
      </c>
      <c r="IT102">
        <f t="shared" si="1150"/>
        <v>1.3037494053681788</v>
      </c>
      <c r="IU102">
        <f t="shared" si="1150"/>
        <v>1.3040520357801575</v>
      </c>
      <c r="IV102">
        <f t="shared" si="1150"/>
        <v>1.3043508833119861</v>
      </c>
    </row>
    <row r="103" spans="1:256" x14ac:dyDescent="0.2">
      <c r="A103" t="s">
        <v>574</v>
      </c>
      <c r="B103">
        <v>0.69426445007324222</v>
      </c>
      <c r="C103">
        <f t="shared" ref="C103:BN103" si="1151">C18/$B$120</f>
        <v>0.9876580813333895</v>
      </c>
      <c r="D103">
        <f t="shared" si="1151"/>
        <v>0.97952182496038331</v>
      </c>
      <c r="E103">
        <f t="shared" si="1151"/>
        <v>0.97166990013221655</v>
      </c>
      <c r="F103">
        <f t="shared" si="1151"/>
        <v>0.96409822626372543</v>
      </c>
      <c r="G103">
        <f t="shared" si="1151"/>
        <v>0.95680264391186942</v>
      </c>
      <c r="H103">
        <f t="shared" si="1151"/>
        <v>0.94977893466323515</v>
      </c>
      <c r="I103">
        <f t="shared" si="1151"/>
        <v>0.9430228399619206</v>
      </c>
      <c r="J103">
        <f t="shared" si="1151"/>
        <v>0.93653007887419393</v>
      </c>
      <c r="K103">
        <f t="shared" si="1151"/>
        <v>0.92793498158158583</v>
      </c>
      <c r="L103">
        <f t="shared" si="1151"/>
        <v>0.91939650921687344</v>
      </c>
      <c r="M103">
        <f t="shared" si="1151"/>
        <v>0.91091290388957691</v>
      </c>
      <c r="N103">
        <f t="shared" si="1151"/>
        <v>0.90248255061284255</v>
      </c>
      <c r="O103">
        <f t="shared" si="1151"/>
        <v>0.89410397193669855</v>
      </c>
      <c r="P103">
        <f t="shared" si="1151"/>
        <v>0.88577582251109244</v>
      </c>
      <c r="Q103">
        <f t="shared" si="1151"/>
        <v>0.87749688359902411</v>
      </c>
      <c r="R103">
        <f t="shared" si="1151"/>
        <v>0.86926605755922637</v>
      </c>
      <c r="S103">
        <f t="shared" si="1151"/>
        <v>0.86376449279414924</v>
      </c>
      <c r="T103">
        <f t="shared" si="1151"/>
        <v>0.8582259309073218</v>
      </c>
      <c r="U103">
        <f t="shared" si="1151"/>
        <v>0.8526529347899573</v>
      </c>
      <c r="V103">
        <f t="shared" si="1151"/>
        <v>0.84704792667781337</v>
      </c>
      <c r="W103">
        <f t="shared" si="1151"/>
        <v>0.84141319625903088</v>
      </c>
      <c r="X103">
        <f t="shared" si="1151"/>
        <v>0.83575090862146395</v>
      </c>
      <c r="Y103">
        <f t="shared" si="1151"/>
        <v>0.83006311201744187</v>
      </c>
      <c r="Z103">
        <f t="shared" si="1151"/>
        <v>0.82435174542560552</v>
      </c>
      <c r="AA103">
        <f t="shared" si="1151"/>
        <v>0.82036284160717499</v>
      </c>
      <c r="AB103">
        <f t="shared" si="1151"/>
        <v>0.81627231851447168</v>
      </c>
      <c r="AC103">
        <f t="shared" si="1151"/>
        <v>0.81208544087961954</v>
      </c>
      <c r="AD103">
        <f t="shared" si="1151"/>
        <v>0.80780727578747535</v>
      </c>
      <c r="AE103">
        <f t="shared" si="1151"/>
        <v>0.80344270056349021</v>
      </c>
      <c r="AF103">
        <f t="shared" si="1151"/>
        <v>0.79899641035986879</v>
      </c>
      <c r="AG103">
        <f t="shared" si="1151"/>
        <v>0.7944729254391607</v>
      </c>
      <c r="AH103">
        <f t="shared" si="1151"/>
        <v>0.78987659815706457</v>
      </c>
      <c r="AI103">
        <f t="shared" si="1151"/>
        <v>0.79309007896341654</v>
      </c>
      <c r="AJ103">
        <f t="shared" si="1151"/>
        <v>0.79664511517120773</v>
      </c>
      <c r="AK103">
        <f t="shared" si="1151"/>
        <v>0.80055990697760815</v>
      </c>
      <c r="AL103">
        <f t="shared" si="1151"/>
        <v>0.80485420025767951</v>
      </c>
      <c r="AM103">
        <f t="shared" si="1151"/>
        <v>0.80954944296211573</v>
      </c>
      <c r="AN103">
        <f t="shared" si="1151"/>
        <v>0.81466896174564407</v>
      </c>
      <c r="AO103">
        <f t="shared" si="1151"/>
        <v>0.82023816174814801</v>
      </c>
      <c r="AP103">
        <f t="shared" si="1151"/>
        <v>0.82628475294923465</v>
      </c>
      <c r="AQ103">
        <f t="shared" si="1151"/>
        <v>0.81838524823362269</v>
      </c>
      <c r="AR103">
        <f t="shared" si="1151"/>
        <v>0.81062172544217814</v>
      </c>
      <c r="AS103">
        <f t="shared" si="1151"/>
        <v>0.80299404387962459</v>
      </c>
      <c r="AT103">
        <f t="shared" si="1151"/>
        <v>0.79550218287055829</v>
      </c>
      <c r="AU103">
        <f t="shared" si="1151"/>
        <v>0.78814624052377125</v>
      </c>
      <c r="AV103">
        <f t="shared" si="1151"/>
        <v>0.78092643318541521</v>
      </c>
      <c r="AW103">
        <f t="shared" si="1151"/>
        <v>0.77384309559526243</v>
      </c>
      <c r="AX103">
        <f t="shared" si="1151"/>
        <v>0.76689668176167514</v>
      </c>
      <c r="AY103">
        <f t="shared" si="1151"/>
        <v>0.76008776657274013</v>
      </c>
      <c r="AZ103">
        <f t="shared" si="1151"/>
        <v>0.75338336230035829</v>
      </c>
      <c r="BA103">
        <f t="shared" si="1151"/>
        <v>0.74678947915250338</v>
      </c>
      <c r="BB103">
        <f t="shared" si="1151"/>
        <v>0.74031232846719652</v>
      </c>
      <c r="BC103">
        <f t="shared" si="1151"/>
        <v>0.73395838819426895</v>
      </c>
      <c r="BD103">
        <f t="shared" si="1151"/>
        <v>0.72773447410637093</v>
      </c>
      <c r="BE103">
        <f t="shared" si="1151"/>
        <v>0.72164781804724787</v>
      </c>
      <c r="BF103">
        <f t="shared" si="1151"/>
        <v>0.71570615474278199</v>
      </c>
      <c r="BG103">
        <f t="shared" si="1151"/>
        <v>0.70991781896760275</v>
      </c>
      <c r="BH103">
        <f t="shared" si="1151"/>
        <v>0.70428819573448043</v>
      </c>
      <c r="BI103">
        <f t="shared" si="1151"/>
        <v>0.69882311739571412</v>
      </c>
      <c r="BJ103">
        <f t="shared" si="1151"/>
        <v>0.69352900468834022</v>
      </c>
      <c r="BK103">
        <f t="shared" si="1151"/>
        <v>0.68841193701614056</v>
      </c>
      <c r="BL103">
        <f t="shared" si="1151"/>
        <v>0.68347311851836234</v>
      </c>
      <c r="BM103">
        <f t="shared" si="1151"/>
        <v>0.67871376827785534</v>
      </c>
      <c r="BN103">
        <f t="shared" si="1151"/>
        <v>0.6741352773837852</v>
      </c>
      <c r="BO103">
        <f t="shared" ref="BO103:DZ103" si="1152">BO18/$B$120</f>
        <v>0.66973921143992066</v>
      </c>
      <c r="BP103">
        <f t="shared" si="1152"/>
        <v>0.66552731307263713</v>
      </c>
      <c r="BQ103">
        <f t="shared" si="1152"/>
        <v>0.6615015044504885</v>
      </c>
      <c r="BR103">
        <f t="shared" si="1152"/>
        <v>0.65766388982592561</v>
      </c>
      <c r="BS103">
        <f t="shared" si="1152"/>
        <v>0.65401675810853555</v>
      </c>
      <c r="BT103">
        <f t="shared" si="1152"/>
        <v>0.65056258547801304</v>
      </c>
      <c r="BU103">
        <f t="shared" si="1152"/>
        <v>0.64730403804397463</v>
      </c>
      <c r="BV103">
        <f t="shared" si="1152"/>
        <v>0.64424397455868521</v>
      </c>
      <c r="BW103">
        <f t="shared" si="1152"/>
        <v>0.64138544918778173</v>
      </c>
      <c r="BX103">
        <f t="shared" si="1152"/>
        <v>0.63873171434315634</v>
      </c>
      <c r="BY103">
        <f t="shared" si="1152"/>
        <v>0.63628622358129583</v>
      </c>
      <c r="BZ103">
        <f t="shared" si="1152"/>
        <v>0.63405263448479543</v>
      </c>
      <c r="CA103">
        <f t="shared" si="1152"/>
        <v>0.63203481149536889</v>
      </c>
      <c r="CB103">
        <f t="shared" si="1152"/>
        <v>0.63023682879981024</v>
      </c>
      <c r="CC103">
        <f t="shared" si="1152"/>
        <v>0.62866297326942533</v>
      </c>
      <c r="CD103">
        <f t="shared" si="1152"/>
        <v>0.62731774745288371</v>
      </c>
      <c r="CE103">
        <f t="shared" si="1152"/>
        <v>0.62620587262191441</v>
      </c>
      <c r="CF103">
        <f t="shared" si="1152"/>
        <v>0.62533229186880368</v>
      </c>
      <c r="CG103">
        <f t="shared" si="1152"/>
        <v>0.62470217325421684</v>
      </c>
      <c r="CH103">
        <f t="shared" si="1152"/>
        <v>0.62432091300349402</v>
      </c>
      <c r="CI103">
        <f t="shared" si="1152"/>
        <v>0.6241941387492248</v>
      </c>
      <c r="CJ103">
        <f t="shared" si="1152"/>
        <v>0.62432250242947351</v>
      </c>
      <c r="CK103">
        <f t="shared" si="1152"/>
        <v>0.62470664772759754</v>
      </c>
      <c r="CL103">
        <f t="shared" si="1152"/>
        <v>0.62534721310966035</v>
      </c>
      <c r="CM103">
        <f t="shared" si="1152"/>
        <v>0.62624483164405154</v>
      </c>
      <c r="CN103">
        <f t="shared" si="1152"/>
        <v>0.62740013072103618</v>
      </c>
      <c r="CO103">
        <f t="shared" si="1152"/>
        <v>0.62881373167723786</v>
      </c>
      <c r="CP103">
        <f t="shared" si="1152"/>
        <v>0.63048624933020536</v>
      </c>
      <c r="CQ103">
        <f t="shared" si="1152"/>
        <v>0.63241829142832506</v>
      </c>
      <c r="CR103">
        <f t="shared" si="1152"/>
        <v>0.63461045802142524</v>
      </c>
      <c r="CS103">
        <f t="shared" si="1152"/>
        <v>0.63706334075746662</v>
      </c>
      <c r="CT103">
        <f t="shared" si="1152"/>
        <v>0.63977752211074268</v>
      </c>
      <c r="CU103">
        <f t="shared" si="1152"/>
        <v>0.64275357454700865</v>
      </c>
      <c r="CV103">
        <f t="shared" si="1152"/>
        <v>0.64599205963094153</v>
      </c>
      <c r="CW103">
        <f t="shared" si="1152"/>
        <v>0.64949352708128516</v>
      </c>
      <c r="CX103">
        <f t="shared" si="1152"/>
        <v>0.65325851377897481</v>
      </c>
      <c r="CY103">
        <f t="shared" si="1152"/>
        <v>0.65728754273345635</v>
      </c>
      <c r="CZ103">
        <f t="shared" si="1152"/>
        <v>0.66158112201232133</v>
      </c>
      <c r="DA103">
        <f t="shared" si="1152"/>
        <v>0.66613974363926809</v>
      </c>
      <c r="DB103">
        <f t="shared" si="1152"/>
        <v>0.67096388246528438</v>
      </c>
      <c r="DC103">
        <f t="shared" si="1152"/>
        <v>0.67605399501780927</v>
      </c>
      <c r="DD103">
        <f t="shared" si="1152"/>
        <v>0.68141051833249699</v>
      </c>
      <c r="DE103">
        <f t="shared" si="1152"/>
        <v>0.68703386877205319</v>
      </c>
      <c r="DF103">
        <f t="shared" si="1152"/>
        <v>0.69292444083646187</v>
      </c>
      <c r="DG103">
        <f t="shared" si="1152"/>
        <v>0.6990826059687556</v>
      </c>
      <c r="DH103">
        <f t="shared" si="1152"/>
        <v>0.70550871136032123</v>
      </c>
      <c r="DI103">
        <f t="shared" si="1152"/>
        <v>0.71220307875955791</v>
      </c>
      <c r="DJ103">
        <f t="shared" si="1152"/>
        <v>0.71916600328753499</v>
      </c>
      <c r="DK103">
        <f t="shared" si="1152"/>
        <v>0.72639775226412329</v>
      </c>
      <c r="DL103">
        <f t="shared" si="1152"/>
        <v>0.73389856404789333</v>
      </c>
      <c r="DM103">
        <f t="shared" si="1152"/>
        <v>0.74166864689290257</v>
      </c>
      <c r="DN103">
        <f t="shared" si="1152"/>
        <v>0.74970817782531485</v>
      </c>
      <c r="DO103">
        <f t="shared" si="1152"/>
        <v>0.75801730154261815</v>
      </c>
      <c r="DP103">
        <f t="shared" si="1152"/>
        <v>0.76659612933803811</v>
      </c>
      <c r="DQ103">
        <f t="shared" si="1152"/>
        <v>0.77544473805256497</v>
      </c>
      <c r="DR103">
        <f t="shared" si="1152"/>
        <v>0.78456316905684831</v>
      </c>
      <c r="DS103">
        <f t="shared" si="1152"/>
        <v>0.79395142726504131</v>
      </c>
      <c r="DT103">
        <f t="shared" si="1152"/>
        <v>0.80360948018251588</v>
      </c>
      <c r="DU103">
        <f t="shared" si="1152"/>
        <v>0.81353725698920409</v>
      </c>
      <c r="DV103">
        <f t="shared" si="1152"/>
        <v>0.82373464766017024</v>
      </c>
      <c r="DW103">
        <f t="shared" si="1152"/>
        <v>0.83420150212485822</v>
      </c>
      <c r="DX103">
        <f t="shared" si="1152"/>
        <v>0.84493762946631357</v>
      </c>
      <c r="DY103">
        <f t="shared" si="1152"/>
        <v>0.85594279716153154</v>
      </c>
      <c r="DZ103">
        <f t="shared" si="1152"/>
        <v>0.86721673036394575</v>
      </c>
      <c r="EA103">
        <f t="shared" ref="EA103:GL103" si="1153">EA18/$B$120</f>
        <v>0.87875911122893047</v>
      </c>
      <c r="EB103">
        <f t="shared" si="1153"/>
        <v>0.89056957828306382</v>
      </c>
      <c r="EC103">
        <f t="shared" si="1153"/>
        <v>0.90264772583776998</v>
      </c>
      <c r="ED103">
        <f t="shared" si="1153"/>
        <v>0.91499310344783469</v>
      </c>
      <c r="EE103">
        <f t="shared" si="1153"/>
        <v>0.92760521541517671</v>
      </c>
      <c r="EF103">
        <f t="shared" si="1153"/>
        <v>0.94034721259467624</v>
      </c>
      <c r="EG103">
        <f t="shared" si="1153"/>
        <v>0.952929934809432</v>
      </c>
      <c r="EH103">
        <f t="shared" si="1153"/>
        <v>0.96535537299650331</v>
      </c>
      <c r="EI103">
        <f t="shared" si="1153"/>
        <v>0.97762549320623626</v>
      </c>
      <c r="EJ103">
        <f t="shared" si="1153"/>
        <v>0.98974223691334751</v>
      </c>
      <c r="EK103">
        <f t="shared" si="1153"/>
        <v>1.00170752132412</v>
      </c>
      <c r="EL103">
        <f t="shared" si="1153"/>
        <v>1.0135232396797575</v>
      </c>
      <c r="EM103">
        <f t="shared" si="1153"/>
        <v>1.0251912615559498</v>
      </c>
      <c r="EN103">
        <f t="shared" si="1153"/>
        <v>1.0367134331586896</v>
      </c>
      <c r="EO103">
        <f t="shared" si="1153"/>
        <v>1.048091577616395</v>
      </c>
      <c r="EP103">
        <f t="shared" si="1153"/>
        <v>1.0593274952683795</v>
      </c>
      <c r="EQ103">
        <f t="shared" si="1153"/>
        <v>1.070422963949714</v>
      </c>
      <c r="ER103">
        <f t="shared" si="1153"/>
        <v>1.0813797392725317</v>
      </c>
      <c r="ES103">
        <f t="shared" si="1153"/>
        <v>1.0921995549038142</v>
      </c>
      <c r="ET103">
        <f t="shared" si="1153"/>
        <v>1.1028841228397057</v>
      </c>
      <c r="EU103">
        <f t="shared" si="1153"/>
        <v>1.1134351336763988</v>
      </c>
      <c r="EV103">
        <f t="shared" si="1153"/>
        <v>1.1238542568776329</v>
      </c>
      <c r="EW103">
        <f t="shared" si="1153"/>
        <v>1.1341431410388516</v>
      </c>
      <c r="EX103">
        <f t="shared" si="1153"/>
        <v>1.1443034141480553</v>
      </c>
      <c r="EY103">
        <f t="shared" si="1153"/>
        <v>1.1543366838433937</v>
      </c>
      <c r="EZ103">
        <f t="shared" si="1153"/>
        <v>1.1642445376675405</v>
      </c>
      <c r="FA103">
        <f t="shared" si="1153"/>
        <v>1.1740285433188857</v>
      </c>
      <c r="FB103">
        <f t="shared" si="1153"/>
        <v>1.1836902488995886</v>
      </c>
      <c r="FC103">
        <f t="shared" si="1153"/>
        <v>1.1932311831605331</v>
      </c>
      <c r="FD103">
        <f t="shared" si="1153"/>
        <v>1.2026528557432157</v>
      </c>
      <c r="FE103">
        <f t="shared" si="1153"/>
        <v>1.2119567574186147</v>
      </c>
      <c r="FF103">
        <f t="shared" si="1153"/>
        <v>1.2211443603230712</v>
      </c>
      <c r="FG103">
        <f t="shared" si="1153"/>
        <v>1.230217118191222</v>
      </c>
      <c r="FH103">
        <f t="shared" si="1153"/>
        <v>1.2391764665860208</v>
      </c>
      <c r="FI103">
        <f t="shared" si="1153"/>
        <v>1.2480238231258847</v>
      </c>
      <c r="FJ103">
        <f t="shared" si="1153"/>
        <v>1.2567605877090005</v>
      </c>
      <c r="FK103">
        <f t="shared" si="1153"/>
        <v>1.2653881427348272</v>
      </c>
      <c r="FL103">
        <f t="shared" si="1153"/>
        <v>1.273907853322831</v>
      </c>
      <c r="FM103">
        <f t="shared" si="1153"/>
        <v>1.2823210675284848</v>
      </c>
      <c r="FN103">
        <f t="shared" si="1153"/>
        <v>1.290629116556568</v>
      </c>
      <c r="FO103">
        <f t="shared" si="1153"/>
        <v>1.2988333149718001</v>
      </c>
      <c r="FP103">
        <f t="shared" si="1153"/>
        <v>1.3069349609068417</v>
      </c>
      <c r="FQ103">
        <f t="shared" si="1153"/>
        <v>1.3149353362676954</v>
      </c>
      <c r="FR103">
        <f t="shared" si="1153"/>
        <v>1.3228357069365386</v>
      </c>
      <c r="FS103">
        <f t="shared" si="1153"/>
        <v>1.330637322972021</v>
      </c>
      <c r="FT103">
        <f t="shared" si="1153"/>
        <v>1.3383414188070599</v>
      </c>
      <c r="FU103">
        <f t="shared" si="1153"/>
        <v>1.3459492134441611</v>
      </c>
      <c r="FV103">
        <f t="shared" si="1153"/>
        <v>1.3534619106482981</v>
      </c>
      <c r="FW103">
        <f t="shared" si="1153"/>
        <v>1.3608806991373836</v>
      </c>
      <c r="FX103">
        <f t="shared" si="1153"/>
        <v>1.3682067527703554</v>
      </c>
      <c r="FY103">
        <f t="shared" si="1153"/>
        <v>1.3754412307329154</v>
      </c>
      <c r="FZ103">
        <f t="shared" si="1153"/>
        <v>1.3825852777209431</v>
      </c>
      <c r="GA103">
        <f t="shared" si="1153"/>
        <v>1.3896400241216205</v>
      </c>
      <c r="GB103">
        <f t="shared" si="1153"/>
        <v>1.3966065861922894</v>
      </c>
      <c r="GC103">
        <f t="shared" si="1153"/>
        <v>1.4034860662370749</v>
      </c>
      <c r="GD103">
        <f t="shared" si="1153"/>
        <v>1.4102795527813006</v>
      </c>
      <c r="GE103">
        <f t="shared" si="1153"/>
        <v>1.4169881207437238</v>
      </c>
      <c r="GF103">
        <f t="shared" si="1153"/>
        <v>1.4236128316066163</v>
      </c>
      <c r="GG103">
        <f t="shared" si="1153"/>
        <v>1.430154733583723</v>
      </c>
      <c r="GH103">
        <f t="shared" si="1153"/>
        <v>1.4366148617861156</v>
      </c>
      <c r="GI103">
        <f t="shared" si="1153"/>
        <v>1.4429942383859784</v>
      </c>
      <c r="GJ103">
        <f t="shared" si="1153"/>
        <v>1.4492938727783427</v>
      </c>
      <c r="GK103">
        <f t="shared" si="1153"/>
        <v>1.4555147617408026</v>
      </c>
      <c r="GL103">
        <f t="shared" si="1153"/>
        <v>1.461657889591232</v>
      </c>
      <c r="GM103">
        <f t="shared" ref="GM103:IV103" si="1154">GM18/$B$120</f>
        <v>1.4677242283435308</v>
      </c>
      <c r="GN103">
        <f t="shared" si="1154"/>
        <v>1.4737147378614257</v>
      </c>
      <c r="GO103">
        <f t="shared" si="1154"/>
        <v>1.4796303660103471</v>
      </c>
      <c r="GP103">
        <f t="shared" si="1154"/>
        <v>1.4854720488074069</v>
      </c>
      <c r="GQ103">
        <f t="shared" si="1154"/>
        <v>1.4912407105695036</v>
      </c>
      <c r="GR103">
        <f t="shared" si="1154"/>
        <v>1.4969372640595739</v>
      </c>
      <c r="GS103">
        <f t="shared" si="1154"/>
        <v>1.5025626106310186</v>
      </c>
      <c r="GT103">
        <f t="shared" si="1154"/>
        <v>1.50811764037032</v>
      </c>
      <c r="GU103">
        <f t="shared" si="1154"/>
        <v>1.5136032322378803</v>
      </c>
      <c r="GV103">
        <f t="shared" si="1154"/>
        <v>1.5190202542070959</v>
      </c>
      <c r="GW103">
        <f t="shared" si="1154"/>
        <v>1.5243695634016963</v>
      </c>
      <c r="GX103">
        <f t="shared" si="1154"/>
        <v>1.5296520062313643</v>
      </c>
      <c r="GY103">
        <f t="shared" si="1154"/>
        <v>1.5348684185256614</v>
      </c>
      <c r="GZ103">
        <f t="shared" si="1154"/>
        <v>1.5400196256662797</v>
      </c>
      <c r="HA103">
        <f t="shared" si="1154"/>
        <v>1.5451064427176404</v>
      </c>
      <c r="HB103">
        <f t="shared" si="1154"/>
        <v>1.550129674555859</v>
      </c>
      <c r="HC103">
        <f t="shared" si="1154"/>
        <v>1.5550901159961001</v>
      </c>
      <c r="HD103">
        <f t="shared" si="1154"/>
        <v>1.5599885519183381</v>
      </c>
      <c r="HE103">
        <f t="shared" si="1154"/>
        <v>1.5648257573915481</v>
      </c>
      <c r="HF103">
        <f t="shared" si="1154"/>
        <v>1.5696024977963428</v>
      </c>
      <c r="HG103">
        <f t="shared" si="1154"/>
        <v>1.5743195289460776</v>
      </c>
      <c r="HH103">
        <f t="shared" si="1154"/>
        <v>1.5789775972064408</v>
      </c>
      <c r="HI103">
        <f t="shared" si="1154"/>
        <v>1.5835774396135496</v>
      </c>
      <c r="HJ103">
        <f t="shared" si="1154"/>
        <v>1.5881197839905696</v>
      </c>
      <c r="HK103">
        <f t="shared" si="1154"/>
        <v>1.5926053490628767</v>
      </c>
      <c r="HL103">
        <f t="shared" si="1154"/>
        <v>1.5970348445717797</v>
      </c>
      <c r="HM103">
        <f t="shared" si="1154"/>
        <v>1.6014089713868218</v>
      </c>
      <c r="HN103">
        <f t="shared" si="1154"/>
        <v>1.6057284216166756</v>
      </c>
      <c r="HO103">
        <f t="shared" si="1154"/>
        <v>1.6099938787186565</v>
      </c>
      <c r="HP103">
        <f t="shared" si="1154"/>
        <v>1.6142060176068627</v>
      </c>
      <c r="HQ103">
        <f t="shared" si="1154"/>
        <v>1.618365504758966</v>
      </c>
      <c r="HR103">
        <f t="shared" si="1154"/>
        <v>1.6224729983216681</v>
      </c>
      <c r="HS103">
        <f t="shared" si="1154"/>
        <v>1.6265291482148365</v>
      </c>
      <c r="HT103">
        <f t="shared" si="1154"/>
        <v>1.6305345962343403</v>
      </c>
      <c r="HU103">
        <f t="shared" si="1154"/>
        <v>1.6344899761536003</v>
      </c>
      <c r="HV103">
        <f t="shared" si="1154"/>
        <v>1.6383959138238693</v>
      </c>
      <c r="HW103">
        <f t="shared" si="1154"/>
        <v>1.6422530272732603</v>
      </c>
      <c r="HX103">
        <f t="shared" si="1154"/>
        <v>1.6460619268045336</v>
      </c>
      <c r="HY103">
        <f t="shared" si="1154"/>
        <v>1.6498232150916663</v>
      </c>
      <c r="HZ103">
        <f t="shared" si="1154"/>
        <v>1.6535374872752095</v>
      </c>
      <c r="IA103">
        <f t="shared" si="1154"/>
        <v>1.6572053310564585</v>
      </c>
      <c r="IB103">
        <f t="shared" si="1154"/>
        <v>1.6608273267904419</v>
      </c>
      <c r="IC103">
        <f t="shared" si="1154"/>
        <v>1.6644040475777506</v>
      </c>
      <c r="ID103">
        <f t="shared" si="1154"/>
        <v>1.6679360593552179</v>
      </c>
      <c r="IE103">
        <f t="shared" si="1154"/>
        <v>1.6714239209854669</v>
      </c>
      <c r="IF103">
        <f t="shared" si="1154"/>
        <v>1.6748681843453379</v>
      </c>
      <c r="IG103">
        <f t="shared" si="1154"/>
        <v>1.6782693944132103</v>
      </c>
      <c r="IH103">
        <f t="shared" si="1154"/>
        <v>1.6816280893552344</v>
      </c>
      <c r="II103">
        <f t="shared" si="1154"/>
        <v>1.6849448006104832</v>
      </c>
      <c r="IJ103">
        <f t="shared" si="1154"/>
        <v>1.6882200529750413</v>
      </c>
      <c r="IK103">
        <f t="shared" si="1154"/>
        <v>1.6914543646850426</v>
      </c>
      <c r="IL103">
        <f t="shared" si="1154"/>
        <v>1.6946482474986688</v>
      </c>
      <c r="IM103">
        <f t="shared" si="1154"/>
        <v>1.6978022067771246</v>
      </c>
      <c r="IN103">
        <f t="shared" si="1154"/>
        <v>1.7009167415645998</v>
      </c>
      <c r="IO103">
        <f t="shared" si="1154"/>
        <v>1.7039923446672314</v>
      </c>
      <c r="IP103">
        <f t="shared" si="1154"/>
        <v>1.7070295027310802</v>
      </c>
      <c r="IQ103">
        <f t="shared" si="1154"/>
        <v>1.7100286963191309</v>
      </c>
      <c r="IR103">
        <f t="shared" si="1154"/>
        <v>1.7129903999873308</v>
      </c>
      <c r="IS103">
        <f t="shared" si="1154"/>
        <v>1.7159150823596785</v>
      </c>
      <c r="IT103">
        <f t="shared" si="1154"/>
        <v>1.7188032062023717</v>
      </c>
      <c r="IU103">
        <f t="shared" si="1154"/>
        <v>1.7216552284970312</v>
      </c>
      <c r="IV103">
        <f t="shared" si="1154"/>
        <v>1.7244716005130076</v>
      </c>
    </row>
    <row r="104" spans="1:256" x14ac:dyDescent="0.2">
      <c r="A104" t="s">
        <v>575</v>
      </c>
      <c r="B104">
        <v>0.51738662719726558</v>
      </c>
      <c r="C104">
        <f t="shared" ref="C104:BN104" si="1155">C19/$B$121</f>
        <v>0.99874012640751852</v>
      </c>
      <c r="D104">
        <f t="shared" si="1155"/>
        <v>0.9974960012349432</v>
      </c>
      <c r="E104">
        <f t="shared" si="1155"/>
        <v>0.9962674276270248</v>
      </c>
      <c r="F104">
        <f t="shared" si="1155"/>
        <v>0.99505421118920556</v>
      </c>
      <c r="G104">
        <f t="shared" si="1155"/>
        <v>0.99385615995685894</v>
      </c>
      <c r="H104">
        <f t="shared" si="1155"/>
        <v>0.99267308436491686</v>
      </c>
      <c r="I104">
        <f t="shared" si="1155"/>
        <v>0.99150479721787388</v>
      </c>
      <c r="J104">
        <f t="shared" si="1155"/>
        <v>0.99035111366016904</v>
      </c>
      <c r="K104">
        <f t="shared" si="1155"/>
        <v>0.99035110548576422</v>
      </c>
      <c r="L104">
        <f t="shared" si="1155"/>
        <v>0.99035109741353955</v>
      </c>
      <c r="M104">
        <f t="shared" si="1155"/>
        <v>0.99035108944221772</v>
      </c>
      <c r="N104">
        <f t="shared" si="1155"/>
        <v>0.99035108157053742</v>
      </c>
      <c r="O104">
        <f t="shared" si="1155"/>
        <v>0.99035107379725307</v>
      </c>
      <c r="P104">
        <f t="shared" si="1155"/>
        <v>0.99035106612113488</v>
      </c>
      <c r="Q104">
        <f t="shared" si="1155"/>
        <v>0.99035105854096817</v>
      </c>
      <c r="R104">
        <f t="shared" si="1155"/>
        <v>0.99035105105555343</v>
      </c>
      <c r="S104">
        <f t="shared" si="1155"/>
        <v>0.99035104762969084</v>
      </c>
      <c r="T104">
        <f t="shared" si="1155"/>
        <v>0.99035104424665144</v>
      </c>
      <c r="U104">
        <f t="shared" si="1155"/>
        <v>0.99035104090590009</v>
      </c>
      <c r="V104">
        <f t="shared" si="1155"/>
        <v>0.99035103760690824</v>
      </c>
      <c r="W104">
        <f t="shared" si="1155"/>
        <v>0.99035103434915361</v>
      </c>
      <c r="X104">
        <f t="shared" si="1155"/>
        <v>0.99035103113212108</v>
      </c>
      <c r="Y104">
        <f t="shared" si="1155"/>
        <v>0.99035102795530128</v>
      </c>
      <c r="Z104">
        <f t="shared" si="1155"/>
        <v>0.99035102481819171</v>
      </c>
      <c r="AA104">
        <f t="shared" si="1155"/>
        <v>0.98044751499148675</v>
      </c>
      <c r="AB104">
        <f t="shared" si="1155"/>
        <v>0.97066779903761569</v>
      </c>
      <c r="AC104">
        <f t="shared" si="1155"/>
        <v>0.96101032953316812</v>
      </c>
      <c r="AD104">
        <f t="shared" si="1155"/>
        <v>0.951473578397526</v>
      </c>
      <c r="AE104">
        <f t="shared" si="1155"/>
        <v>0.94205603665107951</v>
      </c>
      <c r="AF104">
        <f t="shared" si="1155"/>
        <v>0.93275621417646348</v>
      </c>
      <c r="AG104">
        <f t="shared" si="1155"/>
        <v>0.92357263948278012</v>
      </c>
      <c r="AH104">
        <f t="shared" si="1155"/>
        <v>0.91450385947276791</v>
      </c>
      <c r="AI104">
        <f t="shared" si="1155"/>
        <v>0.91588242282182508</v>
      </c>
      <c r="AJ104">
        <f t="shared" si="1155"/>
        <v>0.91724375412901904</v>
      </c>
      <c r="AK104">
        <f t="shared" si="1155"/>
        <v>0.91858806879487309</v>
      </c>
      <c r="AL104">
        <f t="shared" si="1155"/>
        <v>0.91991557952740388</v>
      </c>
      <c r="AM104">
        <f t="shared" si="1155"/>
        <v>0.92122649637577803</v>
      </c>
      <c r="AN104">
        <f t="shared" si="1155"/>
        <v>0.92252102676354752</v>
      </c>
      <c r="AO104">
        <f t="shared" si="1155"/>
        <v>0.92379937552146996</v>
      </c>
      <c r="AP104">
        <f t="shared" si="1155"/>
        <v>0.92506174491991833</v>
      </c>
      <c r="AQ104">
        <f t="shared" si="1155"/>
        <v>0.91597435109194192</v>
      </c>
      <c r="AR104">
        <f t="shared" si="1155"/>
        <v>0.90700054968681521</v>
      </c>
      <c r="AS104">
        <f t="shared" si="1155"/>
        <v>0.8981389207992525</v>
      </c>
      <c r="AT104">
        <f t="shared" si="1155"/>
        <v>0.88938806227278433</v>
      </c>
      <c r="AU104">
        <f t="shared" si="1155"/>
        <v>0.88074658947789708</v>
      </c>
      <c r="AV104">
        <f t="shared" si="1155"/>
        <v>0.87221313509294585</v>
      </c>
      <c r="AW104">
        <f t="shared" si="1155"/>
        <v>0.86378634888780659</v>
      </c>
      <c r="AX104">
        <f t="shared" si="1155"/>
        <v>0.85546489751023147</v>
      </c>
      <c r="AY104">
        <f t="shared" si="1155"/>
        <v>0.84724746427487596</v>
      </c>
      <c r="AZ104">
        <f t="shared" si="1155"/>
        <v>0.83913274895496248</v>
      </c>
      <c r="BA104">
        <f t="shared" si="1155"/>
        <v>0.83111946757654798</v>
      </c>
      <c r="BB104">
        <f t="shared" si="1155"/>
        <v>0.82320635221536365</v>
      </c>
      <c r="BC104">
        <f t="shared" si="1155"/>
        <v>0.81539215079619409</v>
      </c>
      <c r="BD104">
        <f t="shared" si="1155"/>
        <v>0.80767562689476424</v>
      </c>
      <c r="BE104">
        <f t="shared" si="1155"/>
        <v>0.80005555954210217</v>
      </c>
      <c r="BF104">
        <f t="shared" si="1155"/>
        <v>0.79253074303134829</v>
      </c>
      <c r="BG104">
        <f t="shared" si="1155"/>
        <v>0.785099986726979</v>
      </c>
      <c r="BH104">
        <f t="shared" si="1155"/>
        <v>0.77776211487641422</v>
      </c>
      <c r="BI104">
        <f t="shared" si="1155"/>
        <v>0.77051596642398157</v>
      </c>
      <c r="BJ104">
        <f t="shared" si="1155"/>
        <v>0.7633603948272043</v>
      </c>
      <c r="BK104">
        <f t="shared" si="1155"/>
        <v>0.75629426787538678</v>
      </c>
      <c r="BL104">
        <f t="shared" si="1155"/>
        <v>0.74931646751046688</v>
      </c>
      <c r="BM104">
        <f t="shared" si="1155"/>
        <v>0.74242588965010858</v>
      </c>
      <c r="BN104">
        <f t="shared" si="1155"/>
        <v>0.73562144401300478</v>
      </c>
      <c r="BO104">
        <f t="shared" ref="BO104:DZ104" si="1156">BO19/$B$121</f>
        <v>0.72890205394636465</v>
      </c>
      <c r="BP104">
        <f t="shared" si="1156"/>
        <v>0.72226665625555764</v>
      </c>
      <c r="BQ104">
        <f t="shared" si="1156"/>
        <v>0.71571420103588568</v>
      </c>
      <c r="BR104">
        <f t="shared" si="1156"/>
        <v>0.70924365150645952</v>
      </c>
      <c r="BS104">
        <f t="shared" si="1156"/>
        <v>0.70285398384615139</v>
      </c>
      <c r="BT104">
        <f t="shared" si="1156"/>
        <v>0.69654418703159693</v>
      </c>
      <c r="BU104">
        <f t="shared" si="1156"/>
        <v>0.69031326267722448</v>
      </c>
      <c r="BV104">
        <f t="shared" si="1156"/>
        <v>0.68416022487728168</v>
      </c>
      <c r="BW104">
        <f t="shared" si="1156"/>
        <v>0.67808410004983821</v>
      </c>
      <c r="BX104">
        <f t="shared" si="1156"/>
        <v>0.67208392678273776</v>
      </c>
      <c r="BY104">
        <f t="shared" si="1156"/>
        <v>0.66615875568147598</v>
      </c>
      <c r="BZ104">
        <f t="shared" si="1156"/>
        <v>0.66030764921898</v>
      </c>
      <c r="CA104">
        <f t="shared" si="1156"/>
        <v>0.65452968158726521</v>
      </c>
      <c r="CB104">
        <f t="shared" si="1156"/>
        <v>0.64882393855094689</v>
      </c>
      <c r="CC104">
        <f t="shared" si="1156"/>
        <v>0.64318951730258256</v>
      </c>
      <c r="CD104">
        <f t="shared" si="1156"/>
        <v>0.63762552631982283</v>
      </c>
      <c r="CE104">
        <f t="shared" si="1156"/>
        <v>0.63213108522434758</v>
      </c>
      <c r="CF104">
        <f t="shared" si="1156"/>
        <v>0.62670532464256568</v>
      </c>
      <c r="CG104">
        <f t="shared" si="1156"/>
        <v>0.62134738606805617</v>
      </c>
      <c r="CH104">
        <f t="shared" si="1156"/>
        <v>0.61605642172572794</v>
      </c>
      <c r="CI104">
        <f t="shared" si="1156"/>
        <v>0.61083159443767876</v>
      </c>
      <c r="CJ104">
        <f t="shared" si="1156"/>
        <v>0.60567207749073027</v>
      </c>
      <c r="CK104">
        <f t="shared" si="1156"/>
        <v>0.6005770545056186</v>
      </c>
      <c r="CL104">
        <f t="shared" si="1156"/>
        <v>0.59554571930782096</v>
      </c>
      <c r="CM104">
        <f t="shared" si="1156"/>
        <v>0.59057727579999564</v>
      </c>
      <c r="CN104">
        <f t="shared" si="1156"/>
        <v>0.5856709378360182</v>
      </c>
      <c r="CO104">
        <f t="shared" si="1156"/>
        <v>0.58082592909659048</v>
      </c>
      <c r="CP104">
        <f t="shared" si="1156"/>
        <v>0.57604148296640556</v>
      </c>
      <c r="CQ104">
        <f t="shared" si="1156"/>
        <v>0.57131684241284808</v>
      </c>
      <c r="CR104">
        <f t="shared" si="1156"/>
        <v>0.56665125986621001</v>
      </c>
      <c r="CS104">
        <f t="shared" si="1156"/>
        <v>0.56204399710140485</v>
      </c>
      <c r="CT104">
        <f t="shared" si="1156"/>
        <v>0.55749432512115993</v>
      </c>
      <c r="CU104">
        <f t="shared" si="1156"/>
        <v>0.55300152404066794</v>
      </c>
      <c r="CV104">
        <f t="shared" si="1156"/>
        <v>0.54856488297368211</v>
      </c>
      <c r="CW104">
        <f t="shared" si="1156"/>
        <v>0.54418369992003357</v>
      </c>
      <c r="CX104">
        <f t="shared" si="1156"/>
        <v>0.53985728165455571</v>
      </c>
      <c r="CY104">
        <f t="shared" si="1156"/>
        <v>0.53558494361739628</v>
      </c>
      <c r="CZ104">
        <f t="shared" si="1156"/>
        <v>0.53136600980570126</v>
      </c>
      <c r="DA104">
        <f t="shared" si="1156"/>
        <v>0.5271998126666525</v>
      </c>
      <c r="DB104">
        <f t="shared" si="1156"/>
        <v>0.52308569299184182</v>
      </c>
      <c r="DC104">
        <f t="shared" si="1156"/>
        <v>0.51902299981296629</v>
      </c>
      <c r="DD104">
        <f t="shared" si="1156"/>
        <v>0.51501109029882686</v>
      </c>
      <c r="DE104">
        <f t="shared" si="1156"/>
        <v>0.51104932965361394</v>
      </c>
      <c r="DF104">
        <f t="shared" si="1156"/>
        <v>0.50713709101646631</v>
      </c>
      <c r="DG104">
        <f t="shared" si="1156"/>
        <v>0.50327375536228292</v>
      </c>
      <c r="DH104">
        <f t="shared" si="1156"/>
        <v>0.49945871140377684</v>
      </c>
      <c r="DI104">
        <f t="shared" si="1156"/>
        <v>0.49569135549475213</v>
      </c>
      <c r="DJ104">
        <f t="shared" si="1156"/>
        <v>0.49197109153459023</v>
      </c>
      <c r="DK104">
        <f t="shared" si="1156"/>
        <v>0.48829733087393035</v>
      </c>
      <c r="DL104">
        <f t="shared" si="1156"/>
        <v>0.48466949222152872</v>
      </c>
      <c r="DM104">
        <f t="shared" si="1156"/>
        <v>0.48108700155228212</v>
      </c>
      <c r="DN104">
        <f t="shared" si="1156"/>
        <v>0.47754929201640106</v>
      </c>
      <c r="DO104">
        <f t="shared" si="1156"/>
        <v>0.47405580384971857</v>
      </c>
      <c r="DP104">
        <f t="shared" si="1156"/>
        <v>0.47060598428511957</v>
      </c>
      <c r="DQ104">
        <f t="shared" si="1156"/>
        <v>0.46719928746507805</v>
      </c>
      <c r="DR104">
        <f t="shared" si="1156"/>
        <v>0.46383517435528704</v>
      </c>
      <c r="DS104">
        <f t="shared" si="1156"/>
        <v>0.46051311265936851</v>
      </c>
      <c r="DT104">
        <f t="shared" si="1156"/>
        <v>0.4572325767346489</v>
      </c>
      <c r="DU104">
        <f t="shared" si="1156"/>
        <v>0.45399304750898828</v>
      </c>
      <c r="DV104">
        <f t="shared" si="1156"/>
        <v>0.45079401239864841</v>
      </c>
      <c r="DW104">
        <f t="shared" si="1156"/>
        <v>0.44763496522718782</v>
      </c>
      <c r="DX104">
        <f t="shared" si="1156"/>
        <v>0.4445154061453705</v>
      </c>
      <c r="DY104">
        <f t="shared" si="1156"/>
        <v>0.44143484155207585</v>
      </c>
      <c r="DZ104">
        <f t="shared" si="1156"/>
        <v>0.43839278401619736</v>
      </c>
      <c r="EA104">
        <f t="shared" ref="EA104:GL104" si="1157">EA19/$B$121</f>
        <v>0.43538875219951745</v>
      </c>
      <c r="EB104">
        <f t="shared" si="1157"/>
        <v>0.43242227078054596</v>
      </c>
      <c r="EC104">
        <f t="shared" si="1157"/>
        <v>0.42949287037931166</v>
      </c>
      <c r="ED104">
        <f t="shared" si="1157"/>
        <v>0.4266000874830928</v>
      </c>
      <c r="EE104">
        <f t="shared" si="1157"/>
        <v>0.42374346437307664</v>
      </c>
      <c r="EF104">
        <f t="shared" si="1157"/>
        <v>0.42092254905193571</v>
      </c>
      <c r="EG104">
        <f t="shared" si="1157"/>
        <v>0.41813689517230901</v>
      </c>
      <c r="EH104">
        <f t="shared" si="1157"/>
        <v>0.41538606196617761</v>
      </c>
      <c r="EI104">
        <f t="shared" si="1157"/>
        <v>0.41266961417512293</v>
      </c>
      <c r="EJ104">
        <f t="shared" si="1157"/>
        <v>0.40998712198145637</v>
      </c>
      <c r="EK104">
        <f t="shared" si="1157"/>
        <v>0.40733816094021069</v>
      </c>
      <c r="EL104">
        <f t="shared" si="1157"/>
        <v>0.40472231191198055</v>
      </c>
      <c r="EM104">
        <f t="shared" si="1157"/>
        <v>0.40213916099660335</v>
      </c>
      <c r="EN104">
        <f t="shared" si="1157"/>
        <v>0.39958829946766833</v>
      </c>
      <c r="EO104">
        <f t="shared" si="1157"/>
        <v>0.39706932370784498</v>
      </c>
      <c r="EP104">
        <f t="shared" si="1157"/>
        <v>0.39458183514501938</v>
      </c>
      <c r="EQ104">
        <f t="shared" si="1157"/>
        <v>0.39212544018922918</v>
      </c>
      <c r="ER104">
        <f t="shared" si="1157"/>
        <v>0.38969975017038633</v>
      </c>
      <c r="ES104">
        <f t="shared" si="1157"/>
        <v>0.38730438127677896</v>
      </c>
      <c r="ET104">
        <f t="shared" si="1157"/>
        <v>0.38493895449434173</v>
      </c>
      <c r="EU104">
        <f t="shared" si="1157"/>
        <v>0.38260309554668498</v>
      </c>
      <c r="EV104">
        <f t="shared" si="1157"/>
        <v>0.38029643483587389</v>
      </c>
      <c r="EW104">
        <f t="shared" si="1157"/>
        <v>0.37801860738394794</v>
      </c>
      <c r="EX104">
        <f t="shared" si="1157"/>
        <v>0.37576925277517109</v>
      </c>
      <c r="EY104">
        <f t="shared" si="1157"/>
        <v>0.37354801509900398</v>
      </c>
      <c r="EZ104">
        <f t="shared" si="1157"/>
        <v>0.37135454289378894</v>
      </c>
      <c r="FA104">
        <f t="shared" si="1157"/>
        <v>0.3691884890911391</v>
      </c>
      <c r="FB104">
        <f t="shared" si="1157"/>
        <v>0.36704951096102234</v>
      </c>
      <c r="FC104">
        <f t="shared" si="1157"/>
        <v>0.36493727005753213</v>
      </c>
      <c r="FD104">
        <f t="shared" si="1157"/>
        <v>0.3628514321653355</v>
      </c>
      <c r="FE104">
        <f t="shared" si="1157"/>
        <v>0.36079166724679124</v>
      </c>
      <c r="FF104">
        <f t="shared" si="1157"/>
        <v>0.35875764938972893</v>
      </c>
      <c r="FG104">
        <f t="shared" si="1157"/>
        <v>0.35674905675587981</v>
      </c>
      <c r="FH104">
        <f t="shared" si="1157"/>
        <v>0.3547655715299538</v>
      </c>
      <c r="FI104">
        <f t="shared" si="1157"/>
        <v>0.35280687986935189</v>
      </c>
      <c r="FJ104">
        <f t="shared" si="1157"/>
        <v>0.35087267185450749</v>
      </c>
      <c r="FK104">
        <f t="shared" si="1157"/>
        <v>0.34896264143984868</v>
      </c>
      <c r="FL104">
        <f t="shared" si="1157"/>
        <v>0.34707648640537303</v>
      </c>
      <c r="FM104">
        <f t="shared" si="1157"/>
        <v>0.34521390830882842</v>
      </c>
      <c r="FN104">
        <f t="shared" si="1157"/>
        <v>0.34337461243849055</v>
      </c>
      <c r="FO104">
        <f t="shared" si="1157"/>
        <v>0.34155830776653195</v>
      </c>
      <c r="FP104">
        <f t="shared" si="1157"/>
        <v>0.33976470690297284</v>
      </c>
      <c r="FQ104">
        <f t="shared" si="1157"/>
        <v>0.33799352605020816</v>
      </c>
      <c r="FR104">
        <f t="shared" si="1157"/>
        <v>0.33624448495810311</v>
      </c>
      <c r="FS104">
        <f t="shared" si="1157"/>
        <v>0.33451730687964926</v>
      </c>
      <c r="FT104">
        <f t="shared" si="1157"/>
        <v>0.33281171852717611</v>
      </c>
      <c r="FU104">
        <f t="shared" si="1157"/>
        <v>0.33112745002910898</v>
      </c>
      <c r="FV104">
        <f t="shared" si="1157"/>
        <v>0.32946423488726762</v>
      </c>
      <c r="FW104">
        <f t="shared" si="1157"/>
        <v>0.32782180993469928</v>
      </c>
      <c r="FX104">
        <f t="shared" si="1157"/>
        <v>0.32619991529403802</v>
      </c>
      <c r="FY104">
        <f t="shared" si="1157"/>
        <v>0.32459829433638504</v>
      </c>
      <c r="FZ104">
        <f t="shared" si="1157"/>
        <v>0.32301669364070279</v>
      </c>
      <c r="GA104">
        <f t="shared" si="1157"/>
        <v>0.32145486295371645</v>
      </c>
      <c r="GB104">
        <f t="shared" si="1157"/>
        <v>0.31991255515031752</v>
      </c>
      <c r="GC104">
        <f t="shared" si="1157"/>
        <v>0.31838952619446104</v>
      </c>
      <c r="GD104">
        <f t="shared" si="1157"/>
        <v>0.31688553510055278</v>
      </c>
      <c r="GE104">
        <f t="shared" si="1157"/>
        <v>0.31540034389531835</v>
      </c>
      <c r="GF104">
        <f t="shared" si="1157"/>
        <v>0.31393371758014943</v>
      </c>
      <c r="GG104">
        <f t="shared" si="1157"/>
        <v>0.31248542409391999</v>
      </c>
      <c r="GH104">
        <f t="shared" si="1157"/>
        <v>0.31105523427626852</v>
      </c>
      <c r="GI104">
        <f t="shared" si="1157"/>
        <v>0.30964292183133768</v>
      </c>
      <c r="GJ104">
        <f t="shared" si="1157"/>
        <v>0.30824826329196847</v>
      </c>
      <c r="GK104">
        <f t="shared" si="1157"/>
        <v>0.3068710379843414</v>
      </c>
      <c r="GL104">
        <f t="shared" si="1157"/>
        <v>0.30551102799305968</v>
      </c>
      <c r="GM104">
        <f t="shared" ref="GM104:IV104" si="1158">GM19/$B$121</f>
        <v>0.30416801812666894</v>
      </c>
      <c r="GN104">
        <f t="shared" si="1158"/>
        <v>0.30284179588360804</v>
      </c>
      <c r="GO104">
        <f t="shared" si="1158"/>
        <v>0.30153215141858547</v>
      </c>
      <c r="GP104">
        <f t="shared" si="1158"/>
        <v>0.30023887750937567</v>
      </c>
      <c r="GQ104">
        <f t="shared" si="1158"/>
        <v>0.29896176952403097</v>
      </c>
      <c r="GR104">
        <f t="shared" si="1158"/>
        <v>0.29770062538850306</v>
      </c>
      <c r="GS104">
        <f t="shared" si="1158"/>
        <v>0.29645524555466929</v>
      </c>
      <c r="GT104">
        <f t="shared" si="1158"/>
        <v>0.29522543296875842</v>
      </c>
      <c r="GU104">
        <f t="shared" si="1158"/>
        <v>0.29401099304017148</v>
      </c>
      <c r="GV104">
        <f t="shared" si="1158"/>
        <v>0.29281173361069185</v>
      </c>
      <c r="GW104">
        <f t="shared" si="1158"/>
        <v>0.2916274649240807</v>
      </c>
      <c r="GX104">
        <f t="shared" si="1158"/>
        <v>0.29045799959605217</v>
      </c>
      <c r="GY104">
        <f t="shared" si="1158"/>
        <v>0.28930315258462408</v>
      </c>
      <c r="GZ104">
        <f t="shared" si="1158"/>
        <v>0.28816274116083879</v>
      </c>
      <c r="HA104">
        <f t="shared" si="1158"/>
        <v>0.28703658487985079</v>
      </c>
      <c r="HB104">
        <f t="shared" si="1158"/>
        <v>0.28592450555237514</v>
      </c>
      <c r="HC104">
        <f t="shared" si="1158"/>
        <v>0.28482632721649298</v>
      </c>
      <c r="HD104">
        <f t="shared" si="1158"/>
        <v>0.28374187610980939</v>
      </c>
      <c r="HE104">
        <f t="shared" si="1158"/>
        <v>0.28267098064195922</v>
      </c>
      <c r="HF104">
        <f t="shared" si="1158"/>
        <v>0.28161347136745729</v>
      </c>
      <c r="HG104">
        <f t="shared" si="1158"/>
        <v>0.28056918095888661</v>
      </c>
      <c r="HH104">
        <f t="shared" si="1158"/>
        <v>0.27953794418042299</v>
      </c>
      <c r="HI104">
        <f t="shared" si="1158"/>
        <v>0.27851959786169023</v>
      </c>
      <c r="HJ104">
        <f t="shared" si="1158"/>
        <v>0.27751398087194157</v>
      </c>
      <c r="HK104">
        <f t="shared" si="1158"/>
        <v>0.2765209340945648</v>
      </c>
      <c r="HL104">
        <f t="shared" si="1158"/>
        <v>0.27554030040190525</v>
      </c>
      <c r="HM104">
        <f t="shared" si="1158"/>
        <v>0.27457192463040397</v>
      </c>
      <c r="HN104">
        <f t="shared" si="1158"/>
        <v>0.27361565355604639</v>
      </c>
      <c r="HO104">
        <f t="shared" si="1158"/>
        <v>0.27267133587011833</v>
      </c>
      <c r="HP104">
        <f t="shared" si="1158"/>
        <v>0.27173882215526435</v>
      </c>
      <c r="HQ104">
        <f t="shared" si="1158"/>
        <v>0.27081796486184606</v>
      </c>
      <c r="HR104">
        <f t="shared" si="1158"/>
        <v>0.2699086182845955</v>
      </c>
      <c r="HS104">
        <f t="shared" si="1158"/>
        <v>0.26901063853956059</v>
      </c>
      <c r="HT104">
        <f t="shared" si="1158"/>
        <v>0.26812388354133859</v>
      </c>
      <c r="HU104">
        <f t="shared" si="1158"/>
        <v>0.26724821298059437</v>
      </c>
      <c r="HV104">
        <f t="shared" si="1158"/>
        <v>0.26638348830185943</v>
      </c>
      <c r="HW104">
        <f t="shared" si="1158"/>
        <v>0.26552957268160871</v>
      </c>
      <c r="HX104">
        <f t="shared" si="1158"/>
        <v>0.2646863310066111</v>
      </c>
      <c r="HY104">
        <f t="shared" si="1158"/>
        <v>0.26385362985255101</v>
      </c>
      <c r="HZ104">
        <f t="shared" si="1158"/>
        <v>0.26303133746291663</v>
      </c>
      <c r="IA104">
        <f t="shared" si="1158"/>
        <v>0.26221932372815265</v>
      </c>
      <c r="IB104">
        <f t="shared" si="1158"/>
        <v>0.26141746016507328</v>
      </c>
      <c r="IC104">
        <f t="shared" si="1158"/>
        <v>0.26062561989653232</v>
      </c>
      <c r="ID104">
        <f t="shared" si="1158"/>
        <v>0.25984367763134819</v>
      </c>
      <c r="IE104">
        <f t="shared" si="1158"/>
        <v>0.25907150964447884</v>
      </c>
      <c r="IF104">
        <f t="shared" si="1158"/>
        <v>0.25830899375744537</v>
      </c>
      <c r="IG104">
        <f t="shared" si="1158"/>
        <v>0.2575560093189998</v>
      </c>
      <c r="IH104">
        <f t="shared" si="1158"/>
        <v>0.2568124371860348</v>
      </c>
      <c r="II104">
        <f t="shared" si="1158"/>
        <v>0.25607815970473186</v>
      </c>
      <c r="IJ104">
        <f t="shared" si="1158"/>
        <v>0.25535306069194524</v>
      </c>
      <c r="IK104">
        <f t="shared" si="1158"/>
        <v>0.25463702541681843</v>
      </c>
      <c r="IL104">
        <f t="shared" si="1158"/>
        <v>0.25392994058263069</v>
      </c>
      <c r="IM104">
        <f t="shared" si="1158"/>
        <v>0.25323169430887033</v>
      </c>
      <c r="IN104">
        <f t="shared" si="1158"/>
        <v>0.25254217611353197</v>
      </c>
      <c r="IO104">
        <f t="shared" si="1158"/>
        <v>0.25186127689563537</v>
      </c>
      <c r="IP104">
        <f t="shared" si="1158"/>
        <v>0.25118888891796237</v>
      </c>
      <c r="IQ104">
        <f t="shared" si="1158"/>
        <v>0.25052490579001035</v>
      </c>
      <c r="IR104">
        <f t="shared" si="1158"/>
        <v>0.2498692224511577</v>
      </c>
      <c r="IS104">
        <f t="shared" si="1158"/>
        <v>0.24922173515404075</v>
      </c>
      <c r="IT104">
        <f t="shared" si="1158"/>
        <v>0.24858234144813773</v>
      </c>
      <c r="IU104">
        <f t="shared" si="1158"/>
        <v>0.24795094016355851</v>
      </c>
      <c r="IV104">
        <f t="shared" si="1158"/>
        <v>0.24732743139503652</v>
      </c>
    </row>
    <row r="105" spans="1:256" x14ac:dyDescent="0.2">
      <c r="A105" t="s">
        <v>576</v>
      </c>
      <c r="B105">
        <v>0.49325614929199219</v>
      </c>
    </row>
    <row r="106" spans="1:256" x14ac:dyDescent="0.2">
      <c r="A106" t="s">
        <v>577</v>
      </c>
      <c r="B106">
        <v>0.46487155914306638</v>
      </c>
    </row>
    <row r="107" spans="1:256" x14ac:dyDescent="0.2">
      <c r="A107" t="s">
        <v>578</v>
      </c>
      <c r="B107">
        <v>0.27561077117919924</v>
      </c>
    </row>
    <row r="108" spans="1:256" x14ac:dyDescent="0.2">
      <c r="A108" t="s">
        <v>579</v>
      </c>
      <c r="B108">
        <v>0.41950977325439454</v>
      </c>
    </row>
    <row r="109" spans="1:256" x14ac:dyDescent="0.2">
      <c r="A109" t="s">
        <v>580</v>
      </c>
      <c r="B109">
        <v>0.35542755126953124</v>
      </c>
    </row>
    <row r="110" spans="1:256" x14ac:dyDescent="0.2">
      <c r="A110" t="s">
        <v>581</v>
      </c>
      <c r="B110">
        <v>0.62973716735839846</v>
      </c>
    </row>
    <row r="111" spans="1:256" x14ac:dyDescent="0.2">
      <c r="A111" t="s">
        <v>582</v>
      </c>
      <c r="B111">
        <v>0.38113487243652344</v>
      </c>
    </row>
    <row r="112" spans="1:256" x14ac:dyDescent="0.2">
      <c r="A112" t="s">
        <v>583</v>
      </c>
      <c r="B112">
        <v>0.49241348266601564</v>
      </c>
    </row>
    <row r="113" spans="1:7" x14ac:dyDescent="0.2">
      <c r="A113" t="s">
        <v>584</v>
      </c>
      <c r="B113">
        <v>0.1523066520690918</v>
      </c>
    </row>
    <row r="114" spans="1:7" x14ac:dyDescent="0.2">
      <c r="A114" t="s">
        <v>585</v>
      </c>
      <c r="B114">
        <v>0.50123226165771484</v>
      </c>
    </row>
    <row r="115" spans="1:7" x14ac:dyDescent="0.2">
      <c r="A115" t="s">
        <v>586</v>
      </c>
      <c r="B115">
        <v>0.3104089164733887</v>
      </c>
    </row>
    <row r="116" spans="1:7" x14ac:dyDescent="0.2">
      <c r="A116" t="s">
        <v>587</v>
      </c>
      <c r="B116">
        <v>0.76251144409179683</v>
      </c>
    </row>
    <row r="117" spans="1:7" x14ac:dyDescent="0.2">
      <c r="A117" t="s">
        <v>588</v>
      </c>
      <c r="B117">
        <v>0.8951568603515625</v>
      </c>
    </row>
    <row r="118" spans="1:7" x14ac:dyDescent="0.2">
      <c r="A118" t="s">
        <v>589</v>
      </c>
      <c r="B118">
        <v>0.36505893707275389</v>
      </c>
    </row>
    <row r="119" spans="1:7" x14ac:dyDescent="0.2">
      <c r="A119" t="s">
        <v>590</v>
      </c>
      <c r="B119">
        <v>0.75303482055664062</v>
      </c>
    </row>
    <row r="120" spans="1:7" x14ac:dyDescent="0.2">
      <c r="A120" t="s">
        <v>591</v>
      </c>
      <c r="B120">
        <v>0.51361991882324221</v>
      </c>
    </row>
    <row r="121" spans="1:7" x14ac:dyDescent="0.2">
      <c r="A121" t="s">
        <v>592</v>
      </c>
      <c r="B121">
        <v>0.50487140655517582</v>
      </c>
    </row>
    <row r="122" spans="1:7" x14ac:dyDescent="0.2">
      <c r="A122" t="s">
        <v>525</v>
      </c>
      <c r="B122">
        <v>10</v>
      </c>
      <c r="C122">
        <v>10</v>
      </c>
      <c r="D122">
        <v>10</v>
      </c>
      <c r="E122">
        <v>10</v>
      </c>
      <c r="F122">
        <v>10</v>
      </c>
      <c r="G122">
        <v>10</v>
      </c>
    </row>
    <row r="123" spans="1:7" x14ac:dyDescent="0.2">
      <c r="A123" t="s">
        <v>526</v>
      </c>
      <c r="B123">
        <v>10</v>
      </c>
      <c r="C123">
        <v>10</v>
      </c>
      <c r="D123">
        <v>10</v>
      </c>
      <c r="E123">
        <v>10</v>
      </c>
      <c r="F123">
        <v>10</v>
      </c>
      <c r="G123">
        <v>10</v>
      </c>
    </row>
    <row r="124" spans="1:7" x14ac:dyDescent="0.2">
      <c r="A124" t="s">
        <v>527</v>
      </c>
      <c r="B124">
        <v>10</v>
      </c>
      <c r="C124">
        <v>10</v>
      </c>
      <c r="D124">
        <v>10</v>
      </c>
      <c r="E124">
        <v>10</v>
      </c>
      <c r="F124">
        <v>10</v>
      </c>
      <c r="G124">
        <v>10</v>
      </c>
    </row>
    <row r="125" spans="1:7" x14ac:dyDescent="0.2">
      <c r="A125" t="s">
        <v>528</v>
      </c>
      <c r="B125">
        <v>10</v>
      </c>
      <c r="C125">
        <v>10</v>
      </c>
      <c r="D125">
        <v>10</v>
      </c>
      <c r="E125">
        <v>10</v>
      </c>
      <c r="F125">
        <v>10</v>
      </c>
      <c r="G125">
        <v>10</v>
      </c>
    </row>
    <row r="126" spans="1:7" x14ac:dyDescent="0.2">
      <c r="A126" t="s">
        <v>529</v>
      </c>
      <c r="B126">
        <v>10</v>
      </c>
      <c r="C126">
        <v>10</v>
      </c>
      <c r="D126">
        <v>10</v>
      </c>
      <c r="E126">
        <v>10</v>
      </c>
      <c r="F126">
        <v>10</v>
      </c>
      <c r="G126">
        <v>10</v>
      </c>
    </row>
    <row r="127" spans="1:7" x14ac:dyDescent="0.2">
      <c r="A127" t="s">
        <v>530</v>
      </c>
      <c r="B127">
        <v>10</v>
      </c>
      <c r="C127">
        <v>10</v>
      </c>
      <c r="D127">
        <v>10</v>
      </c>
      <c r="E127">
        <v>10</v>
      </c>
      <c r="F127">
        <v>10</v>
      </c>
      <c r="G127">
        <v>10</v>
      </c>
    </row>
    <row r="128" spans="1:7" x14ac:dyDescent="0.2">
      <c r="A128" t="s">
        <v>531</v>
      </c>
      <c r="B128">
        <v>10</v>
      </c>
      <c r="C128">
        <v>10</v>
      </c>
      <c r="D128">
        <v>10</v>
      </c>
      <c r="E128">
        <v>10</v>
      </c>
      <c r="F128">
        <v>10</v>
      </c>
      <c r="G128">
        <v>10</v>
      </c>
    </row>
    <row r="129" spans="1:30" x14ac:dyDescent="0.2">
      <c r="A129" t="s">
        <v>532</v>
      </c>
      <c r="B129">
        <v>10</v>
      </c>
      <c r="C129">
        <v>10</v>
      </c>
      <c r="D129">
        <v>10</v>
      </c>
      <c r="E129">
        <v>10</v>
      </c>
      <c r="F129">
        <v>10</v>
      </c>
      <c r="G129">
        <v>10</v>
      </c>
    </row>
    <row r="130" spans="1:30" x14ac:dyDescent="0.2">
      <c r="A130" t="s">
        <v>533</v>
      </c>
      <c r="B130">
        <v>10</v>
      </c>
      <c r="C130">
        <v>10</v>
      </c>
      <c r="D130">
        <v>10</v>
      </c>
      <c r="E130">
        <v>10</v>
      </c>
      <c r="F130">
        <v>10</v>
      </c>
      <c r="G130">
        <v>10</v>
      </c>
    </row>
    <row r="131" spans="1:30" x14ac:dyDescent="0.2">
      <c r="A131" t="s">
        <v>534</v>
      </c>
      <c r="B131">
        <v>10</v>
      </c>
      <c r="C131">
        <v>10</v>
      </c>
      <c r="D131">
        <v>10</v>
      </c>
      <c r="E131">
        <v>10</v>
      </c>
      <c r="F131">
        <v>10</v>
      </c>
      <c r="G131">
        <v>10</v>
      </c>
    </row>
    <row r="132" spans="1:30" x14ac:dyDescent="0.2">
      <c r="A132" t="s">
        <v>535</v>
      </c>
      <c r="B132">
        <v>10</v>
      </c>
      <c r="C132">
        <v>10</v>
      </c>
      <c r="D132">
        <v>10</v>
      </c>
      <c r="E132">
        <v>10</v>
      </c>
      <c r="F132">
        <v>10</v>
      </c>
      <c r="G132">
        <v>10</v>
      </c>
    </row>
    <row r="133" spans="1:30" x14ac:dyDescent="0.2">
      <c r="A133" t="s">
        <v>536</v>
      </c>
      <c r="B133">
        <v>10</v>
      </c>
      <c r="C133">
        <v>10</v>
      </c>
      <c r="D133">
        <v>10</v>
      </c>
      <c r="E133">
        <v>10</v>
      </c>
      <c r="F133">
        <v>10</v>
      </c>
      <c r="G133">
        <v>10</v>
      </c>
    </row>
    <row r="134" spans="1:30" x14ac:dyDescent="0.2">
      <c r="A134" t="s">
        <v>537</v>
      </c>
      <c r="B134">
        <v>10</v>
      </c>
      <c r="C134">
        <v>10</v>
      </c>
      <c r="D134">
        <v>10</v>
      </c>
      <c r="E134">
        <v>10</v>
      </c>
      <c r="F134">
        <v>10</v>
      </c>
      <c r="G134">
        <v>10</v>
      </c>
    </row>
    <row r="135" spans="1:30" x14ac:dyDescent="0.2">
      <c r="A135" t="s">
        <v>538</v>
      </c>
      <c r="B135">
        <v>10</v>
      </c>
      <c r="C135">
        <v>10</v>
      </c>
      <c r="D135">
        <v>10</v>
      </c>
      <c r="E135">
        <v>10</v>
      </c>
      <c r="F135">
        <v>10</v>
      </c>
      <c r="G135">
        <v>10</v>
      </c>
    </row>
    <row r="136" spans="1:30" x14ac:dyDescent="0.2">
      <c r="A136" t="s">
        <v>539</v>
      </c>
      <c r="B136">
        <v>10</v>
      </c>
      <c r="C136">
        <v>10</v>
      </c>
      <c r="D136">
        <v>10</v>
      </c>
      <c r="E136">
        <v>10</v>
      </c>
      <c r="F136">
        <v>10</v>
      </c>
      <c r="G136">
        <v>10</v>
      </c>
      <c r="S136" t="s">
        <v>593</v>
      </c>
      <c r="T136">
        <v>10</v>
      </c>
      <c r="U136">
        <v>1</v>
      </c>
      <c r="V136">
        <v>2</v>
      </c>
      <c r="W136">
        <v>3</v>
      </c>
      <c r="X136">
        <v>4</v>
      </c>
      <c r="Y136">
        <v>5</v>
      </c>
      <c r="Z136">
        <v>6</v>
      </c>
      <c r="AA136">
        <v>7</v>
      </c>
      <c r="AB136">
        <v>8</v>
      </c>
      <c r="AC136">
        <v>9</v>
      </c>
      <c r="AD136">
        <v>10</v>
      </c>
    </row>
    <row r="137" spans="1:30" x14ac:dyDescent="0.2">
      <c r="A137" t="s">
        <v>540</v>
      </c>
      <c r="B137">
        <v>10</v>
      </c>
      <c r="C137">
        <v>10</v>
      </c>
      <c r="D137">
        <v>10</v>
      </c>
      <c r="E137">
        <v>10</v>
      </c>
      <c r="F137">
        <v>10</v>
      </c>
      <c r="G137">
        <v>10</v>
      </c>
      <c r="S137" t="s">
        <v>594</v>
      </c>
      <c r="T137">
        <v>0.53012843993527503</v>
      </c>
      <c r="U137">
        <v>0.47812048752268377</v>
      </c>
      <c r="V137">
        <v>0.52270232032183161</v>
      </c>
      <c r="W137">
        <v>0.52270232032183161</v>
      </c>
      <c r="X137">
        <v>0.52943958394183599</v>
      </c>
      <c r="Y137">
        <v>0.53012843993527503</v>
      </c>
      <c r="Z137">
        <v>0.53012843993527503</v>
      </c>
      <c r="AA137">
        <v>0.53012843993527503</v>
      </c>
      <c r="AB137">
        <v>0.53012843993527503</v>
      </c>
      <c r="AC137">
        <v>0.53012843993527503</v>
      </c>
      <c r="AD137">
        <v>0.53012843993527503</v>
      </c>
    </row>
    <row r="138" spans="1:30" x14ac:dyDescent="0.2">
      <c r="A138" t="s">
        <v>541</v>
      </c>
      <c r="B138">
        <v>10</v>
      </c>
      <c r="C138">
        <v>10</v>
      </c>
      <c r="D138">
        <v>10</v>
      </c>
      <c r="E138">
        <v>10</v>
      </c>
      <c r="F138">
        <v>10</v>
      </c>
      <c r="G138">
        <v>10</v>
      </c>
      <c r="H138" t="s">
        <v>595</v>
      </c>
      <c r="I138" t="s">
        <v>596</v>
      </c>
      <c r="J138" s="33" t="s">
        <v>597</v>
      </c>
      <c r="K138" t="s">
        <v>598</v>
      </c>
      <c r="L138" t="s">
        <v>599</v>
      </c>
      <c r="M138" t="s">
        <v>593</v>
      </c>
      <c r="N138" t="s">
        <v>600</v>
      </c>
      <c r="P138" t="s">
        <v>473</v>
      </c>
      <c r="Q138" s="21">
        <f t="shared" ref="Q138:Q154" si="1159">I139-1</f>
        <v>-0.40867056185759754</v>
      </c>
      <c r="R138" s="21" t="e">
        <f t="shared" ref="R138:R154" si="1160">Q138/K$139</f>
        <v>#DIV/0!</v>
      </c>
      <c r="T138">
        <v>9.7656260855671945E-11</v>
      </c>
      <c r="U138">
        <v>1.7188222622976984E-7</v>
      </c>
      <c r="V138">
        <v>4.576251108057142E-7</v>
      </c>
      <c r="W138">
        <v>4.576251108057142E-7</v>
      </c>
      <c r="X138">
        <v>3.0536828709333185E-9</v>
      </c>
      <c r="Y138">
        <v>1.9531252171134397E-10</v>
      </c>
      <c r="Z138">
        <v>1.6276043475945338E-10</v>
      </c>
      <c r="AA138">
        <v>1.3950894407953138E-10</v>
      </c>
      <c r="AB138">
        <v>1.2207032606958995E-10</v>
      </c>
      <c r="AC138">
        <v>1.0850695650630218E-10</v>
      </c>
      <c r="AD138">
        <v>9.7656260855671945E-11</v>
      </c>
    </row>
    <row r="139" spans="1:30" x14ac:dyDescent="0.2">
      <c r="A139" t="s">
        <v>601</v>
      </c>
      <c r="B139">
        <v>0.1</v>
      </c>
      <c r="C139">
        <v>0.1</v>
      </c>
      <c r="D139">
        <v>0.1</v>
      </c>
      <c r="E139">
        <v>0.1</v>
      </c>
      <c r="F139">
        <v>0.93385078430175783</v>
      </c>
      <c r="G139">
        <v>1.172816152746244</v>
      </c>
      <c r="H139">
        <f>MIN(2,I139*G139)</f>
        <v>0.69352071664777049</v>
      </c>
      <c r="I139" s="22">
        <v>0.59132943814240246</v>
      </c>
      <c r="J139" s="22">
        <f>AVERAGE(B156:B172)</f>
        <v>0.6297376702227222</v>
      </c>
      <c r="K139">
        <f>SUM(I139:I155)-17</f>
        <v>0</v>
      </c>
      <c r="L139">
        <v>0</v>
      </c>
      <c r="M139">
        <v>0</v>
      </c>
      <c r="N139">
        <v>0.72472586878777068</v>
      </c>
      <c r="P139" t="s">
        <v>474</v>
      </c>
      <c r="Q139" s="21">
        <f t="shared" si="1159"/>
        <v>0.20850183194956662</v>
      </c>
      <c r="R139" s="21" t="e">
        <f t="shared" si="1160"/>
        <v>#DIV/0!</v>
      </c>
      <c r="T139">
        <v>1.5137701374258411E-3</v>
      </c>
      <c r="U139">
        <v>0.20886017960837408</v>
      </c>
      <c r="V139">
        <v>3.8569182227476891E-4</v>
      </c>
      <c r="W139">
        <v>3.8569182227476891E-4</v>
      </c>
      <c r="X139">
        <v>8.7227730187859186E-4</v>
      </c>
      <c r="Y139">
        <v>3.0275402748516831E-3</v>
      </c>
      <c r="Z139">
        <v>2.5229502290430705E-3</v>
      </c>
      <c r="AA139">
        <v>2.162528767751202E-3</v>
      </c>
      <c r="AB139">
        <v>1.8922126717823015E-3</v>
      </c>
      <c r="AC139">
        <v>1.6819668193620457E-3</v>
      </c>
      <c r="AD139">
        <v>1.5137701374258411E-3</v>
      </c>
    </row>
    <row r="140" spans="1:30" x14ac:dyDescent="0.2">
      <c r="A140" t="s">
        <v>602</v>
      </c>
      <c r="B140">
        <v>0.53903743248839364</v>
      </c>
      <c r="C140">
        <v>0.48157343501611777</v>
      </c>
      <c r="D140">
        <v>0.68816862329805084</v>
      </c>
      <c r="E140">
        <v>1.3763372465961017</v>
      </c>
      <c r="F140">
        <v>0.36852024078369139</v>
      </c>
      <c r="G140">
        <v>0.73704048156738278</v>
      </c>
      <c r="H140">
        <f t="shared" ref="H140:H155" si="1161">MIN(2,I140*G140)</f>
        <v>0.89071477219517292</v>
      </c>
      <c r="I140" s="22">
        <v>1.2085018319495666</v>
      </c>
      <c r="M140">
        <v>2</v>
      </c>
      <c r="N140">
        <v>0.78310971760414372</v>
      </c>
      <c r="P140" t="s">
        <v>475</v>
      </c>
      <c r="Q140" s="21">
        <f t="shared" si="1159"/>
        <v>4.9075155852410512E-2</v>
      </c>
      <c r="R140" s="21" t="e">
        <f t="shared" si="1160"/>
        <v>#DIV/0!</v>
      </c>
      <c r="T140">
        <v>9.7656260855671945E-11</v>
      </c>
      <c r="U140">
        <v>2.4509794949168025E-7</v>
      </c>
      <c r="V140">
        <v>4.576251108057142E-7</v>
      </c>
      <c r="W140">
        <v>4.576251108057142E-7</v>
      </c>
      <c r="X140">
        <v>3.6975831392287623E-9</v>
      </c>
      <c r="Y140">
        <v>1.9531252171134397E-10</v>
      </c>
      <c r="Z140">
        <v>1.6276043475945338E-10</v>
      </c>
      <c r="AA140">
        <v>1.3950894407953138E-10</v>
      </c>
      <c r="AB140">
        <v>1.2207032606958995E-10</v>
      </c>
      <c r="AC140">
        <v>1.0850695650630218E-10</v>
      </c>
      <c r="AD140">
        <v>9.7656260855671945E-11</v>
      </c>
    </row>
    <row r="141" spans="1:30" x14ac:dyDescent="0.2">
      <c r="A141" t="s">
        <v>603</v>
      </c>
      <c r="B141">
        <v>0.9767330841875792</v>
      </c>
      <c r="C141">
        <v>0.1</v>
      </c>
      <c r="D141">
        <v>0.1</v>
      </c>
      <c r="E141">
        <v>0.19999999999999998</v>
      </c>
      <c r="F141">
        <v>0.55213714599609376</v>
      </c>
      <c r="G141">
        <v>0.92880030313837403</v>
      </c>
      <c r="H141">
        <f t="shared" si="1161"/>
        <v>0.97438132277065581</v>
      </c>
      <c r="I141" s="22">
        <v>1.0490751558524105</v>
      </c>
      <c r="M141">
        <v>4</v>
      </c>
      <c r="N141">
        <v>0.79900997179480893</v>
      </c>
      <c r="P141" t="s">
        <v>476</v>
      </c>
      <c r="Q141" s="21">
        <f t="shared" si="1159"/>
        <v>0.54985418992552648</v>
      </c>
      <c r="R141" s="21" t="e">
        <f t="shared" si="1160"/>
        <v>#DIV/0!</v>
      </c>
      <c r="T141">
        <v>9.7656260855671945E-11</v>
      </c>
      <c r="U141">
        <v>1.917473502199847E-7</v>
      </c>
      <c r="V141">
        <v>4.576251108057142E-7</v>
      </c>
      <c r="W141">
        <v>4.576251108057142E-7</v>
      </c>
      <c r="X141">
        <v>3.4601309139946577E-9</v>
      </c>
      <c r="Y141">
        <v>1.9531252171134397E-10</v>
      </c>
      <c r="Z141">
        <v>1.6276043475945338E-10</v>
      </c>
      <c r="AA141">
        <v>1.3950894407953138E-10</v>
      </c>
      <c r="AB141">
        <v>1.2207032606958995E-10</v>
      </c>
      <c r="AC141">
        <v>1.0850695650630218E-10</v>
      </c>
      <c r="AD141">
        <v>9.7656260855671945E-11</v>
      </c>
    </row>
    <row r="142" spans="1:30" x14ac:dyDescent="0.2">
      <c r="A142" t="s">
        <v>604</v>
      </c>
      <c r="B142">
        <v>0.1</v>
      </c>
      <c r="C142">
        <v>0.1</v>
      </c>
      <c r="D142">
        <v>0.2</v>
      </c>
      <c r="E142">
        <v>0.40000000000000008</v>
      </c>
      <c r="F142">
        <v>0.65300369262695313</v>
      </c>
      <c r="G142">
        <v>0.16746446513608801</v>
      </c>
      <c r="H142">
        <f t="shared" si="1161"/>
        <v>0.25954550295480328</v>
      </c>
      <c r="I142" s="22">
        <v>1.5498541899255265</v>
      </c>
      <c r="M142">
        <v>6</v>
      </c>
      <c r="N142">
        <v>0.81111004692342026</v>
      </c>
      <c r="P142" t="s">
        <v>477</v>
      </c>
      <c r="Q142" s="21">
        <f t="shared" si="1159"/>
        <v>-0.13631970313605335</v>
      </c>
      <c r="R142" s="21" t="e">
        <f t="shared" si="1160"/>
        <v>#DIV/0!</v>
      </c>
      <c r="T142">
        <v>2.9328634650855677E-3</v>
      </c>
      <c r="U142">
        <v>0.17919001910808194</v>
      </c>
      <c r="V142">
        <v>3.4652317811821369E-2</v>
      </c>
      <c r="W142">
        <v>3.4652317811821369E-2</v>
      </c>
      <c r="X142">
        <v>9.9930138516834896E-3</v>
      </c>
      <c r="Y142">
        <v>5.865726930171138E-3</v>
      </c>
      <c r="Z142">
        <v>4.888105775142617E-3</v>
      </c>
      <c r="AA142">
        <v>4.1898049501222405E-3</v>
      </c>
      <c r="AB142">
        <v>3.6660793313569601E-3</v>
      </c>
      <c r="AC142">
        <v>3.2587371834284086E-3</v>
      </c>
      <c r="AD142">
        <v>2.9328634650855677E-3</v>
      </c>
    </row>
    <row r="143" spans="1:30" x14ac:dyDescent="0.2">
      <c r="A143" t="s">
        <v>605</v>
      </c>
      <c r="B143">
        <v>2</v>
      </c>
      <c r="C143">
        <v>0.2</v>
      </c>
      <c r="D143">
        <v>0.4</v>
      </c>
      <c r="E143">
        <v>0.63178629903697459</v>
      </c>
      <c r="F143">
        <v>0.33300739288330078</v>
      </c>
      <c r="G143">
        <v>0.62876631851254028</v>
      </c>
      <c r="H143">
        <f t="shared" si="1161"/>
        <v>0.54305308063096158</v>
      </c>
      <c r="I143" s="22">
        <v>0.86368029686394665</v>
      </c>
      <c r="M143">
        <v>8</v>
      </c>
      <c r="N143">
        <v>0.82241473368299589</v>
      </c>
      <c r="P143" t="s">
        <v>478</v>
      </c>
      <c r="Q143" s="21">
        <f t="shared" si="1159"/>
        <v>0.14813290066474472</v>
      </c>
      <c r="R143" s="21" t="e">
        <f t="shared" si="1160"/>
        <v>#DIV/0!</v>
      </c>
      <c r="T143">
        <v>0.15380092346965465</v>
      </c>
      <c r="U143">
        <v>2.0761391739121467E-7</v>
      </c>
      <c r="V143">
        <v>0.13250360081016732</v>
      </c>
      <c r="W143">
        <v>0.13250360081016732</v>
      </c>
      <c r="X143">
        <v>6.3189652299552826E-2</v>
      </c>
      <c r="Y143">
        <v>9.9015079671480405E-2</v>
      </c>
      <c r="Z143">
        <v>0.11727702760420514</v>
      </c>
      <c r="AA143">
        <v>0.13032127612757988</v>
      </c>
      <c r="AB143">
        <v>0.14010446252011105</v>
      </c>
      <c r="AC143">
        <v>0.14771360749207971</v>
      </c>
      <c r="AD143">
        <v>0.15380092346965465</v>
      </c>
    </row>
    <row r="144" spans="1:30" x14ac:dyDescent="0.2">
      <c r="A144" t="s">
        <v>606</v>
      </c>
      <c r="B144">
        <v>1.0839896572620158</v>
      </c>
      <c r="C144">
        <v>0.10839896572620158</v>
      </c>
      <c r="D144">
        <v>0.15286912015913298</v>
      </c>
      <c r="E144">
        <v>0.30573824031826596</v>
      </c>
      <c r="F144">
        <v>0.7371634674072266</v>
      </c>
      <c r="G144">
        <v>0.87097925120585951</v>
      </c>
      <c r="H144">
        <f t="shared" si="1161"/>
        <v>0.9999999341057908</v>
      </c>
      <c r="I144" s="22">
        <v>1.1481329006647447</v>
      </c>
      <c r="M144">
        <v>10</v>
      </c>
      <c r="N144">
        <v>0.83344231464090146</v>
      </c>
      <c r="P144" t="s">
        <v>479</v>
      </c>
      <c r="Q144" s="21">
        <f t="shared" si="1159"/>
        <v>0</v>
      </c>
      <c r="R144" s="21" t="e">
        <f t="shared" si="1160"/>
        <v>#DIV/0!</v>
      </c>
      <c r="T144">
        <v>9.6264751725527762E-11</v>
      </c>
      <c r="U144">
        <v>1.6426920201873033E-7</v>
      </c>
      <c r="V144">
        <v>2.5000000003494407E-7</v>
      </c>
      <c r="W144">
        <v>2.5000000003494407E-7</v>
      </c>
      <c r="X144">
        <v>2.987650968574614E-9</v>
      </c>
      <c r="Y144">
        <v>1.925295034510556E-10</v>
      </c>
      <c r="Z144">
        <v>1.6044125287587975E-10</v>
      </c>
      <c r="AA144">
        <v>1.3752107389361113E-10</v>
      </c>
      <c r="AB144">
        <v>1.2033093965690972E-10</v>
      </c>
      <c r="AC144">
        <v>1.0696083525058641E-10</v>
      </c>
      <c r="AD144">
        <v>9.6264751725527762E-11</v>
      </c>
    </row>
    <row r="145" spans="1:30" x14ac:dyDescent="0.2">
      <c r="A145" t="s">
        <v>607</v>
      </c>
      <c r="B145">
        <v>0.10000000000000003</v>
      </c>
      <c r="C145">
        <v>0.2</v>
      </c>
      <c r="D145">
        <v>0.39999999999999997</v>
      </c>
      <c r="E145">
        <v>0.3164976873931683</v>
      </c>
      <c r="F145">
        <v>0.53973793029785155</v>
      </c>
      <c r="G145">
        <v>0.1</v>
      </c>
      <c r="H145">
        <f t="shared" si="1161"/>
        <v>0.1</v>
      </c>
      <c r="I145" s="22">
        <v>1</v>
      </c>
      <c r="M145">
        <v>12</v>
      </c>
      <c r="N145">
        <v>0.84179953993523915</v>
      </c>
      <c r="P145" t="s">
        <v>480</v>
      </c>
      <c r="Q145" s="21">
        <f t="shared" si="1159"/>
        <v>-0.50024350420705921</v>
      </c>
      <c r="R145" s="21" t="e">
        <f t="shared" si="1160"/>
        <v>#DIV/0!</v>
      </c>
      <c r="T145">
        <v>5.7487140458085582E-2</v>
      </c>
      <c r="U145">
        <v>0.34089080552695228</v>
      </c>
      <c r="V145">
        <v>0.32392503381613258</v>
      </c>
      <c r="W145">
        <v>0.32392503381613258</v>
      </c>
      <c r="X145">
        <v>0.15324070034565529</v>
      </c>
      <c r="Y145">
        <v>0.11497428091617121</v>
      </c>
      <c r="Z145">
        <v>9.5811900763476052E-2</v>
      </c>
      <c r="AA145">
        <v>8.2124486368693697E-2</v>
      </c>
      <c r="AB145">
        <v>7.185892557260698E-2</v>
      </c>
      <c r="AC145">
        <v>6.3874600508983984E-2</v>
      </c>
      <c r="AD145">
        <v>5.7487140458085582E-2</v>
      </c>
    </row>
    <row r="146" spans="1:30" x14ac:dyDescent="0.2">
      <c r="A146" t="s">
        <v>608</v>
      </c>
      <c r="B146">
        <v>2</v>
      </c>
      <c r="C146">
        <v>1.1053192419418489</v>
      </c>
      <c r="D146">
        <v>0.77301572930398088</v>
      </c>
      <c r="E146">
        <v>9.9999999999999978E-2</v>
      </c>
      <c r="F146">
        <v>0.68254425048828127</v>
      </c>
      <c r="G146">
        <v>0.68254425048828127</v>
      </c>
      <c r="H146">
        <f t="shared" si="1161"/>
        <v>0.34110592284764263</v>
      </c>
      <c r="I146" s="22">
        <v>0.49975649579294074</v>
      </c>
      <c r="M146">
        <v>14</v>
      </c>
      <c r="N146">
        <v>0.84959764176271957</v>
      </c>
      <c r="P146" t="s">
        <v>481</v>
      </c>
      <c r="Q146" s="21">
        <f t="shared" si="1159"/>
        <v>0.59392408442299138</v>
      </c>
      <c r="R146" s="21" t="e">
        <f t="shared" si="1160"/>
        <v>#DIV/0!</v>
      </c>
      <c r="T146">
        <v>1.4710161386807169E-2</v>
      </c>
      <c r="U146">
        <v>1.6422195892040806E-7</v>
      </c>
      <c r="V146">
        <v>3.554839679412241E-2</v>
      </c>
      <c r="W146">
        <v>3.554839679412241E-2</v>
      </c>
      <c r="X146">
        <v>3.6461461656235157E-2</v>
      </c>
      <c r="Y146">
        <v>2.9420322773614348E-2</v>
      </c>
      <c r="Z146">
        <v>2.4516935644678634E-2</v>
      </c>
      <c r="AA146">
        <v>2.1014516266867386E-2</v>
      </c>
      <c r="AB146">
        <v>1.8387701733508961E-2</v>
      </c>
      <c r="AC146">
        <v>1.6344623763119077E-2</v>
      </c>
      <c r="AD146">
        <v>1.4710161386807169E-2</v>
      </c>
    </row>
    <row r="147" spans="1:30" x14ac:dyDescent="0.2">
      <c r="A147" t="s">
        <v>609</v>
      </c>
      <c r="B147">
        <v>0.1</v>
      </c>
      <c r="C147">
        <v>0.2</v>
      </c>
      <c r="D147">
        <v>0.40000000000000008</v>
      </c>
      <c r="E147">
        <v>0.80000000000000016</v>
      </c>
      <c r="F147">
        <v>0.33077934265136721</v>
      </c>
      <c r="G147">
        <v>0.66155868530273443</v>
      </c>
      <c r="H147">
        <f t="shared" si="1161"/>
        <v>1.0544743217632389</v>
      </c>
      <c r="I147" s="22">
        <v>1.5939240844229914</v>
      </c>
      <c r="M147">
        <v>16</v>
      </c>
      <c r="N147">
        <v>0.8578202386315299</v>
      </c>
      <c r="P147" t="s">
        <v>482</v>
      </c>
      <c r="Q147" s="21">
        <f t="shared" si="1159"/>
        <v>-0.55297299303400371</v>
      </c>
      <c r="R147" s="21" t="e">
        <f t="shared" si="1160"/>
        <v>#DIV/0!</v>
      </c>
      <c r="T147">
        <v>9.6264751725527762E-11</v>
      </c>
      <c r="U147">
        <v>1.6453610007793942E-7</v>
      </c>
      <c r="V147">
        <v>4.576251108057142E-7</v>
      </c>
      <c r="W147">
        <v>4.576251108057142E-7</v>
      </c>
      <c r="X147">
        <v>2.987650968574614E-9</v>
      </c>
      <c r="Y147">
        <v>1.925295034510556E-10</v>
      </c>
      <c r="Z147">
        <v>1.6044125287587975E-10</v>
      </c>
      <c r="AA147">
        <v>1.3752107389361113E-10</v>
      </c>
      <c r="AB147">
        <v>1.2033093965690972E-10</v>
      </c>
      <c r="AC147">
        <v>1.0696083525058641E-10</v>
      </c>
      <c r="AD147">
        <v>9.6264751725527762E-11</v>
      </c>
    </row>
    <row r="148" spans="1:30" x14ac:dyDescent="0.2">
      <c r="A148" t="s">
        <v>610</v>
      </c>
      <c r="B148">
        <v>0.1</v>
      </c>
      <c r="C148">
        <v>0.1</v>
      </c>
      <c r="D148">
        <v>0.1</v>
      </c>
      <c r="E148">
        <v>0.1</v>
      </c>
      <c r="F148">
        <v>0.72533958435058599</v>
      </c>
      <c r="G148">
        <v>0.72533958435058599</v>
      </c>
      <c r="H148">
        <f t="shared" si="1161"/>
        <v>0.32424638342620221</v>
      </c>
      <c r="I148" s="22">
        <v>0.44702700696599623</v>
      </c>
      <c r="M148">
        <v>18</v>
      </c>
      <c r="N148">
        <v>0.86134657863003294</v>
      </c>
      <c r="P148" t="s">
        <v>483</v>
      </c>
      <c r="Q148" s="21">
        <f t="shared" si="1159"/>
        <v>0</v>
      </c>
      <c r="R148" s="21" t="e">
        <f t="shared" si="1160"/>
        <v>#DIV/0!</v>
      </c>
      <c r="T148">
        <v>0.67133734039411352</v>
      </c>
      <c r="U148">
        <v>7.5252263710731834E-2</v>
      </c>
      <c r="V148">
        <v>0.16520978058479777</v>
      </c>
      <c r="W148">
        <v>0.16520978058479777</v>
      </c>
      <c r="X148">
        <v>0.48722682501934444</v>
      </c>
      <c r="Y148">
        <v>0.55126144805605592</v>
      </c>
      <c r="Z148">
        <v>0.59128674550207516</v>
      </c>
      <c r="AA148">
        <v>0.61987624367780303</v>
      </c>
      <c r="AB148">
        <v>0.64131836730959912</v>
      </c>
      <c r="AC148">
        <v>0.65799557457877378</v>
      </c>
      <c r="AD148">
        <v>0.67133734039411352</v>
      </c>
    </row>
    <row r="149" spans="1:30" x14ac:dyDescent="0.2">
      <c r="A149" t="s">
        <v>611</v>
      </c>
      <c r="B149">
        <v>2</v>
      </c>
      <c r="C149">
        <v>0.2</v>
      </c>
      <c r="D149">
        <v>0.1</v>
      </c>
      <c r="E149">
        <v>0.1</v>
      </c>
      <c r="F149">
        <v>0.34302524566650389</v>
      </c>
      <c r="G149">
        <v>0.1</v>
      </c>
      <c r="H149">
        <f t="shared" si="1161"/>
        <v>0.1</v>
      </c>
      <c r="I149" s="22">
        <v>1</v>
      </c>
      <c r="M149">
        <v>19.924113425188423</v>
      </c>
      <c r="N149">
        <v>0.86154787381778453</v>
      </c>
      <c r="P149" t="s">
        <v>484</v>
      </c>
      <c r="Q149" s="21">
        <f t="shared" si="1159"/>
        <v>-5.5054494172063206E-2</v>
      </c>
      <c r="R149" s="21" t="e">
        <f t="shared" si="1160"/>
        <v>#DIV/0!</v>
      </c>
      <c r="T149">
        <v>9.6264751725527762E-11</v>
      </c>
      <c r="U149">
        <v>1.6422195892040806E-7</v>
      </c>
      <c r="V149">
        <v>4.576251108057142E-7</v>
      </c>
      <c r="W149">
        <v>4.576251108057142E-7</v>
      </c>
      <c r="X149">
        <v>2.987650968574614E-9</v>
      </c>
      <c r="Y149">
        <v>1.925295034510556E-10</v>
      </c>
      <c r="Z149">
        <v>1.6044125287587975E-10</v>
      </c>
      <c r="AA149">
        <v>1.3752107389361113E-10</v>
      </c>
      <c r="AB149">
        <v>1.2033093965690972E-10</v>
      </c>
      <c r="AC149">
        <v>1.0696083525058641E-10</v>
      </c>
      <c r="AD149">
        <v>9.6264751725527762E-11</v>
      </c>
    </row>
    <row r="150" spans="1:30" x14ac:dyDescent="0.2">
      <c r="A150" t="s">
        <v>612</v>
      </c>
      <c r="B150">
        <v>0.789254583573752</v>
      </c>
      <c r="C150">
        <v>1.28571893731135</v>
      </c>
      <c r="D150">
        <v>1.1013679470973989</v>
      </c>
      <c r="E150">
        <v>1.3525884045854113</v>
      </c>
      <c r="F150">
        <v>0.81556205749511723</v>
      </c>
      <c r="G150">
        <v>1.6311241149902345</v>
      </c>
      <c r="H150">
        <f t="shared" si="1161"/>
        <v>1.5413234019075928</v>
      </c>
      <c r="I150" s="22">
        <v>0.94494550582793679</v>
      </c>
      <c r="P150" t="s">
        <v>485</v>
      </c>
      <c r="Q150" s="21">
        <f t="shared" si="1159"/>
        <v>-0.12618699052704752</v>
      </c>
      <c r="R150" s="21" t="e">
        <f t="shared" si="1160"/>
        <v>#DIV/0!</v>
      </c>
      <c r="T150">
        <v>9.6264751725527762E-11</v>
      </c>
      <c r="U150">
        <v>1.6422195892040806E-7</v>
      </c>
      <c r="V150">
        <v>4.576251108057142E-7</v>
      </c>
      <c r="W150">
        <v>4.576251108057142E-7</v>
      </c>
      <c r="X150">
        <v>2.987650968574614E-9</v>
      </c>
      <c r="Y150">
        <v>1.925295034510556E-10</v>
      </c>
      <c r="Z150">
        <v>1.6044125287587975E-10</v>
      </c>
      <c r="AA150">
        <v>1.3752107389361113E-10</v>
      </c>
      <c r="AB150">
        <v>1.2033093965690972E-10</v>
      </c>
      <c r="AC150">
        <v>1.0696083525058641E-10</v>
      </c>
      <c r="AD150">
        <v>9.6264751725527762E-11</v>
      </c>
    </row>
    <row r="151" spans="1:30" x14ac:dyDescent="0.2">
      <c r="A151" t="s">
        <v>613</v>
      </c>
      <c r="B151">
        <v>2</v>
      </c>
      <c r="C151">
        <v>1.0243798239481752</v>
      </c>
      <c r="D151">
        <v>1.3081275084429558</v>
      </c>
      <c r="E151">
        <v>1.0492826920523897</v>
      </c>
      <c r="F151">
        <v>0.74665122985839849</v>
      </c>
      <c r="G151">
        <v>1.0540465856220385</v>
      </c>
      <c r="H151">
        <f t="shared" si="1161"/>
        <v>0.92103961910708354</v>
      </c>
      <c r="I151" s="22">
        <v>0.87381300947295248</v>
      </c>
      <c r="P151" t="s">
        <v>486</v>
      </c>
      <c r="Q151" s="21">
        <f t="shared" si="1159"/>
        <v>0.16547436726264375</v>
      </c>
      <c r="R151" s="21" t="e">
        <f t="shared" si="1160"/>
        <v>#DIV/0!</v>
      </c>
      <c r="T151">
        <v>3.9814494858443496E-2</v>
      </c>
      <c r="U151">
        <v>0.19580452456101741</v>
      </c>
      <c r="V151">
        <v>0.1625663419377858</v>
      </c>
      <c r="W151">
        <v>0.1625663419377858</v>
      </c>
      <c r="X151">
        <v>0.1010675488247207</v>
      </c>
      <c r="Y151">
        <v>7.9628989716887019E-2</v>
      </c>
      <c r="Z151">
        <v>6.6357491430739213E-2</v>
      </c>
      <c r="AA151">
        <v>5.6877849797776436E-2</v>
      </c>
      <c r="AB151">
        <v>4.9768118573054375E-2</v>
      </c>
      <c r="AC151">
        <v>4.4238327620492776E-2</v>
      </c>
      <c r="AD151">
        <v>3.9814494858443496E-2</v>
      </c>
    </row>
    <row r="152" spans="1:30" x14ac:dyDescent="0.2">
      <c r="A152" t="s">
        <v>614</v>
      </c>
      <c r="B152">
        <v>0.66393496229260485</v>
      </c>
      <c r="C152">
        <v>1.3278699245852099</v>
      </c>
      <c r="D152">
        <v>1.9038912082248172</v>
      </c>
      <c r="E152">
        <v>1.2741822414902944</v>
      </c>
      <c r="F152">
        <v>0.42901557922363281</v>
      </c>
      <c r="G152">
        <v>0.85803115844726563</v>
      </c>
      <c r="H152">
        <f t="shared" si="1161"/>
        <v>1.0000133214829601</v>
      </c>
      <c r="I152" s="22">
        <v>1.1654743672626438</v>
      </c>
      <c r="P152" t="s">
        <v>487</v>
      </c>
      <c r="Q152" s="21">
        <f t="shared" si="1159"/>
        <v>6.44857168559414E-2</v>
      </c>
      <c r="R152" s="21" t="e">
        <f t="shared" si="1160"/>
        <v>#DIV/0!</v>
      </c>
      <c r="T152">
        <v>7.2111250304374181E-11</v>
      </c>
      <c r="U152">
        <v>2.4122830355466447E-7</v>
      </c>
      <c r="V152">
        <v>2.5000000003494407E-7</v>
      </c>
      <c r="W152">
        <v>2.5000000003494407E-7</v>
      </c>
      <c r="X152">
        <v>3.2816548462216702E-9</v>
      </c>
      <c r="Y152">
        <v>1.4422250060874841E-10</v>
      </c>
      <c r="Z152">
        <v>1.2018541717395708E-10</v>
      </c>
      <c r="AA152">
        <v>1.0301607186339169E-10</v>
      </c>
      <c r="AB152">
        <v>9.013906288046773E-11</v>
      </c>
      <c r="AC152">
        <v>8.0123611449304644E-11</v>
      </c>
      <c r="AD152">
        <v>7.2111250304374181E-11</v>
      </c>
    </row>
    <row r="153" spans="1:30" x14ac:dyDescent="0.2">
      <c r="A153" t="s">
        <v>615</v>
      </c>
      <c r="B153">
        <v>0.64608152932591834</v>
      </c>
      <c r="C153">
        <v>0.95631431676488821</v>
      </c>
      <c r="D153">
        <v>0.61490054520136983</v>
      </c>
      <c r="E153">
        <v>1.0207935955788219</v>
      </c>
      <c r="F153">
        <v>0.46971038818359373</v>
      </c>
      <c r="G153">
        <v>0.93942077636718757</v>
      </c>
      <c r="H153">
        <f t="shared" si="1161"/>
        <v>0.99999999856059063</v>
      </c>
      <c r="I153" s="22">
        <v>1.0644857168559414</v>
      </c>
      <c r="P153" t="s">
        <v>488</v>
      </c>
      <c r="Q153" s="21">
        <f t="shared" si="1159"/>
        <v>0</v>
      </c>
      <c r="R153" s="21" t="e">
        <f t="shared" si="1160"/>
        <v>#DIV/0!</v>
      </c>
      <c r="T153">
        <v>9.6264751725527762E-11</v>
      </c>
      <c r="U153">
        <v>1.6422195892040806E-7</v>
      </c>
      <c r="V153">
        <v>4.576251108057142E-7</v>
      </c>
      <c r="W153">
        <v>4.576251108057142E-7</v>
      </c>
      <c r="X153">
        <v>2.987650968574614E-9</v>
      </c>
      <c r="Y153">
        <v>1.925295034510556E-10</v>
      </c>
      <c r="Z153">
        <v>1.6044125287587975E-10</v>
      </c>
      <c r="AA153">
        <v>1.3752107389361113E-10</v>
      </c>
      <c r="AB153">
        <v>1.2033093965690972E-10</v>
      </c>
      <c r="AC153">
        <v>1.0696083525058641E-10</v>
      </c>
      <c r="AD153">
        <v>9.6264751725527762E-11</v>
      </c>
    </row>
    <row r="154" spans="1:30" x14ac:dyDescent="0.2">
      <c r="A154" t="s">
        <v>616</v>
      </c>
      <c r="B154">
        <v>0.17589141685066245</v>
      </c>
      <c r="C154">
        <v>0.1</v>
      </c>
      <c r="D154">
        <v>0.2</v>
      </c>
      <c r="E154">
        <v>0.27631075415502315</v>
      </c>
      <c r="F154">
        <v>0.69426445007324222</v>
      </c>
      <c r="G154">
        <v>0.1</v>
      </c>
      <c r="H154">
        <f t="shared" si="1161"/>
        <v>0.1</v>
      </c>
      <c r="I154" s="22">
        <v>1</v>
      </c>
      <c r="P154" t="s">
        <v>489</v>
      </c>
      <c r="Q154" s="21">
        <f t="shared" si="1159"/>
        <v>0</v>
      </c>
      <c r="R154" s="21" t="e">
        <f t="shared" si="1160"/>
        <v>#DIV/0!</v>
      </c>
      <c r="T154">
        <v>5.8403304983980629E-2</v>
      </c>
      <c r="U154">
        <v>1.6422195892040806E-7</v>
      </c>
      <c r="V154">
        <v>0.14520513304711977</v>
      </c>
      <c r="W154">
        <v>0.14520513304711977</v>
      </c>
      <c r="X154">
        <v>0.14794849226962231</v>
      </c>
      <c r="Y154">
        <v>0.1168066099679613</v>
      </c>
      <c r="Z154">
        <v>9.7338841639967796E-2</v>
      </c>
      <c r="AA154">
        <v>8.3433292834258058E-2</v>
      </c>
      <c r="AB154">
        <v>7.3004131229975788E-2</v>
      </c>
      <c r="AC154">
        <v>6.4892561093311818E-2</v>
      </c>
      <c r="AD154">
        <v>5.8403304983980629E-2</v>
      </c>
    </row>
    <row r="155" spans="1:30" x14ac:dyDescent="0.2">
      <c r="A155" t="s">
        <v>617</v>
      </c>
      <c r="B155">
        <v>0.45398547433774844</v>
      </c>
      <c r="C155">
        <v>0.49999962957523858</v>
      </c>
      <c r="D155">
        <v>0.49999978976020731</v>
      </c>
      <c r="E155">
        <v>0.1</v>
      </c>
      <c r="F155">
        <v>0.51738662719726558</v>
      </c>
      <c r="G155">
        <v>0.10000000000000002</v>
      </c>
      <c r="H155">
        <f t="shared" si="1161"/>
        <v>0.10000000000000002</v>
      </c>
      <c r="I155" s="22">
        <v>1</v>
      </c>
    </row>
    <row r="156" spans="1:30" x14ac:dyDescent="0.2">
      <c r="A156" s="33" t="s">
        <v>896</v>
      </c>
      <c r="B156" s="22">
        <f>DB3</f>
        <v>0.72048052548523522</v>
      </c>
      <c r="C156">
        <f t="shared" ref="C156:H156" si="1162">C139/B139</f>
        <v>1</v>
      </c>
      <c r="D156">
        <f t="shared" si="1162"/>
        <v>1</v>
      </c>
      <c r="E156">
        <f t="shared" si="1162"/>
        <v>1</v>
      </c>
      <c r="F156">
        <f t="shared" si="1162"/>
        <v>9.3385078430175774</v>
      </c>
      <c r="G156">
        <f t="shared" si="1162"/>
        <v>1.2558924535499116</v>
      </c>
      <c r="H156">
        <f t="shared" si="1162"/>
        <v>0.59132943814240246</v>
      </c>
      <c r="J156" s="22">
        <v>0.71633990262971869</v>
      </c>
      <c r="K156" s="23">
        <f t="shared" ref="K156:K172" si="1163">B156-J156</f>
        <v>4.1406228555165292E-3</v>
      </c>
      <c r="M156" s="22">
        <f>I139</f>
        <v>0.59132943814240246</v>
      </c>
      <c r="N156" s="22">
        <f>M156/17</f>
        <v>3.4784084596611912E-2</v>
      </c>
    </row>
    <row r="157" spans="1:30" x14ac:dyDescent="0.2">
      <c r="A157" s="33" t="s">
        <v>897</v>
      </c>
      <c r="B157" s="22">
        <f t="shared" ref="B157:B172" si="1164">DB4</f>
        <v>0.74617303271699131</v>
      </c>
      <c r="C157">
        <f t="shared" ref="C157:H157" si="1165">C140/B140</f>
        <v>0.89339516328763835</v>
      </c>
      <c r="D157">
        <f t="shared" si="1165"/>
        <v>1.4290003834514222</v>
      </c>
      <c r="E157">
        <f t="shared" si="1165"/>
        <v>2</v>
      </c>
      <c r="F157">
        <f t="shared" si="1165"/>
        <v>0.26775431798790583</v>
      </c>
      <c r="G157">
        <f t="shared" si="1165"/>
        <v>2</v>
      </c>
      <c r="H157">
        <f t="shared" si="1165"/>
        <v>1.2085018319495666</v>
      </c>
      <c r="J157" s="22">
        <v>0.75284410382137257</v>
      </c>
      <c r="K157" s="23">
        <f t="shared" si="1163"/>
        <v>-6.6710711043812543E-3</v>
      </c>
      <c r="M157" s="22">
        <f t="shared" ref="M157:M172" si="1166">I140</f>
        <v>1.2085018319495666</v>
      </c>
      <c r="N157" s="22">
        <f t="shared" ref="N157:N172" si="1167">M157/17</f>
        <v>7.1088343055856859E-2</v>
      </c>
    </row>
    <row r="158" spans="1:30" x14ac:dyDescent="0.2">
      <c r="A158" s="33" t="s">
        <v>898</v>
      </c>
      <c r="B158" s="22">
        <f t="shared" si="1164"/>
        <v>0.68210091370703874</v>
      </c>
      <c r="C158">
        <f t="shared" ref="C158:H158" si="1168">C141/B141</f>
        <v>0.1023821160754244</v>
      </c>
      <c r="D158">
        <f t="shared" si="1168"/>
        <v>1</v>
      </c>
      <c r="E158">
        <f t="shared" si="1168"/>
        <v>1.9999999999999998</v>
      </c>
      <c r="F158">
        <f t="shared" si="1168"/>
        <v>2.760685729980469</v>
      </c>
      <c r="G158">
        <f t="shared" si="1168"/>
        <v>1.6821912995235155</v>
      </c>
      <c r="H158">
        <f t="shared" si="1168"/>
        <v>1.0490751558524105</v>
      </c>
      <c r="J158" s="22">
        <v>0.65902133070028546</v>
      </c>
      <c r="K158" s="23">
        <f t="shared" si="1163"/>
        <v>2.3079583006753279E-2</v>
      </c>
      <c r="M158" s="22">
        <f t="shared" si="1166"/>
        <v>1.0490751558524105</v>
      </c>
      <c r="N158" s="22">
        <f t="shared" si="1167"/>
        <v>6.1710303285435912E-2</v>
      </c>
    </row>
    <row r="159" spans="1:30" x14ac:dyDescent="0.2">
      <c r="A159" s="33" t="s">
        <v>899</v>
      </c>
      <c r="B159" s="22">
        <f t="shared" si="1164"/>
        <v>0.5933009498993882</v>
      </c>
      <c r="C159">
        <f t="shared" ref="C159:H159" si="1169">C142/B142</f>
        <v>1</v>
      </c>
      <c r="D159">
        <f t="shared" si="1169"/>
        <v>2</v>
      </c>
      <c r="E159">
        <f t="shared" si="1169"/>
        <v>2.0000000000000004</v>
      </c>
      <c r="F159">
        <f t="shared" si="1169"/>
        <v>1.6325092315673826</v>
      </c>
      <c r="G159">
        <f t="shared" si="1169"/>
        <v>0.2564525545979674</v>
      </c>
      <c r="H159">
        <f t="shared" si="1169"/>
        <v>1.5498541899255267</v>
      </c>
      <c r="J159" s="22">
        <v>0.38021926821027385</v>
      </c>
      <c r="K159" s="23">
        <f t="shared" si="1163"/>
        <v>0.21308168168911434</v>
      </c>
      <c r="M159" s="22">
        <f t="shared" si="1166"/>
        <v>1.5498541899255265</v>
      </c>
      <c r="N159" s="22">
        <f t="shared" si="1167"/>
        <v>9.1167893525030963E-2</v>
      </c>
    </row>
    <row r="160" spans="1:30" x14ac:dyDescent="0.2">
      <c r="A160" s="33" t="s">
        <v>900</v>
      </c>
      <c r="B160" s="22">
        <f t="shared" si="1164"/>
        <v>0.68293849022647213</v>
      </c>
      <c r="C160">
        <f t="shared" ref="C160:H160" si="1170">C143/B143</f>
        <v>0.1</v>
      </c>
      <c r="D160">
        <f t="shared" si="1170"/>
        <v>2</v>
      </c>
      <c r="E160">
        <f t="shared" si="1170"/>
        <v>1.5794657475924363</v>
      </c>
      <c r="F160">
        <f t="shared" si="1170"/>
        <v>0.52708865860323428</v>
      </c>
      <c r="G160">
        <f t="shared" si="1170"/>
        <v>1.8881452242499774</v>
      </c>
      <c r="H160">
        <f t="shared" si="1170"/>
        <v>0.86368029686394654</v>
      </c>
      <c r="J160" s="22">
        <v>0.66012070919420818</v>
      </c>
      <c r="K160" s="23">
        <f t="shared" si="1163"/>
        <v>2.2817781032263951E-2</v>
      </c>
      <c r="M160" s="22">
        <f t="shared" si="1166"/>
        <v>0.86368029686394665</v>
      </c>
      <c r="N160" s="22">
        <f t="shared" si="1167"/>
        <v>5.0804723344938039E-2</v>
      </c>
    </row>
    <row r="161" spans="1:32" x14ac:dyDescent="0.2">
      <c r="A161" s="33" t="s">
        <v>901</v>
      </c>
      <c r="B161" s="22">
        <f t="shared" si="1164"/>
        <v>0.79782708901749833</v>
      </c>
      <c r="C161">
        <f t="shared" ref="C161:H161" si="1171">C144/B144</f>
        <v>0.1</v>
      </c>
      <c r="D161">
        <f t="shared" si="1171"/>
        <v>1.4102451913171927</v>
      </c>
      <c r="E161">
        <f t="shared" si="1171"/>
        <v>2</v>
      </c>
      <c r="F161">
        <f t="shared" si="1171"/>
        <v>2.411093445948592</v>
      </c>
      <c r="G161">
        <f t="shared" si="1171"/>
        <v>1.1815279645765597</v>
      </c>
      <c r="H161">
        <f t="shared" si="1171"/>
        <v>1.1481329006647447</v>
      </c>
      <c r="J161" s="22">
        <v>0.79782712233365727</v>
      </c>
      <c r="K161" s="23">
        <f t="shared" si="1163"/>
        <v>-3.3316158942753304E-8</v>
      </c>
      <c r="M161" s="22">
        <f t="shared" si="1166"/>
        <v>1.1481329006647447</v>
      </c>
      <c r="N161" s="22">
        <f t="shared" si="1167"/>
        <v>6.7537229450867334E-2</v>
      </c>
    </row>
    <row r="162" spans="1:32" x14ac:dyDescent="0.2">
      <c r="A162" s="33" t="s">
        <v>902</v>
      </c>
      <c r="B162" s="22">
        <f t="shared" si="1164"/>
        <v>0.21685595035239275</v>
      </c>
      <c r="C162">
        <f t="shared" ref="C162:H162" si="1172">C145/B145</f>
        <v>1.9999999999999996</v>
      </c>
      <c r="D162">
        <f t="shared" si="1172"/>
        <v>1.9999999999999998</v>
      </c>
      <c r="E162">
        <f t="shared" si="1172"/>
        <v>0.79124421848292081</v>
      </c>
      <c r="F162">
        <f t="shared" si="1172"/>
        <v>1.7053455737493706</v>
      </c>
      <c r="G162">
        <f t="shared" si="1172"/>
        <v>0.18527510183472845</v>
      </c>
      <c r="H162">
        <f t="shared" si="1172"/>
        <v>1</v>
      </c>
      <c r="J162" s="22">
        <v>0.23621428031423372</v>
      </c>
      <c r="K162" s="23">
        <f t="shared" si="1163"/>
        <v>-1.9358329961840975E-2</v>
      </c>
      <c r="M162" s="22">
        <f t="shared" si="1166"/>
        <v>1</v>
      </c>
      <c r="N162" s="22">
        <f t="shared" si="1167"/>
        <v>5.8823529411764705E-2</v>
      </c>
    </row>
    <row r="163" spans="1:32" x14ac:dyDescent="0.2">
      <c r="A163" s="33" t="s">
        <v>903</v>
      </c>
      <c r="B163" s="22">
        <f t="shared" si="1164"/>
        <v>0.81105443063261473</v>
      </c>
      <c r="C163">
        <f t="shared" ref="C163:H163" si="1173">C146/B146</f>
        <v>0.55265962097092447</v>
      </c>
      <c r="D163">
        <f t="shared" si="1173"/>
        <v>0.69935969625022543</v>
      </c>
      <c r="E163">
        <f t="shared" si="1173"/>
        <v>0.12936347374204071</v>
      </c>
      <c r="F163">
        <f t="shared" si="1173"/>
        <v>6.8254425048828145</v>
      </c>
      <c r="G163">
        <f t="shared" si="1173"/>
        <v>1</v>
      </c>
      <c r="H163">
        <f t="shared" si="1173"/>
        <v>0.49975649579294074</v>
      </c>
      <c r="J163" s="22">
        <v>0.82018500750800427</v>
      </c>
      <c r="K163" s="23">
        <f t="shared" si="1163"/>
        <v>-9.13057687538954E-3</v>
      </c>
      <c r="M163" s="22">
        <f t="shared" si="1166"/>
        <v>0.49975649579294074</v>
      </c>
      <c r="N163" s="22">
        <f t="shared" si="1167"/>
        <v>2.9397440928996516E-2</v>
      </c>
    </row>
    <row r="164" spans="1:32" x14ac:dyDescent="0.2">
      <c r="A164" s="33" t="s">
        <v>904</v>
      </c>
      <c r="B164" s="22">
        <f t="shared" si="1164"/>
        <v>0.64248319109497121</v>
      </c>
      <c r="C164">
        <f t="shared" ref="C164:H164" si="1174">C147/B147</f>
        <v>2</v>
      </c>
      <c r="D164">
        <f t="shared" si="1174"/>
        <v>2.0000000000000004</v>
      </c>
      <c r="E164">
        <f t="shared" si="1174"/>
        <v>2</v>
      </c>
      <c r="F164">
        <f t="shared" si="1174"/>
        <v>0.41347417831420896</v>
      </c>
      <c r="G164">
        <f t="shared" si="1174"/>
        <v>2</v>
      </c>
      <c r="H164">
        <f t="shared" si="1174"/>
        <v>1.5939240844229914</v>
      </c>
      <c r="J164" s="22">
        <v>0.64391700965959442</v>
      </c>
      <c r="K164" s="23">
        <f t="shared" si="1163"/>
        <v>-1.4338185646232127E-3</v>
      </c>
      <c r="M164" s="22">
        <f t="shared" si="1166"/>
        <v>1.5939240844229914</v>
      </c>
      <c r="N164" s="22">
        <f t="shared" si="1167"/>
        <v>9.3760240260175959E-2</v>
      </c>
    </row>
    <row r="165" spans="1:32" x14ac:dyDescent="0.2">
      <c r="A165" s="33" t="s">
        <v>905</v>
      </c>
      <c r="B165" s="22">
        <f t="shared" si="1164"/>
        <v>0.73198276702300125</v>
      </c>
      <c r="C165">
        <f t="shared" ref="C165:H165" si="1175">C148/B148</f>
        <v>1</v>
      </c>
      <c r="D165">
        <f t="shared" si="1175"/>
        <v>1</v>
      </c>
      <c r="E165">
        <f t="shared" si="1175"/>
        <v>1</v>
      </c>
      <c r="F165">
        <f t="shared" si="1175"/>
        <v>7.2533958435058592</v>
      </c>
      <c r="G165">
        <f t="shared" si="1175"/>
        <v>1</v>
      </c>
      <c r="H165">
        <f t="shared" si="1175"/>
        <v>0.44702700696599623</v>
      </c>
      <c r="J165" s="22">
        <v>0.73963278905141994</v>
      </c>
      <c r="K165" s="23">
        <f t="shared" si="1163"/>
        <v>-7.6500220284186904E-3</v>
      </c>
      <c r="M165" s="22">
        <f t="shared" si="1166"/>
        <v>0.44702700696599623</v>
      </c>
      <c r="N165" s="22">
        <f t="shared" si="1167"/>
        <v>2.6295706292117426E-2</v>
      </c>
    </row>
    <row r="166" spans="1:32" x14ac:dyDescent="0.2">
      <c r="A166" s="33" t="s">
        <v>906</v>
      </c>
      <c r="B166" s="22">
        <f t="shared" si="1164"/>
        <v>0.26297779829547235</v>
      </c>
      <c r="C166">
        <f t="shared" ref="C166:H166" si="1176">C149/B149</f>
        <v>0.1</v>
      </c>
      <c r="D166">
        <f t="shared" si="1176"/>
        <v>0.5</v>
      </c>
      <c r="E166">
        <f t="shared" si="1176"/>
        <v>1</v>
      </c>
      <c r="F166">
        <f t="shared" si="1176"/>
        <v>3.4302524566650385</v>
      </c>
      <c r="G166">
        <f t="shared" si="1176"/>
        <v>0.29152373262119036</v>
      </c>
      <c r="H166">
        <f t="shared" si="1176"/>
        <v>1</v>
      </c>
      <c r="J166" s="22">
        <v>0.33160710781492519</v>
      </c>
      <c r="K166" s="23">
        <f t="shared" si="1163"/>
        <v>-6.8629309519452841E-2</v>
      </c>
      <c r="M166" s="22">
        <f t="shared" si="1166"/>
        <v>1</v>
      </c>
      <c r="N166" s="22">
        <f t="shared" si="1167"/>
        <v>5.8823529411764705E-2</v>
      </c>
    </row>
    <row r="167" spans="1:32" x14ac:dyDescent="0.2">
      <c r="A167" s="33" t="s">
        <v>907</v>
      </c>
      <c r="B167" s="22">
        <f t="shared" si="1164"/>
        <v>0.58225775219955889</v>
      </c>
      <c r="C167">
        <f t="shared" ref="C167:H167" si="1177">C150/B150</f>
        <v>1.6290294210134364</v>
      </c>
      <c r="D167">
        <f t="shared" si="1177"/>
        <v>0.85661641524899734</v>
      </c>
      <c r="E167">
        <f t="shared" si="1177"/>
        <v>1.2280985733696823</v>
      </c>
      <c r="F167">
        <f t="shared" si="1177"/>
        <v>0.60296395764615418</v>
      </c>
      <c r="G167">
        <f t="shared" si="1177"/>
        <v>2</v>
      </c>
      <c r="H167">
        <f t="shared" si="1177"/>
        <v>0.94494550582793679</v>
      </c>
      <c r="J167" s="22">
        <v>0.41278339457501101</v>
      </c>
      <c r="K167" s="23">
        <f t="shared" si="1163"/>
        <v>0.16947435762454788</v>
      </c>
      <c r="M167" s="22">
        <f t="shared" si="1166"/>
        <v>0.94494550582793679</v>
      </c>
      <c r="N167" s="22">
        <f t="shared" si="1167"/>
        <v>5.5585029754584514E-2</v>
      </c>
    </row>
    <row r="168" spans="1:32" x14ac:dyDescent="0.2">
      <c r="A168" s="33" t="s">
        <v>908</v>
      </c>
      <c r="B168" s="22">
        <f t="shared" si="1164"/>
        <v>0.9561074921356697</v>
      </c>
      <c r="C168">
        <f t="shared" ref="C168:H168" si="1178">C151/B151</f>
        <v>0.51218991197408759</v>
      </c>
      <c r="D168">
        <f t="shared" si="1178"/>
        <v>1.2769946047952774</v>
      </c>
      <c r="E168">
        <f t="shared" si="1178"/>
        <v>0.80212569897053454</v>
      </c>
      <c r="F168">
        <f t="shared" si="1178"/>
        <v>0.7115825272958175</v>
      </c>
      <c r="G168">
        <f t="shared" si="1178"/>
        <v>1.4116987201935463</v>
      </c>
      <c r="H168">
        <f t="shared" si="1178"/>
        <v>0.87381300947295248</v>
      </c>
      <c r="J168" s="22">
        <v>0.96089996664791943</v>
      </c>
      <c r="K168" s="23">
        <f t="shared" si="1163"/>
        <v>-4.7924745122497336E-3</v>
      </c>
      <c r="M168" s="22">
        <f t="shared" si="1166"/>
        <v>0.87381300947295248</v>
      </c>
      <c r="N168" s="22">
        <f t="shared" si="1167"/>
        <v>5.140076526311485E-2</v>
      </c>
    </row>
    <row r="169" spans="1:32" x14ac:dyDescent="0.2">
      <c r="A169" s="33" t="s">
        <v>909</v>
      </c>
      <c r="B169" s="22">
        <f t="shared" si="1164"/>
        <v>0.78759619580754114</v>
      </c>
      <c r="C169">
        <f t="shared" ref="C169:H169" si="1179">C152/B152</f>
        <v>2.0000000000000004</v>
      </c>
      <c r="D169">
        <f t="shared" si="1179"/>
        <v>1.4337934559512977</v>
      </c>
      <c r="E169">
        <f t="shared" si="1179"/>
        <v>0.6692516021849475</v>
      </c>
      <c r="F169">
        <f t="shared" si="1179"/>
        <v>0.33669875882264105</v>
      </c>
      <c r="G169">
        <f t="shared" si="1179"/>
        <v>2</v>
      </c>
      <c r="H169">
        <f t="shared" si="1179"/>
        <v>1.1654743672626438</v>
      </c>
      <c r="J169" s="22">
        <v>0.78759564114050828</v>
      </c>
      <c r="K169" s="23">
        <f t="shared" si="1163"/>
        <v>5.5466703285933505E-7</v>
      </c>
      <c r="M169" s="22">
        <f t="shared" si="1166"/>
        <v>1.1654743672626438</v>
      </c>
      <c r="N169" s="22">
        <f t="shared" si="1167"/>
        <v>6.8557315721331988E-2</v>
      </c>
    </row>
    <row r="170" spans="1:32" x14ac:dyDescent="0.2">
      <c r="A170" s="33" t="s">
        <v>910</v>
      </c>
      <c r="B170" s="22">
        <f t="shared" si="1164"/>
        <v>0.88269239077760342</v>
      </c>
      <c r="C170">
        <f t="shared" ref="C170:H170" si="1180">C153/B153</f>
        <v>1.4801759117965307</v>
      </c>
      <c r="D170">
        <f t="shared" si="1180"/>
        <v>0.64299000278644203</v>
      </c>
      <c r="E170">
        <f t="shared" si="1180"/>
        <v>1.6600954472150107</v>
      </c>
      <c r="F170">
        <f t="shared" si="1180"/>
        <v>0.46014237375505207</v>
      </c>
      <c r="G170">
        <f t="shared" si="1180"/>
        <v>2.0000000000000004</v>
      </c>
      <c r="H170">
        <f t="shared" si="1180"/>
        <v>1.0644857168559414</v>
      </c>
      <c r="J170" s="22">
        <v>0.85206349318529528</v>
      </c>
      <c r="K170" s="23">
        <f t="shared" si="1163"/>
        <v>3.0628897592308135E-2</v>
      </c>
      <c r="M170" s="22">
        <f t="shared" si="1166"/>
        <v>1.0644857168559414</v>
      </c>
      <c r="N170" s="22">
        <f t="shared" si="1167"/>
        <v>6.2616806873878911E-2</v>
      </c>
    </row>
    <row r="171" spans="1:32" x14ac:dyDescent="0.2">
      <c r="A171" s="33" t="s">
        <v>911</v>
      </c>
      <c r="B171" s="22">
        <f t="shared" si="1164"/>
        <v>0.34462041484514677</v>
      </c>
      <c r="C171">
        <f t="shared" ref="C171:H171" si="1181">C154/B154</f>
        <v>0.56853257418980974</v>
      </c>
      <c r="D171">
        <f t="shared" si="1181"/>
        <v>2</v>
      </c>
      <c r="E171">
        <f t="shared" si="1181"/>
        <v>1.3815537707751158</v>
      </c>
      <c r="F171">
        <f t="shared" si="1181"/>
        <v>2.5126218926814832</v>
      </c>
      <c r="G171">
        <f t="shared" si="1181"/>
        <v>0.14403733330930366</v>
      </c>
      <c r="H171">
        <f t="shared" si="1181"/>
        <v>1</v>
      </c>
      <c r="J171" s="22">
        <v>0.3149614985152554</v>
      </c>
      <c r="K171" s="23">
        <f t="shared" si="1163"/>
        <v>2.9658916329891372E-2</v>
      </c>
      <c r="M171" s="22">
        <f t="shared" si="1166"/>
        <v>1</v>
      </c>
      <c r="N171" s="22">
        <f t="shared" si="1167"/>
        <v>5.8823529411764705E-2</v>
      </c>
    </row>
    <row r="172" spans="1:32" x14ac:dyDescent="0.2">
      <c r="A172" s="33" t="s">
        <v>912</v>
      </c>
      <c r="B172" s="22">
        <f t="shared" si="1164"/>
        <v>0.26409100956968007</v>
      </c>
      <c r="C172">
        <f t="shared" ref="C172:H172" si="1182">C155/B155</f>
        <v>1.1013560077106284</v>
      </c>
      <c r="D172">
        <f t="shared" si="1182"/>
        <v>1.0000003203701748</v>
      </c>
      <c r="E172">
        <f t="shared" si="1182"/>
        <v>0.20000008409595244</v>
      </c>
      <c r="F172">
        <f t="shared" si="1182"/>
        <v>5.1738662719726554</v>
      </c>
      <c r="G172">
        <f t="shared" si="1182"/>
        <v>0.19327905814208976</v>
      </c>
      <c r="H172">
        <f t="shared" si="1182"/>
        <v>1</v>
      </c>
      <c r="J172" s="22">
        <v>0.26267734293010342</v>
      </c>
      <c r="K172" s="23">
        <f t="shared" si="1163"/>
        <v>1.4136666395766495E-3</v>
      </c>
      <c r="M172" s="22">
        <f t="shared" si="1166"/>
        <v>1</v>
      </c>
      <c r="N172" s="22">
        <f t="shared" si="1167"/>
        <v>5.8823529411764705E-2</v>
      </c>
    </row>
    <row r="173" spans="1:32" x14ac:dyDescent="0.2">
      <c r="A173" t="s">
        <v>470</v>
      </c>
      <c r="B173">
        <f>B1</f>
        <v>2017</v>
      </c>
      <c r="C173">
        <f>J1</f>
        <v>2018</v>
      </c>
      <c r="D173">
        <f>R1</f>
        <v>2019</v>
      </c>
      <c r="E173">
        <f>Z1</f>
        <v>2020</v>
      </c>
      <c r="F173">
        <f>AH1</f>
        <v>2021</v>
      </c>
      <c r="G173">
        <f>AP1</f>
        <v>2022</v>
      </c>
      <c r="H173">
        <f>AX1</f>
        <v>2023</v>
      </c>
      <c r="I173">
        <f>BF1</f>
        <v>2024</v>
      </c>
      <c r="J173">
        <f>BN1</f>
        <v>2025</v>
      </c>
      <c r="K173">
        <f>BV1</f>
        <v>2026</v>
      </c>
      <c r="L173">
        <f>CD1</f>
        <v>2027</v>
      </c>
      <c r="M173">
        <f>CL1</f>
        <v>2028</v>
      </c>
      <c r="N173">
        <f>CT1</f>
        <v>2029</v>
      </c>
      <c r="O173">
        <f>DB1</f>
        <v>2030</v>
      </c>
      <c r="P173">
        <f>DJ1</f>
        <v>2031</v>
      </c>
      <c r="Q173">
        <f>DR1</f>
        <v>2032</v>
      </c>
      <c r="R173">
        <f>DZ1</f>
        <v>2033</v>
      </c>
      <c r="S173">
        <f>EH1</f>
        <v>2034</v>
      </c>
      <c r="T173">
        <f>EP1</f>
        <v>2035</v>
      </c>
      <c r="U173">
        <f>EX1</f>
        <v>2036</v>
      </c>
      <c r="V173">
        <f>FF1</f>
        <v>2037</v>
      </c>
      <c r="W173">
        <f>FN1</f>
        <v>2038</v>
      </c>
      <c r="X173">
        <f>FV1</f>
        <v>2039</v>
      </c>
      <c r="Y173">
        <f>GD1</f>
        <v>2040</v>
      </c>
      <c r="Z173">
        <f>GL1</f>
        <v>2041</v>
      </c>
      <c r="AA173">
        <f>GT1</f>
        <v>2042</v>
      </c>
      <c r="AB173">
        <f>HB1</f>
        <v>2043</v>
      </c>
      <c r="AC173">
        <f>HJ1</f>
        <v>2044</v>
      </c>
      <c r="AD173">
        <f>HR1</f>
        <v>2045</v>
      </c>
      <c r="AE173">
        <f>HZ1</f>
        <v>2046</v>
      </c>
      <c r="AF173">
        <f>IH1</f>
        <v>2047</v>
      </c>
    </row>
    <row r="174" spans="1:32" x14ac:dyDescent="0.2">
      <c r="A174" t="s">
        <v>931</v>
      </c>
      <c r="B174">
        <v>49.325614929199219</v>
      </c>
      <c r="C174">
        <v>37.806310985678827</v>
      </c>
      <c r="D174">
        <v>17.148760330578508</v>
      </c>
      <c r="E174">
        <v>17.238500000000002</v>
      </c>
      <c r="F174">
        <v>20.503</v>
      </c>
      <c r="G174">
        <v>34.319000000000003</v>
      </c>
      <c r="H174">
        <v>49.923499999999997</v>
      </c>
    </row>
    <row r="175" spans="1:32" x14ac:dyDescent="0.2">
      <c r="A175" t="s">
        <v>914</v>
      </c>
      <c r="B175">
        <f>B3*100</f>
        <v>49.325614929199219</v>
      </c>
      <c r="C175">
        <f>J3*100</f>
        <v>45.576107426254943</v>
      </c>
      <c r="D175">
        <f>R3*100</f>
        <v>42.346411128237158</v>
      </c>
      <c r="E175">
        <f>Z3*100</f>
        <v>39.152760371225419</v>
      </c>
      <c r="F175">
        <f>AH3*100</f>
        <v>36.110231595877785</v>
      </c>
      <c r="G175">
        <f>AP3*100</f>
        <v>39.474550824788309</v>
      </c>
      <c r="H175">
        <f>AX3*100</f>
        <v>45.268814464053243</v>
      </c>
      <c r="I175">
        <f>BF3*100</f>
        <v>48.976663122856088</v>
      </c>
      <c r="J175">
        <f>BN3*100</f>
        <v>53.769573585992269</v>
      </c>
      <c r="K175">
        <f>BV3*100</f>
        <v>58.195336342794825</v>
      </c>
      <c r="L175">
        <f>CD3*100</f>
        <v>62.197408956571444</v>
      </c>
      <c r="M175">
        <f>CL3*100</f>
        <v>65.816352421474249</v>
      </c>
      <c r="N175">
        <f>CV3*100</f>
        <v>69.856793732875929</v>
      </c>
      <c r="O175">
        <f>DB3*100</f>
        <v>72.048052548523529</v>
      </c>
      <c r="P175">
        <f>DJ3*100</f>
        <v>74.723967473101496</v>
      </c>
      <c r="Q175">
        <f>DR3*100</f>
        <v>77.143709882472436</v>
      </c>
      <c r="R175">
        <f>DZ3*100</f>
        <v>79.33180385882774</v>
      </c>
      <c r="S175">
        <f>EH3*100</f>
        <v>81.310425728172532</v>
      </c>
      <c r="T175">
        <f>EP3*100</f>
        <v>83.099628817324373</v>
      </c>
      <c r="U175">
        <f>EX3*100</f>
        <v>84.717546694321513</v>
      </c>
      <c r="V175">
        <f>FF3*100</f>
        <v>86.180576952081637</v>
      </c>
      <c r="W175">
        <f>FN3*100</f>
        <v>87.503547397957604</v>
      </c>
      <c r="X175">
        <f>FV3*100</f>
        <v>88.699866333521442</v>
      </c>
      <c r="Y175">
        <f>GD3*100</f>
        <v>89.781658447661172</v>
      </c>
      <c r="Z175">
        <f>GL3*100</f>
        <v>90.7598877002671</v>
      </c>
      <c r="AA175">
        <f>GT3*100</f>
        <v>91.644468441932943</v>
      </c>
      <c r="AB175">
        <f>HB3*100</f>
        <v>92.444365895869836</v>
      </c>
      <c r="AC175">
        <f>HJ3*100</f>
        <v>93.167687020417233</v>
      </c>
      <c r="AD175">
        <f>HR3*100</f>
        <v>93.821762673041846</v>
      </c>
      <c r="AE175">
        <f>HZ3*100</f>
        <v>94.413221908556338</v>
      </c>
      <c r="AF175">
        <f>IH3*100</f>
        <v>94.948059164570495</v>
      </c>
    </row>
    <row r="176" spans="1:32" x14ac:dyDescent="0.2">
      <c r="A176" t="s">
        <v>618</v>
      </c>
      <c r="B176">
        <f t="shared" ref="B176:H176" si="1183">(B174-B175)^2</f>
        <v>0</v>
      </c>
      <c r="C176">
        <f t="shared" si="1183"/>
        <v>60.369736727989277</v>
      </c>
      <c r="D176">
        <f t="shared" si="1183"/>
        <v>634.92160572074761</v>
      </c>
      <c r="E176">
        <f t="shared" si="1183"/>
        <v>480.23480761786078</v>
      </c>
      <c r="F176">
        <f t="shared" si="1183"/>
        <v>243.58567808736584</v>
      </c>
      <c r="G176">
        <f t="shared" si="1183"/>
        <v>26.57970430697539</v>
      </c>
      <c r="H176">
        <f t="shared" si="1183"/>
        <v>21.666097438551922</v>
      </c>
    </row>
    <row r="177" spans="1:32" x14ac:dyDescent="0.2">
      <c r="A177" t="s">
        <v>619</v>
      </c>
      <c r="B177">
        <f>SUM(B176:J176)</f>
        <v>1467.3576298994908</v>
      </c>
    </row>
    <row r="178" spans="1:32" x14ac:dyDescent="0.2">
      <c r="A178" t="s">
        <v>470</v>
      </c>
      <c r="B178">
        <f>B1</f>
        <v>2017</v>
      </c>
      <c r="C178">
        <f>J1</f>
        <v>2018</v>
      </c>
      <c r="D178">
        <f>R1</f>
        <v>2019</v>
      </c>
      <c r="E178">
        <f>Z1</f>
        <v>2020</v>
      </c>
      <c r="F178">
        <f>AH1</f>
        <v>2021</v>
      </c>
      <c r="G178">
        <f>AP1</f>
        <v>2022</v>
      </c>
      <c r="H178">
        <f>AX1</f>
        <v>2023</v>
      </c>
      <c r="I178">
        <f>BF1</f>
        <v>2024</v>
      </c>
      <c r="J178">
        <f>BN1</f>
        <v>2025</v>
      </c>
      <c r="K178">
        <f>BV1</f>
        <v>2026</v>
      </c>
      <c r="L178">
        <f>CD1</f>
        <v>2027</v>
      </c>
      <c r="M178">
        <f>CL1</f>
        <v>2028</v>
      </c>
      <c r="N178">
        <f>CT1</f>
        <v>2029</v>
      </c>
      <c r="O178">
        <f>DB1</f>
        <v>2030</v>
      </c>
      <c r="P178">
        <f>DJ1</f>
        <v>2031</v>
      </c>
      <c r="Q178">
        <f>DR1</f>
        <v>2032</v>
      </c>
      <c r="R178">
        <f>DZ1</f>
        <v>2033</v>
      </c>
      <c r="S178">
        <f>EH1</f>
        <v>2034</v>
      </c>
      <c r="T178">
        <f>EP1</f>
        <v>2035</v>
      </c>
      <c r="U178">
        <f>EX1</f>
        <v>2036</v>
      </c>
      <c r="V178">
        <f>FF1</f>
        <v>2037</v>
      </c>
      <c r="W178">
        <f>FN1</f>
        <v>2038</v>
      </c>
      <c r="X178">
        <f>FV1</f>
        <v>2039</v>
      </c>
      <c r="Y178">
        <f>GD1</f>
        <v>2040</v>
      </c>
      <c r="Z178">
        <f>GL1</f>
        <v>2041</v>
      </c>
      <c r="AA178">
        <f>GT1</f>
        <v>2042</v>
      </c>
      <c r="AB178">
        <f>HB1</f>
        <v>2043</v>
      </c>
      <c r="AC178">
        <f>HJ1</f>
        <v>2044</v>
      </c>
      <c r="AD178">
        <f>HR1</f>
        <v>2045</v>
      </c>
      <c r="AE178">
        <f>HZ1</f>
        <v>2046</v>
      </c>
      <c r="AF178">
        <f>IH1</f>
        <v>2047</v>
      </c>
    </row>
    <row r="179" spans="1:32" x14ac:dyDescent="0.2">
      <c r="A179" t="s">
        <v>932</v>
      </c>
      <c r="B179">
        <v>46.487155914306641</v>
      </c>
      <c r="C179">
        <v>47.680642069749318</v>
      </c>
      <c r="D179">
        <v>48.014625277601851</v>
      </c>
      <c r="E179">
        <v>49.036714285714297</v>
      </c>
      <c r="F179">
        <v>60.130625000000002</v>
      </c>
      <c r="G179">
        <v>61.098999999999997</v>
      </c>
      <c r="H179">
        <v>61.065874999999998</v>
      </c>
    </row>
    <row r="180" spans="1:32" x14ac:dyDescent="0.2">
      <c r="A180" t="s">
        <v>915</v>
      </c>
      <c r="B180">
        <f>B4*100</f>
        <v>46.487155914306641</v>
      </c>
      <c r="C180">
        <f>J4*100</f>
        <v>47.253286648736506</v>
      </c>
      <c r="D180">
        <f>R4*100</f>
        <v>47.358293130566047</v>
      </c>
      <c r="E180">
        <f>Z4*100</f>
        <v>48.765620951923921</v>
      </c>
      <c r="F180">
        <f>AH4*100</f>
        <v>53.670425519985955</v>
      </c>
      <c r="G180">
        <f>AP4*100</f>
        <v>51.426832807954156</v>
      </c>
      <c r="H180">
        <f>AX4*100</f>
        <v>52.612842641751342</v>
      </c>
      <c r="I180">
        <f>BF4*100</f>
        <v>55.362740424457023</v>
      </c>
      <c r="J180">
        <f>BN4*100</f>
        <v>58.475734906803076</v>
      </c>
      <c r="K180">
        <f>BV4*100</f>
        <v>62.037883003267801</v>
      </c>
      <c r="L180">
        <f>CD4*100</f>
        <v>65.672098315688373</v>
      </c>
      <c r="M180">
        <f>CL4*100</f>
        <v>68.958400445654718</v>
      </c>
      <c r="N180">
        <f>CV4*100</f>
        <v>72.627457731693283</v>
      </c>
      <c r="O180">
        <f>DB4*100</f>
        <v>74.617303271699129</v>
      </c>
      <c r="P180">
        <f>DJ4*100</f>
        <v>77.047256931250288</v>
      </c>
      <c r="Q180">
        <f>DR4*100</f>
        <v>79.24458460740928</v>
      </c>
      <c r="R180">
        <f>DZ4*100</f>
        <v>81.231556209701523</v>
      </c>
      <c r="S180">
        <f>EH4*100</f>
        <v>83.028309689463427</v>
      </c>
      <c r="T180">
        <f>EP4*100</f>
        <v>84.653055137919878</v>
      </c>
      <c r="U180">
        <f>EX4*100</f>
        <v>86.122259345405112</v>
      </c>
      <c r="V180">
        <f>FF4*100</f>
        <v>87.450812692234308</v>
      </c>
      <c r="W180">
        <f>FN4*100</f>
        <v>88.652180062664172</v>
      </c>
      <c r="X180">
        <f>FV4*100</f>
        <v>89.738537311455318</v>
      </c>
      <c r="Y180">
        <f>GD4*100</f>
        <v>90.720894666124224</v>
      </c>
      <c r="Z180">
        <f>GL4*100</f>
        <v>91.609208315566832</v>
      </c>
      <c r="AA180">
        <f>GT4*100</f>
        <v>92.41248131600365</v>
      </c>
      <c r="AB180">
        <f>HB4*100</f>
        <v>93.138854836927933</v>
      </c>
      <c r="AC180">
        <f>HJ4*100</f>
        <v>93.795690671834691</v>
      </c>
      <c r="AD180">
        <f>HR4*100</f>
        <v>94.389645849975906</v>
      </c>
      <c r="AE180">
        <f>HZ4*100</f>
        <v>94.926740105332485</v>
      </c>
      <c r="AF180">
        <f>IH4*100</f>
        <v>95.412416886600425</v>
      </c>
    </row>
    <row r="181" spans="1:32" x14ac:dyDescent="0.2">
      <c r="A181" t="s">
        <v>620</v>
      </c>
      <c r="B181">
        <f t="shared" ref="B181:H181" si="1184">(B179-B180)^2</f>
        <v>0</v>
      </c>
      <c r="C181">
        <f t="shared" si="1184"/>
        <v>0.18263265586903826</v>
      </c>
      <c r="D181">
        <f t="shared" si="1184"/>
        <v>0.43077188723262927</v>
      </c>
      <c r="E181">
        <f t="shared" si="1184"/>
        <v>7.3491595625579872E-2</v>
      </c>
      <c r="F181">
        <f t="shared" si="1184"/>
        <v>41.734177321573767</v>
      </c>
      <c r="G181">
        <f t="shared" si="1184"/>
        <v>93.550818190887924</v>
      </c>
      <c r="H181">
        <f t="shared" si="1184"/>
        <v>71.453756049598837</v>
      </c>
    </row>
    <row r="182" spans="1:32" x14ac:dyDescent="0.2">
      <c r="A182" t="s">
        <v>621</v>
      </c>
      <c r="B182">
        <f>SUM(B181:J181)</f>
        <v>207.42564770078778</v>
      </c>
    </row>
    <row r="183" spans="1:32" x14ac:dyDescent="0.2">
      <c r="A183" t="s">
        <v>470</v>
      </c>
      <c r="B183">
        <f>B1</f>
        <v>2017</v>
      </c>
      <c r="C183">
        <f>J1</f>
        <v>2018</v>
      </c>
      <c r="D183">
        <f>R1</f>
        <v>2019</v>
      </c>
      <c r="E183">
        <f>Z1</f>
        <v>2020</v>
      </c>
      <c r="F183">
        <f>AH1</f>
        <v>2021</v>
      </c>
      <c r="G183">
        <f>AP1</f>
        <v>2022</v>
      </c>
      <c r="H183">
        <f>AX1</f>
        <v>2023</v>
      </c>
      <c r="I183">
        <f>BF1</f>
        <v>2024</v>
      </c>
      <c r="J183">
        <f>BN1</f>
        <v>2025</v>
      </c>
      <c r="K183">
        <f>BV1</f>
        <v>2026</v>
      </c>
      <c r="L183">
        <f>CD1</f>
        <v>2027</v>
      </c>
      <c r="M183">
        <f>CL1</f>
        <v>2028</v>
      </c>
      <c r="N183">
        <f>CT1</f>
        <v>2029</v>
      </c>
      <c r="O183">
        <f>DB1</f>
        <v>2030</v>
      </c>
      <c r="P183">
        <f>DJ1</f>
        <v>2031</v>
      </c>
      <c r="Q183">
        <f>DR1</f>
        <v>2032</v>
      </c>
      <c r="R183">
        <f>DZ1</f>
        <v>2033</v>
      </c>
      <c r="S183">
        <f>EH1</f>
        <v>2034</v>
      </c>
      <c r="T183">
        <f>EP1</f>
        <v>2035</v>
      </c>
      <c r="U183">
        <f>EX1</f>
        <v>2036</v>
      </c>
      <c r="V183">
        <f>FF1</f>
        <v>2037</v>
      </c>
      <c r="W183">
        <f>FN1</f>
        <v>2038</v>
      </c>
      <c r="X183">
        <f>FV1</f>
        <v>2039</v>
      </c>
      <c r="Y183">
        <f>GD1</f>
        <v>2040</v>
      </c>
      <c r="Z183">
        <f>GL1</f>
        <v>2041</v>
      </c>
      <c r="AA183">
        <f>GT1</f>
        <v>2042</v>
      </c>
      <c r="AB183">
        <f>HB1</f>
        <v>2043</v>
      </c>
      <c r="AC183">
        <f>HJ1</f>
        <v>2044</v>
      </c>
      <c r="AD183">
        <f>HR1</f>
        <v>2045</v>
      </c>
      <c r="AE183">
        <f>HZ1</f>
        <v>2046</v>
      </c>
      <c r="AF183">
        <f>IH1</f>
        <v>2047</v>
      </c>
    </row>
    <row r="184" spans="1:32" x14ac:dyDescent="0.2">
      <c r="A184" t="s">
        <v>933</v>
      </c>
      <c r="B184">
        <v>27.561077117919922</v>
      </c>
      <c r="C184">
        <v>34.644898561567977</v>
      </c>
      <c r="D184">
        <v>28.040012521695811</v>
      </c>
      <c r="E184">
        <v>27.978000000000002</v>
      </c>
      <c r="F184">
        <v>28.903714285714301</v>
      </c>
      <c r="G184">
        <v>31.500785714285701</v>
      </c>
      <c r="H184">
        <v>36.195999999999998</v>
      </c>
    </row>
    <row r="185" spans="1:32" x14ac:dyDescent="0.2">
      <c r="A185" t="s">
        <v>916</v>
      </c>
      <c r="B185">
        <f>B5*100</f>
        <v>27.561077117919925</v>
      </c>
      <c r="C185">
        <f>J5*100</f>
        <v>33.478951195048246</v>
      </c>
      <c r="D185">
        <f>R5*100</f>
        <v>31.437258397846072</v>
      </c>
      <c r="E185">
        <f>Z5*100</f>
        <v>29.435239826515364</v>
      </c>
      <c r="F185">
        <f>AH5*100</f>
        <v>28.44283661109316</v>
      </c>
      <c r="G185">
        <f>AP5*100</f>
        <v>30.678566060952679</v>
      </c>
      <c r="H185">
        <f>AX5*100</f>
        <v>36.196462098286808</v>
      </c>
      <c r="I185">
        <f>BF5*100</f>
        <v>41.862945790102167</v>
      </c>
      <c r="J185">
        <f>BN5*100</f>
        <v>47.42187340807007</v>
      </c>
      <c r="K185">
        <f>BV5*100</f>
        <v>52.455318533778581</v>
      </c>
      <c r="L185">
        <f>CD5*100</f>
        <v>57.006898452874601</v>
      </c>
      <c r="M185">
        <f>CL5*100</f>
        <v>61.122743414431014</v>
      </c>
      <c r="N185">
        <f>CV5*100</f>
        <v>65.717960271305415</v>
      </c>
      <c r="O185">
        <f>DB5*100</f>
        <v>68.210091370703879</v>
      </c>
      <c r="P185">
        <f>DJ5*100</f>
        <v>71.253424616080665</v>
      </c>
      <c r="Q185">
        <f>DR5*100</f>
        <v>74.005411404617362</v>
      </c>
      <c r="R185">
        <f>DZ5*100</f>
        <v>76.493943114309531</v>
      </c>
      <c r="S185">
        <f>EH5*100</f>
        <v>78.744241006704684</v>
      </c>
      <c r="T185">
        <f>EP5*100</f>
        <v>80.779111844313761</v>
      </c>
      <c r="U185">
        <f>EX5*100</f>
        <v>82.619179037082048</v>
      </c>
      <c r="V185">
        <f>FF5*100</f>
        <v>84.283091660588113</v>
      </c>
      <c r="W185">
        <f>FN5*100</f>
        <v>85.787713464369972</v>
      </c>
      <c r="X185">
        <f>FV5*100</f>
        <v>87.148293785976932</v>
      </c>
      <c r="Y185">
        <f>GD5*100</f>
        <v>88.378622102960776</v>
      </c>
      <c r="Z185">
        <f>GL5*100</f>
        <v>89.491167789190058</v>
      </c>
      <c r="AA185">
        <f>GT5*100</f>
        <v>90.497206491917609</v>
      </c>
      <c r="AB185">
        <f>HB5*100</f>
        <v>91.4069344104322</v>
      </c>
      <c r="AC185">
        <f>HJ5*100</f>
        <v>92.229571634508247</v>
      </c>
      <c r="AD185">
        <f>HR5*100</f>
        <v>92.973455589988589</v>
      </c>
      <c r="AE185">
        <f>HZ5*100</f>
        <v>93.646125538570857</v>
      </c>
      <c r="AF185">
        <f>IH5*100</f>
        <v>94.254398988202553</v>
      </c>
    </row>
    <row r="186" spans="1:32" x14ac:dyDescent="0.2">
      <c r="A186" t="s">
        <v>622</v>
      </c>
      <c r="B186">
        <f t="shared" ref="B186:H186" si="1185">(B184-B185)^2</f>
        <v>1.2621774483536189E-29</v>
      </c>
      <c r="C186">
        <f t="shared" si="1185"/>
        <v>1.3594332614942961</v>
      </c>
      <c r="D186">
        <f t="shared" si="1185"/>
        <v>11.541279543019957</v>
      </c>
      <c r="E186">
        <f t="shared" si="1185"/>
        <v>2.1235479119825231</v>
      </c>
      <c r="F186">
        <f t="shared" si="1185"/>
        <v>0.21240823096419045</v>
      </c>
      <c r="G186">
        <f t="shared" si="1185"/>
        <v>0.67604515832707479</v>
      </c>
      <c r="H186">
        <f t="shared" si="1185"/>
        <v>2.1353482667313501E-7</v>
      </c>
    </row>
    <row r="187" spans="1:32" x14ac:dyDescent="0.2">
      <c r="A187" t="s">
        <v>623</v>
      </c>
      <c r="B187">
        <f>SUM(B186:J186)</f>
        <v>15.912714319322868</v>
      </c>
    </row>
    <row r="188" spans="1:32" x14ac:dyDescent="0.2">
      <c r="A188" t="s">
        <v>470</v>
      </c>
      <c r="B188">
        <f>B1</f>
        <v>2017</v>
      </c>
      <c r="C188">
        <f>J1</f>
        <v>2018</v>
      </c>
      <c r="D188">
        <f>R1</f>
        <v>2019</v>
      </c>
      <c r="E188">
        <f>Z1</f>
        <v>2020</v>
      </c>
      <c r="F188">
        <f>AH1</f>
        <v>2021</v>
      </c>
      <c r="G188">
        <f>AP1</f>
        <v>2022</v>
      </c>
      <c r="H188">
        <f>AX1</f>
        <v>2023</v>
      </c>
      <c r="I188">
        <f>BF1</f>
        <v>2024</v>
      </c>
      <c r="J188">
        <f>BN1</f>
        <v>2025</v>
      </c>
      <c r="K188">
        <f>BV1</f>
        <v>2026</v>
      </c>
      <c r="L188">
        <f>CD1</f>
        <v>2027</v>
      </c>
      <c r="M188">
        <f>CL1</f>
        <v>2028</v>
      </c>
      <c r="N188">
        <f>CT1</f>
        <v>2029</v>
      </c>
      <c r="O188">
        <f>DB1</f>
        <v>2030</v>
      </c>
      <c r="P188">
        <f>DJ1</f>
        <v>2031</v>
      </c>
      <c r="Q188">
        <f>DR1</f>
        <v>2032</v>
      </c>
      <c r="R188">
        <f>DZ1</f>
        <v>2033</v>
      </c>
      <c r="S188">
        <f>EH1</f>
        <v>2034</v>
      </c>
      <c r="T188">
        <f>EP1</f>
        <v>2035</v>
      </c>
      <c r="U188">
        <f>EX1</f>
        <v>2036</v>
      </c>
      <c r="V188">
        <f>FF1</f>
        <v>2037</v>
      </c>
      <c r="W188">
        <f>FN1</f>
        <v>2038</v>
      </c>
      <c r="X188">
        <f>FV1</f>
        <v>2039</v>
      </c>
      <c r="Y188">
        <f>GD1</f>
        <v>2040</v>
      </c>
      <c r="Z188">
        <f>GL1</f>
        <v>2041</v>
      </c>
      <c r="AA188">
        <f>GT1</f>
        <v>2042</v>
      </c>
      <c r="AB188">
        <f>HB1</f>
        <v>2043</v>
      </c>
      <c r="AC188">
        <f>HJ1</f>
        <v>2044</v>
      </c>
      <c r="AD188">
        <f>HR1</f>
        <v>2045</v>
      </c>
      <c r="AE188">
        <f>HZ1</f>
        <v>2046</v>
      </c>
      <c r="AF188">
        <f>IH1</f>
        <v>2047</v>
      </c>
    </row>
    <row r="189" spans="1:32" x14ac:dyDescent="0.2">
      <c r="A189" t="s">
        <v>934</v>
      </c>
      <c r="B189">
        <v>41.950977325439453</v>
      </c>
      <c r="C189">
        <v>31.512858151990375</v>
      </c>
      <c r="D189">
        <v>32.128384690389233</v>
      </c>
      <c r="E189">
        <v>37.419666666666664</v>
      </c>
      <c r="F189">
        <v>38.750666666666703</v>
      </c>
      <c r="G189">
        <v>38.750666666666703</v>
      </c>
      <c r="H189">
        <v>38.750666666666703</v>
      </c>
    </row>
    <row r="190" spans="1:32" x14ac:dyDescent="0.2">
      <c r="A190" t="s">
        <v>917</v>
      </c>
      <c r="B190">
        <f>B6*100</f>
        <v>41.950977325439453</v>
      </c>
      <c r="C190">
        <f>J6*100</f>
        <v>38.936127309110994</v>
      </c>
      <c r="D190">
        <f>R6*100</f>
        <v>36.462078776705461</v>
      </c>
      <c r="E190">
        <f>Z6*100</f>
        <v>35.175072916381843</v>
      </c>
      <c r="F190">
        <f>AH6*100</f>
        <v>35.856929955719544</v>
      </c>
      <c r="G190">
        <f>AP6*100</f>
        <v>39.05705490026007</v>
      </c>
      <c r="H190">
        <f>AX6*100</f>
        <v>37.266490765333252</v>
      </c>
      <c r="I190">
        <f>BF6*100</f>
        <v>37.450991087293126</v>
      </c>
      <c r="J190">
        <f>BN6*100</f>
        <v>38.700319851081609</v>
      </c>
      <c r="K190">
        <f>BV6*100</f>
        <v>41.25397031649107</v>
      </c>
      <c r="L190">
        <f>CD6*100</f>
        <v>45.18751860194655</v>
      </c>
      <c r="M190">
        <f>CL6*100</f>
        <v>50.263011107563692</v>
      </c>
      <c r="N190">
        <f>CV6*100</f>
        <v>56.141827408957113</v>
      </c>
      <c r="O190">
        <f>DB6*100</f>
        <v>59.330094989938821</v>
      </c>
      <c r="P190">
        <f>DJ6*100</f>
        <v>63.223534113868006</v>
      </c>
      <c r="Q190">
        <f>DR6*100</f>
        <v>66.744243864370006</v>
      </c>
      <c r="R190">
        <f>DZ6*100</f>
        <v>69.927906624395604</v>
      </c>
      <c r="S190">
        <f>EH6*100</f>
        <v>72.806788806639801</v>
      </c>
      <c r="T190">
        <f>EP6*100</f>
        <v>75.410067873539646</v>
      </c>
      <c r="U190">
        <f>EX6*100</f>
        <v>77.764128050769926</v>
      </c>
      <c r="V190">
        <f>FF6*100</f>
        <v>79.892827731292783</v>
      </c>
      <c r="W190">
        <f>FN6*100</f>
        <v>81.81774128009998</v>
      </c>
      <c r="X190">
        <f>FV6*100</f>
        <v>83.558377690338659</v>
      </c>
      <c r="Y190">
        <f>GD6*100</f>
        <v>85.132378306899369</v>
      </c>
      <c r="Z190">
        <f>GL6*100</f>
        <v>86.555695621394577</v>
      </c>
      <c r="AA190">
        <f>GT6*100</f>
        <v>87.842754950614193</v>
      </c>
      <c r="AB190">
        <f>HB6*100</f>
        <v>89.006600637068672</v>
      </c>
      <c r="AC190">
        <f>HJ6*100</f>
        <v>90.059028253362001</v>
      </c>
      <c r="AD190">
        <f>HR6*100</f>
        <v>91.010704150285306</v>
      </c>
      <c r="AE190">
        <f>HZ6*100</f>
        <v>91.871273560250614</v>
      </c>
      <c r="AF190">
        <f>IH6*100</f>
        <v>92.649458351693042</v>
      </c>
    </row>
    <row r="191" spans="1:32" x14ac:dyDescent="0.2">
      <c r="A191" t="s">
        <v>624</v>
      </c>
      <c r="B191">
        <f t="shared" ref="B191:H191" si="1186">(B189-B190)^2</f>
        <v>0</v>
      </c>
      <c r="C191">
        <f t="shared" si="1186"/>
        <v>55.104924979058254</v>
      </c>
      <c r="D191">
        <f t="shared" si="1186"/>
        <v>18.78090443377225</v>
      </c>
      <c r="E191">
        <f t="shared" si="1186"/>
        <v>5.0382011038176771</v>
      </c>
      <c r="F191">
        <f t="shared" si="1186"/>
        <v>8.373712152283284</v>
      </c>
      <c r="G191">
        <f t="shared" si="1186"/>
        <v>9.3873749684463603E-2</v>
      </c>
      <c r="H191">
        <f t="shared" si="1186"/>
        <v>2.2027781060989615</v>
      </c>
    </row>
    <row r="192" spans="1:32" x14ac:dyDescent="0.2">
      <c r="A192" t="s">
        <v>625</v>
      </c>
      <c r="B192">
        <f>SUM(B191:J191)</f>
        <v>89.594394524714886</v>
      </c>
    </row>
    <row r="193" spans="1:32" x14ac:dyDescent="0.2">
      <c r="A193" t="s">
        <v>470</v>
      </c>
      <c r="B193">
        <f>B1</f>
        <v>2017</v>
      </c>
      <c r="C193">
        <f>J1</f>
        <v>2018</v>
      </c>
      <c r="D193">
        <f>R1</f>
        <v>2019</v>
      </c>
      <c r="E193">
        <f>Z1</f>
        <v>2020</v>
      </c>
      <c r="F193">
        <f>AH1</f>
        <v>2021</v>
      </c>
      <c r="G193">
        <f>AP1</f>
        <v>2022</v>
      </c>
      <c r="H193">
        <f>AX1</f>
        <v>2023</v>
      </c>
      <c r="I193">
        <f>BF1</f>
        <v>2024</v>
      </c>
      <c r="J193">
        <f>BN1</f>
        <v>2025</v>
      </c>
      <c r="K193">
        <f>BV1</f>
        <v>2026</v>
      </c>
      <c r="L193">
        <f>CD1</f>
        <v>2027</v>
      </c>
      <c r="M193">
        <f>CL1</f>
        <v>2028</v>
      </c>
      <c r="N193">
        <f>CT1</f>
        <v>2029</v>
      </c>
      <c r="O193">
        <f>DB1</f>
        <v>2030</v>
      </c>
      <c r="P193">
        <f>DJ1</f>
        <v>2031</v>
      </c>
      <c r="Q193">
        <f>DR1</f>
        <v>2032</v>
      </c>
      <c r="R193">
        <f>DZ1</f>
        <v>2033</v>
      </c>
      <c r="S193">
        <f>EH1</f>
        <v>2034</v>
      </c>
      <c r="T193">
        <f>EP1</f>
        <v>2035</v>
      </c>
      <c r="U193">
        <f>EX1</f>
        <v>2036</v>
      </c>
      <c r="V193">
        <f>FF1</f>
        <v>2037</v>
      </c>
      <c r="W193">
        <f>FN1</f>
        <v>2038</v>
      </c>
      <c r="X193">
        <f>FV1</f>
        <v>2039</v>
      </c>
      <c r="Y193">
        <f>GD1</f>
        <v>2040</v>
      </c>
      <c r="Z193">
        <f>GL1</f>
        <v>2041</v>
      </c>
      <c r="AA193">
        <f>GT1</f>
        <v>2042</v>
      </c>
      <c r="AB193">
        <f>HB1</f>
        <v>2043</v>
      </c>
      <c r="AC193">
        <f>HJ1</f>
        <v>2044</v>
      </c>
      <c r="AD193">
        <f>HR1</f>
        <v>2045</v>
      </c>
      <c r="AE193">
        <f>HZ1</f>
        <v>2046</v>
      </c>
      <c r="AF193">
        <f>IH1</f>
        <v>2047</v>
      </c>
    </row>
    <row r="194" spans="1:32" x14ac:dyDescent="0.2">
      <c r="A194" t="s">
        <v>935</v>
      </c>
      <c r="B194">
        <v>35.542755126953125</v>
      </c>
      <c r="C194">
        <v>43.707523938400008</v>
      </c>
      <c r="D194">
        <v>36.50498826843603</v>
      </c>
      <c r="E194">
        <v>41.079250000000002</v>
      </c>
      <c r="F194">
        <v>38.206499999999998</v>
      </c>
      <c r="G194">
        <v>41.161499999999997</v>
      </c>
      <c r="H194">
        <v>39.224249999999998</v>
      </c>
    </row>
    <row r="195" spans="1:32" x14ac:dyDescent="0.2">
      <c r="A195" t="s">
        <v>918</v>
      </c>
      <c r="B195">
        <f>B7*100</f>
        <v>35.542755126953125</v>
      </c>
      <c r="C195">
        <f>J7*100</f>
        <v>40.778172304142267</v>
      </c>
      <c r="D195">
        <f>R7*100</f>
        <v>38.771419341039824</v>
      </c>
      <c r="E195">
        <f>Z7*100</f>
        <v>37.989774973742804</v>
      </c>
      <c r="F195">
        <f>AH7*100</f>
        <v>38.347685407890111</v>
      </c>
      <c r="G195">
        <f>AP7*100</f>
        <v>36.959393865032339</v>
      </c>
      <c r="H195">
        <f>AX7*100</f>
        <v>39.183340745520965</v>
      </c>
      <c r="I195">
        <f>BF7*100</f>
        <v>42.346930499500836</v>
      </c>
      <c r="J195">
        <f>BN7*100</f>
        <v>47.560402287730327</v>
      </c>
      <c r="K195">
        <f>BV7*100</f>
        <v>52.580585672116122</v>
      </c>
      <c r="L195">
        <f>CD7*100</f>
        <v>57.120173431967473</v>
      </c>
      <c r="M195">
        <f>CL7*100</f>
        <v>61.225174275858677</v>
      </c>
      <c r="N195">
        <f>CV7*100</f>
        <v>65.808284002178212</v>
      </c>
      <c r="O195">
        <f>DB7*100</f>
        <v>68.293849022647208</v>
      </c>
      <c r="P195">
        <f>DJ7*100</f>
        <v>71.329163923281769</v>
      </c>
      <c r="Q195">
        <f>DR7*100</f>
        <v>74.073899984731625</v>
      </c>
      <c r="R195">
        <f>DZ7*100</f>
        <v>76.55587509889466</v>
      </c>
      <c r="S195">
        <f>EH7*100</f>
        <v>78.800244076242024</v>
      </c>
      <c r="T195">
        <f>EP7*100</f>
        <v>80.829753589748123</v>
      </c>
      <c r="U195">
        <f>EX7*100</f>
        <v>82.664972712354228</v>
      </c>
      <c r="V195">
        <f>FF7*100</f>
        <v>84.32450138446211</v>
      </c>
      <c r="W195">
        <f>FN7*100</f>
        <v>85.825158924275257</v>
      </c>
      <c r="X195">
        <f>FV7*100</f>
        <v>87.182154491539336</v>
      </c>
      <c r="Y195">
        <f>GD7*100</f>
        <v>88.409241232331453</v>
      </c>
      <c r="Z195">
        <f>GL7*100</f>
        <v>89.518855667154966</v>
      </c>
      <c r="AA195">
        <f>GT7*100</f>
        <v>90.522243735038387</v>
      </c>
      <c r="AB195">
        <f>HB7*100</f>
        <v>91.429574771094096</v>
      </c>
      <c r="AC195">
        <f>HJ7*100</f>
        <v>92.250044572699892</v>
      </c>
      <c r="AD195">
        <f>HR7*100</f>
        <v>92.991968598878287</v>
      </c>
      <c r="AE195">
        <f>HZ7*100</f>
        <v>93.662866247449173</v>
      </c>
      <c r="AF195">
        <f>IH7*100</f>
        <v>94.26953706410464</v>
      </c>
    </row>
    <row r="196" spans="1:32" x14ac:dyDescent="0.2">
      <c r="A196" t="s">
        <v>626</v>
      </c>
      <c r="B196">
        <f t="shared" ref="B196:H196" si="1187">(B194-B195)^2</f>
        <v>0</v>
      </c>
      <c r="C196">
        <f t="shared" si="1187"/>
        <v>8.5811009971285035</v>
      </c>
      <c r="D196">
        <f t="shared" si="1187"/>
        <v>5.1367098068639843</v>
      </c>
      <c r="E196">
        <f t="shared" si="1187"/>
        <v>9.5448559378669113</v>
      </c>
      <c r="F196">
        <f t="shared" si="1187"/>
        <v>1.9933319401097556E-2</v>
      </c>
      <c r="G196">
        <f t="shared" si="1187"/>
        <v>17.657695969532821</v>
      </c>
      <c r="H196">
        <f t="shared" si="1187"/>
        <v>1.6735671020302486E-3</v>
      </c>
    </row>
    <row r="197" spans="1:32" x14ac:dyDescent="0.2">
      <c r="A197" t="s">
        <v>627</v>
      </c>
      <c r="B197">
        <f>SUM(B196:J196)</f>
        <v>40.941969597895351</v>
      </c>
    </row>
    <row r="198" spans="1:32" x14ac:dyDescent="0.2">
      <c r="A198" t="s">
        <v>470</v>
      </c>
      <c r="B198">
        <f>B1</f>
        <v>2017</v>
      </c>
      <c r="C198">
        <f>J1</f>
        <v>2018</v>
      </c>
      <c r="D198">
        <f>R1</f>
        <v>2019</v>
      </c>
      <c r="E198">
        <f>Z1</f>
        <v>2020</v>
      </c>
      <c r="F198">
        <f>AH1</f>
        <v>2021</v>
      </c>
      <c r="G198">
        <f>AP1</f>
        <v>2022</v>
      </c>
      <c r="H198">
        <f>AX1</f>
        <v>2023</v>
      </c>
      <c r="I198">
        <f>BF1</f>
        <v>2024</v>
      </c>
      <c r="J198">
        <f>BN1</f>
        <v>2025</v>
      </c>
      <c r="K198">
        <f>BV1</f>
        <v>2026</v>
      </c>
      <c r="L198">
        <f>CD1</f>
        <v>2027</v>
      </c>
      <c r="M198">
        <f>CL1</f>
        <v>2028</v>
      </c>
      <c r="N198">
        <f>CT1</f>
        <v>2029</v>
      </c>
      <c r="O198">
        <f>DB1</f>
        <v>2030</v>
      </c>
      <c r="P198">
        <f>DJ1</f>
        <v>2031</v>
      </c>
      <c r="Q198">
        <f>DR1</f>
        <v>2032</v>
      </c>
      <c r="R198">
        <f>DZ1</f>
        <v>2033</v>
      </c>
      <c r="S198">
        <f>EH1</f>
        <v>2034</v>
      </c>
      <c r="T198">
        <f>EP1</f>
        <v>2035</v>
      </c>
      <c r="U198">
        <f>EX1</f>
        <v>2036</v>
      </c>
      <c r="V198">
        <f>FF1</f>
        <v>2037</v>
      </c>
      <c r="W198">
        <f>FN1</f>
        <v>2038</v>
      </c>
      <c r="X198">
        <f>FV1</f>
        <v>2039</v>
      </c>
      <c r="Y198">
        <f>GD1</f>
        <v>2040</v>
      </c>
      <c r="Z198">
        <f>GL1</f>
        <v>2041</v>
      </c>
      <c r="AA198">
        <f>GT1</f>
        <v>2042</v>
      </c>
      <c r="AB198">
        <f>HB1</f>
        <v>2043</v>
      </c>
      <c r="AC198">
        <f>HJ1</f>
        <v>2044</v>
      </c>
      <c r="AD198">
        <f>HR1</f>
        <v>2045</v>
      </c>
      <c r="AE198">
        <f>HZ1</f>
        <v>2046</v>
      </c>
      <c r="AF198">
        <f>IH1</f>
        <v>2047</v>
      </c>
    </row>
    <row r="199" spans="1:32" x14ac:dyDescent="0.2">
      <c r="A199" t="s">
        <v>936</v>
      </c>
      <c r="B199">
        <v>62.973716735839844</v>
      </c>
      <c r="C199">
        <v>73.989092949334875</v>
      </c>
      <c r="D199">
        <v>53.521653912463179</v>
      </c>
      <c r="E199">
        <v>56.878399999999999</v>
      </c>
      <c r="F199">
        <v>56.878399999999999</v>
      </c>
      <c r="G199">
        <v>59.739600000000003</v>
      </c>
      <c r="H199">
        <v>59.708799999999997</v>
      </c>
    </row>
    <row r="200" spans="1:32" x14ac:dyDescent="0.2">
      <c r="A200" t="s">
        <v>919</v>
      </c>
      <c r="B200">
        <f>B8*100</f>
        <v>62.973716735839844</v>
      </c>
      <c r="C200">
        <f>J8*100</f>
        <v>66.518342174200285</v>
      </c>
      <c r="D200">
        <f>R8*100</f>
        <v>61.188095191545024</v>
      </c>
      <c r="E200">
        <f>Z8*100</f>
        <v>56.793851773311488</v>
      </c>
      <c r="F200">
        <f>AH8*100</f>
        <v>54.283738169309935</v>
      </c>
      <c r="G200">
        <f>AP8*100</f>
        <v>56.144073925521376</v>
      </c>
      <c r="H200">
        <f>AX8*100</f>
        <v>59.107369149577892</v>
      </c>
      <c r="I200">
        <f>BF8*100</f>
        <v>63.022129784955105</v>
      </c>
      <c r="J200">
        <f>BN8*100</f>
        <v>66.56211988140862</v>
      </c>
      <c r="K200">
        <f>BV8*100</f>
        <v>69.763217228138629</v>
      </c>
      <c r="L200">
        <f>CD8*100</f>
        <v>72.657864937325073</v>
      </c>
      <c r="M200">
        <f>CL8*100</f>
        <v>75.275400254974059</v>
      </c>
      <c r="N200">
        <f>CV8*100</f>
        <v>78.197799550251773</v>
      </c>
      <c r="O200">
        <f>DB8*100</f>
        <v>79.782708901749828</v>
      </c>
      <c r="P200">
        <f>DJ8*100</f>
        <v>81.718163790734948</v>
      </c>
      <c r="Q200">
        <f>DR8*100</f>
        <v>83.468332390373916</v>
      </c>
      <c r="R200">
        <f>DZ8*100</f>
        <v>85.050952654268769</v>
      </c>
      <c r="S200">
        <f>EH8*100</f>
        <v>86.482064434132326</v>
      </c>
      <c r="T200">
        <f>EP8*100</f>
        <v>87.776172043638027</v>
      </c>
      <c r="U200">
        <f>EX8*100</f>
        <v>88.946391259596254</v>
      </c>
      <c r="V200">
        <f>FF8*100</f>
        <v>90.004582250313774</v>
      </c>
      <c r="W200">
        <f>FN8*100</f>
        <v>90.961469778364489</v>
      </c>
      <c r="X200">
        <f>FV8*100</f>
        <v>91.826751896026607</v>
      </c>
      <c r="Y200">
        <f>GD8*100</f>
        <v>92.609198235013835</v>
      </c>
      <c r="Z200">
        <f>GL8*100</f>
        <v>93.316738886667039</v>
      </c>
      <c r="AA200">
        <f>GT8*100</f>
        <v>93.956544773406605</v>
      </c>
      <c r="AB200">
        <f>HB8*100</f>
        <v>94.53510032601001</v>
      </c>
      <c r="AC200">
        <f>HJ8*100</f>
        <v>95.058269203298678</v>
      </c>
      <c r="AD200">
        <f>HR8*100</f>
        <v>95.531353720302931</v>
      </c>
      <c r="AE200">
        <f>HZ8*100</f>
        <v>95.959148587209043</v>
      </c>
      <c r="AF200">
        <f>IH8*100</f>
        <v>96.345989503733023</v>
      </c>
    </row>
    <row r="201" spans="1:32" x14ac:dyDescent="0.2">
      <c r="A201" t="s">
        <v>628</v>
      </c>
      <c r="B201">
        <f t="shared" ref="B201:H201" si="1188">(B199-B200)^2</f>
        <v>0</v>
      </c>
      <c r="C201">
        <f t="shared" si="1188"/>
        <v>55.812117144174081</v>
      </c>
      <c r="D201">
        <f t="shared" si="1188"/>
        <v>58.774321885610071</v>
      </c>
      <c r="E201">
        <f t="shared" si="1188"/>
        <v>7.148402636171905E-3</v>
      </c>
      <c r="F201">
        <f t="shared" si="1188"/>
        <v>6.7322700156399176</v>
      </c>
      <c r="G201">
        <f t="shared" si="1188"/>
        <v>12.927807752255687</v>
      </c>
      <c r="H201">
        <f t="shared" si="1188"/>
        <v>0.36171906783945629</v>
      </c>
    </row>
    <row r="202" spans="1:32" x14ac:dyDescent="0.2">
      <c r="A202" t="s">
        <v>629</v>
      </c>
      <c r="B202">
        <f>SUM(B201:J201)</f>
        <v>134.61538426815537</v>
      </c>
    </row>
    <row r="203" spans="1:32" x14ac:dyDescent="0.2">
      <c r="A203" t="s">
        <v>470</v>
      </c>
      <c r="B203">
        <f>B1</f>
        <v>2017</v>
      </c>
      <c r="C203">
        <f>J1</f>
        <v>2018</v>
      </c>
      <c r="D203">
        <f>R1</f>
        <v>2019</v>
      </c>
      <c r="E203">
        <f>Z1</f>
        <v>2020</v>
      </c>
      <c r="F203">
        <f>AH1</f>
        <v>2021</v>
      </c>
      <c r="G203">
        <f>AP1</f>
        <v>2022</v>
      </c>
      <c r="H203">
        <f>AX1</f>
        <v>2023</v>
      </c>
      <c r="I203">
        <f>BF1</f>
        <v>2024</v>
      </c>
      <c r="J203">
        <f>BN1</f>
        <v>2025</v>
      </c>
      <c r="K203">
        <f>BV1</f>
        <v>2026</v>
      </c>
      <c r="L203">
        <f>CD1</f>
        <v>2027</v>
      </c>
      <c r="M203">
        <f>CL1</f>
        <v>2028</v>
      </c>
      <c r="N203">
        <f>CT1</f>
        <v>2029</v>
      </c>
      <c r="O203">
        <f>DB1</f>
        <v>2030</v>
      </c>
      <c r="P203">
        <f>DJ1</f>
        <v>2031</v>
      </c>
      <c r="Q203">
        <f>DR1</f>
        <v>2032</v>
      </c>
      <c r="R203">
        <f>DZ1</f>
        <v>2033</v>
      </c>
      <c r="S203">
        <f>EH1</f>
        <v>2034</v>
      </c>
      <c r="T203">
        <f>EP1</f>
        <v>2035</v>
      </c>
      <c r="U203">
        <f>EX1</f>
        <v>2036</v>
      </c>
      <c r="V203">
        <f>FF1</f>
        <v>2037</v>
      </c>
      <c r="W203">
        <f>FN1</f>
        <v>2038</v>
      </c>
      <c r="X203">
        <f>FV1</f>
        <v>2039</v>
      </c>
      <c r="Y203">
        <f>GD1</f>
        <v>2040</v>
      </c>
      <c r="Z203">
        <f>GL1</f>
        <v>2041</v>
      </c>
      <c r="AA203">
        <f>GT1</f>
        <v>2042</v>
      </c>
      <c r="AB203">
        <f>HB1</f>
        <v>2043</v>
      </c>
      <c r="AC203">
        <f>HJ1</f>
        <v>2044</v>
      </c>
      <c r="AD203">
        <f>HR1</f>
        <v>2045</v>
      </c>
      <c r="AE203">
        <f>HZ1</f>
        <v>2046</v>
      </c>
      <c r="AF203">
        <f>IH1</f>
        <v>2047</v>
      </c>
    </row>
    <row r="204" spans="1:32" x14ac:dyDescent="0.2">
      <c r="A204" t="s">
        <v>937</v>
      </c>
      <c r="B204">
        <v>38.113487243652344</v>
      </c>
      <c r="C204">
        <v>29.592259294835035</v>
      </c>
      <c r="D204">
        <v>37.074479425964718</v>
      </c>
      <c r="E204">
        <v>35.070333333333338</v>
      </c>
      <c r="F204">
        <v>34.6086666666667</v>
      </c>
      <c r="G204">
        <v>46.9</v>
      </c>
      <c r="H204">
        <v>24.98075</v>
      </c>
    </row>
    <row r="205" spans="1:32" x14ac:dyDescent="0.2">
      <c r="A205" t="s">
        <v>920</v>
      </c>
      <c r="B205">
        <f>B9*100</f>
        <v>38.113487243652344</v>
      </c>
      <c r="C205">
        <f>J9*100</f>
        <v>35.42210768135827</v>
      </c>
      <c r="D205">
        <f>R9*100</f>
        <v>33.945707935521774</v>
      </c>
      <c r="E205">
        <f>Z9*100</f>
        <v>34.525301558514052</v>
      </c>
      <c r="F205">
        <f>AH9*100</f>
        <v>34.250019086680517</v>
      </c>
      <c r="G205">
        <f>AP9*100</f>
        <v>36.138228885120441</v>
      </c>
      <c r="H205">
        <f>AX9*100</f>
        <v>33.6359461051049</v>
      </c>
      <c r="I205">
        <f>BF9*100</f>
        <v>31.373213569242541</v>
      </c>
      <c r="J205">
        <f>BN9*100</f>
        <v>29.327098489947513</v>
      </c>
      <c r="K205">
        <f>BV9*100</f>
        <v>27.476863496918185</v>
      </c>
      <c r="L205">
        <f>CD9*100</f>
        <v>25.803756463950258</v>
      </c>
      <c r="M205">
        <f>CL9*100</f>
        <v>24.290820456192908</v>
      </c>
      <c r="N205">
        <f>CV9*100</f>
        <v>22.601673000164865</v>
      </c>
      <c r="O205">
        <f>DB9*100</f>
        <v>21.685595035239274</v>
      </c>
      <c r="P205">
        <f>DJ9*100</f>
        <v>20.56690167007558</v>
      </c>
      <c r="Q205">
        <f>DR9*100</f>
        <v>19.555303822212231</v>
      </c>
      <c r="R205">
        <f>DZ9*100</f>
        <v>18.640548950440888</v>
      </c>
      <c r="S205">
        <f>EH9*100</f>
        <v>17.813366016830656</v>
      </c>
      <c r="T205">
        <f>EP9*100</f>
        <v>17.065371524785952</v>
      </c>
      <c r="U205">
        <f>EX9*100</f>
        <v>16.388984552333188</v>
      </c>
      <c r="V205">
        <f>FF9*100</f>
        <v>15.777349919498922</v>
      </c>
      <c r="W205">
        <f>FN9*100</f>
        <v>15.224268711081015</v>
      </c>
      <c r="X205">
        <f>FV9*100</f>
        <v>14.724135450661302</v>
      </c>
      <c r="Y205">
        <f>GD9*100</f>
        <v>14.271881289118626</v>
      </c>
      <c r="Z205">
        <f>GL9*100</f>
        <v>13.862922631857909</v>
      </c>
      <c r="AA205">
        <f>GT9*100</f>
        <v>13.493114684092447</v>
      </c>
      <c r="AB205">
        <f>HB9*100</f>
        <v>13.158709443360936</v>
      </c>
      <c r="AC205">
        <f>HJ9*100</f>
        <v>12.856317713533594</v>
      </c>
      <c r="AD205">
        <f>HR9*100</f>
        <v>12.582874755319349</v>
      </c>
      <c r="AE205">
        <f>HZ9*100</f>
        <v>12.335609225142143</v>
      </c>
      <c r="AF205">
        <f>IH9*100</f>
        <v>12.112015087581982</v>
      </c>
    </row>
    <row r="206" spans="1:32" x14ac:dyDescent="0.2">
      <c r="A206" t="s">
        <v>630</v>
      </c>
      <c r="B206">
        <f t="shared" ref="B206:H206" si="1189">(B204-B205)^2</f>
        <v>0</v>
      </c>
      <c r="C206">
        <f t="shared" si="1189"/>
        <v>33.987132209847566</v>
      </c>
      <c r="D206">
        <f t="shared" si="1189"/>
        <v>9.7892110394085581</v>
      </c>
      <c r="E206">
        <f t="shared" si="1189"/>
        <v>0.29705963556266074</v>
      </c>
      <c r="F206">
        <f t="shared" si="1189"/>
        <v>0.12862808662994554</v>
      </c>
      <c r="G206">
        <f t="shared" si="1189"/>
        <v>115.815717529056</v>
      </c>
      <c r="H206">
        <f t="shared" si="1189"/>
        <v>74.912419617823019</v>
      </c>
    </row>
    <row r="207" spans="1:32" x14ac:dyDescent="0.2">
      <c r="A207" t="s">
        <v>631</v>
      </c>
      <c r="B207">
        <f>SUM(B206:J206)</f>
        <v>234.93016811832774</v>
      </c>
    </row>
    <row r="208" spans="1:32" x14ac:dyDescent="0.2">
      <c r="A208" t="s">
        <v>470</v>
      </c>
      <c r="B208">
        <f>B1</f>
        <v>2017</v>
      </c>
      <c r="C208">
        <f>J1</f>
        <v>2018</v>
      </c>
      <c r="D208">
        <f>R1</f>
        <v>2019</v>
      </c>
      <c r="E208">
        <f>Z1</f>
        <v>2020</v>
      </c>
      <c r="F208">
        <f>AH1</f>
        <v>2021</v>
      </c>
      <c r="G208">
        <f>AP1</f>
        <v>2022</v>
      </c>
      <c r="H208">
        <f>AX1</f>
        <v>2023</v>
      </c>
      <c r="I208">
        <f>BF1</f>
        <v>2024</v>
      </c>
      <c r="J208">
        <f>BN1</f>
        <v>2025</v>
      </c>
      <c r="K208">
        <f>BV1</f>
        <v>2026</v>
      </c>
      <c r="L208">
        <f>CD1</f>
        <v>2027</v>
      </c>
      <c r="M208">
        <f>CL1</f>
        <v>2028</v>
      </c>
      <c r="N208">
        <f>CT1</f>
        <v>2029</v>
      </c>
      <c r="O208">
        <f>DB1</f>
        <v>2030</v>
      </c>
      <c r="P208">
        <f>DJ1</f>
        <v>2031</v>
      </c>
      <c r="Q208">
        <f>DR1</f>
        <v>2032</v>
      </c>
      <c r="R208">
        <f>DZ1</f>
        <v>2033</v>
      </c>
      <c r="S208">
        <f>EH1</f>
        <v>2034</v>
      </c>
      <c r="T208">
        <f>EP1</f>
        <v>2035</v>
      </c>
      <c r="U208">
        <f>EX1</f>
        <v>2036</v>
      </c>
      <c r="V208">
        <f>FF1</f>
        <v>2037</v>
      </c>
      <c r="W208">
        <f>FN1</f>
        <v>2038</v>
      </c>
      <c r="X208">
        <f>FV1</f>
        <v>2039</v>
      </c>
      <c r="Y208">
        <f>GD1</f>
        <v>2040</v>
      </c>
      <c r="Z208">
        <f>GL1</f>
        <v>2041</v>
      </c>
      <c r="AA208">
        <f>GT1</f>
        <v>2042</v>
      </c>
      <c r="AB208">
        <f>HB1</f>
        <v>2043</v>
      </c>
      <c r="AC208">
        <f>HJ1</f>
        <v>2044</v>
      </c>
      <c r="AD208">
        <f>HR1</f>
        <v>2045</v>
      </c>
      <c r="AE208">
        <f>HZ1</f>
        <v>2046</v>
      </c>
      <c r="AF208">
        <f>IH1</f>
        <v>2047</v>
      </c>
    </row>
    <row r="209" spans="1:32" x14ac:dyDescent="0.2">
      <c r="A209" t="s">
        <v>938</v>
      </c>
      <c r="B209">
        <v>49.241348266601563</v>
      </c>
      <c r="C209">
        <v>60.580275945652573</v>
      </c>
      <c r="D209">
        <v>64.707157004877203</v>
      </c>
      <c r="E209">
        <v>60.459500000000006</v>
      </c>
      <c r="F209">
        <v>55.669199999999996</v>
      </c>
      <c r="G209">
        <v>55.700600000000001</v>
      </c>
      <c r="H209">
        <v>66.567666666666696</v>
      </c>
    </row>
    <row r="210" spans="1:32" x14ac:dyDescent="0.2">
      <c r="A210" t="s">
        <v>921</v>
      </c>
      <c r="B210">
        <f>B10*100</f>
        <v>49.241348266601563</v>
      </c>
      <c r="C210">
        <f>J10*100</f>
        <v>53.235029213783911</v>
      </c>
      <c r="D210">
        <f>R10*100</f>
        <v>57.71196533752002</v>
      </c>
      <c r="E210">
        <f>Z10*100</f>
        <v>60.363090590236069</v>
      </c>
      <c r="F210">
        <f>AH10*100</f>
        <v>55.974962411914177</v>
      </c>
      <c r="G210">
        <f>AP10*100</f>
        <v>60.189597379355121</v>
      </c>
      <c r="H210">
        <f>AX10*100</f>
        <v>64.000754033501394</v>
      </c>
      <c r="I210">
        <f>BF10*100</f>
        <v>65.601419890236443</v>
      </c>
      <c r="J210">
        <f>BN10*100</f>
        <v>68.749818752144591</v>
      </c>
      <c r="K210">
        <f>BV10*100</f>
        <v>71.741482447208028</v>
      </c>
      <c r="L210">
        <f>CD10*100</f>
        <v>74.446746150112205</v>
      </c>
      <c r="M210">
        <f>CL10*100</f>
        <v>76.893027700517464</v>
      </c>
      <c r="N210">
        <f>CV10*100</f>
        <v>79.624227325887261</v>
      </c>
      <c r="O210">
        <f>DB10*100</f>
        <v>81.105443063261475</v>
      </c>
      <c r="P210">
        <f>DJ10*100</f>
        <v>82.914269692893541</v>
      </c>
      <c r="Q210">
        <f>DR10*100</f>
        <v>84.54993249619082</v>
      </c>
      <c r="R210">
        <f>DZ10*100</f>
        <v>86.029008910846727</v>
      </c>
      <c r="S210">
        <f>EH10*100</f>
        <v>87.36648937196702</v>
      </c>
      <c r="T210">
        <f>EP10*100</f>
        <v>88.575929240085486</v>
      </c>
      <c r="U210">
        <f>EX10*100</f>
        <v>89.669586184702965</v>
      </c>
      <c r="V210">
        <f>FF10*100</f>
        <v>90.658544415731683</v>
      </c>
      <c r="W210">
        <f>FN10*100</f>
        <v>91.552827021930042</v>
      </c>
      <c r="X210">
        <f>FV10*100</f>
        <v>92.361497554877644</v>
      </c>
      <c r="Y210">
        <f>GD10*100</f>
        <v>93.092751888043935</v>
      </c>
      <c r="Z210">
        <f>GL10*100</f>
        <v>93.754001281941527</v>
      </c>
      <c r="AA210">
        <f>GT10*100</f>
        <v>94.351947497229801</v>
      </c>
      <c r="AB210">
        <f>HB10*100</f>
        <v>94.892650717039416</v>
      </c>
      <c r="AC210">
        <f>HJ10*100</f>
        <v>95.381590966910437</v>
      </c>
      <c r="AD210">
        <f>HR10*100</f>
        <v>95.823723654835106</v>
      </c>
      <c r="AE210">
        <f>HZ10*100</f>
        <v>96.223529794303147</v>
      </c>
      <c r="AF210">
        <f>IH10*100</f>
        <v>96.585061419360429</v>
      </c>
    </row>
    <row r="211" spans="1:32" x14ac:dyDescent="0.2">
      <c r="A211" t="s">
        <v>632</v>
      </c>
      <c r="B211">
        <f t="shared" ref="B211:H211" si="1190">(B209-B210)^2</f>
        <v>0</v>
      </c>
      <c r="C211">
        <f t="shared" si="1190"/>
        <v>53.952649552027275</v>
      </c>
      <c r="D211">
        <f t="shared" si="1190"/>
        <v>48.932706463063369</v>
      </c>
      <c r="E211">
        <f t="shared" si="1190"/>
        <v>9.2947742910305334E-3</v>
      </c>
      <c r="F211">
        <f t="shared" si="1190"/>
        <v>9.3490652539577071E-2</v>
      </c>
      <c r="G211">
        <f t="shared" si="1190"/>
        <v>20.151097471857128</v>
      </c>
      <c r="H211">
        <f t="shared" si="1190"/>
        <v>6.5890404663036231</v>
      </c>
    </row>
    <row r="212" spans="1:32" x14ac:dyDescent="0.2">
      <c r="A212" t="s">
        <v>633</v>
      </c>
      <c r="B212">
        <f>SUM(B211:J211)</f>
        <v>129.728279380082</v>
      </c>
    </row>
    <row r="213" spans="1:32" x14ac:dyDescent="0.2">
      <c r="A213" t="s">
        <v>470</v>
      </c>
      <c r="B213">
        <f>B1</f>
        <v>2017</v>
      </c>
      <c r="C213">
        <f>J1</f>
        <v>2018</v>
      </c>
      <c r="D213">
        <f>R1</f>
        <v>2019</v>
      </c>
      <c r="E213">
        <f>Z1</f>
        <v>2020</v>
      </c>
      <c r="F213">
        <f>AH1</f>
        <v>2021</v>
      </c>
      <c r="G213">
        <f>AP1</f>
        <v>2022</v>
      </c>
      <c r="H213">
        <f>AX1</f>
        <v>2023</v>
      </c>
      <c r="I213">
        <f>BF1</f>
        <v>2024</v>
      </c>
      <c r="J213">
        <f>BN1</f>
        <v>2025</v>
      </c>
      <c r="K213">
        <f>BV1</f>
        <v>2026</v>
      </c>
      <c r="L213">
        <f>CD1</f>
        <v>2027</v>
      </c>
      <c r="M213">
        <f>CL1</f>
        <v>2028</v>
      </c>
      <c r="N213">
        <f>CT1</f>
        <v>2029</v>
      </c>
      <c r="O213">
        <f>DB1</f>
        <v>2030</v>
      </c>
      <c r="P213">
        <f>DJ1</f>
        <v>2031</v>
      </c>
      <c r="Q213">
        <f>DR1</f>
        <v>2032</v>
      </c>
      <c r="R213">
        <f>DZ1</f>
        <v>2033</v>
      </c>
      <c r="S213">
        <f>EH1</f>
        <v>2034</v>
      </c>
      <c r="T213">
        <f>EP1</f>
        <v>2035</v>
      </c>
      <c r="U213">
        <f>EX1</f>
        <v>2036</v>
      </c>
      <c r="V213">
        <f>FF1</f>
        <v>2037</v>
      </c>
      <c r="W213">
        <f>FN1</f>
        <v>2038</v>
      </c>
      <c r="X213">
        <f>FV1</f>
        <v>2039</v>
      </c>
      <c r="Y213">
        <f>GD1</f>
        <v>2040</v>
      </c>
      <c r="Z213">
        <f>GL1</f>
        <v>2041</v>
      </c>
      <c r="AA213">
        <f>GT1</f>
        <v>2042</v>
      </c>
      <c r="AB213">
        <f>HB1</f>
        <v>2043</v>
      </c>
      <c r="AC213">
        <f>HJ1</f>
        <v>2044</v>
      </c>
      <c r="AD213">
        <f>HR1</f>
        <v>2045</v>
      </c>
      <c r="AE213">
        <f>HZ1</f>
        <v>2046</v>
      </c>
      <c r="AF213">
        <f>IH1</f>
        <v>2047</v>
      </c>
    </row>
    <row r="214" spans="1:32" x14ac:dyDescent="0.2">
      <c r="A214" t="s">
        <v>939</v>
      </c>
      <c r="B214">
        <v>15.23066520690918</v>
      </c>
      <c r="C214">
        <v>15.418810776573634</v>
      </c>
      <c r="D214">
        <v>18.383456764844201</v>
      </c>
      <c r="E214">
        <v>31.809833333333334</v>
      </c>
      <c r="F214">
        <v>33.435000000000002</v>
      </c>
      <c r="G214">
        <v>33.246666666666698</v>
      </c>
      <c r="H214">
        <v>40.605714285714299</v>
      </c>
    </row>
    <row r="215" spans="1:32" x14ac:dyDescent="0.2">
      <c r="A215" t="s">
        <v>922</v>
      </c>
      <c r="B215">
        <f>B11*100</f>
        <v>15.23066520690918</v>
      </c>
      <c r="C215">
        <f>J11*100</f>
        <v>14.764598696522615</v>
      </c>
      <c r="D215">
        <f>R11*100</f>
        <v>15.23737841123374</v>
      </c>
      <c r="E215">
        <f>Z11*100</f>
        <v>17.51516495322771</v>
      </c>
      <c r="F215">
        <f>AH11*100</f>
        <v>23.247518870024628</v>
      </c>
      <c r="G215">
        <f>AP11*100</f>
        <v>24.096574290497397</v>
      </c>
      <c r="H215">
        <f>AX11*100</f>
        <v>27.976638388974511</v>
      </c>
      <c r="I215">
        <f>BF11*100</f>
        <v>34.871628034607909</v>
      </c>
      <c r="J215">
        <f>BN11*100</f>
        <v>41.106541822214226</v>
      </c>
      <c r="K215">
        <f>BV11*100</f>
        <v>46.744570584665304</v>
      </c>
      <c r="L215">
        <f>CD11*100</f>
        <v>51.842855726861195</v>
      </c>
      <c r="M215">
        <f>CL11*100</f>
        <v>56.449004104568246</v>
      </c>
      <c r="N215">
        <f>CV11*100</f>
        <v>61.529591707410155</v>
      </c>
      <c r="O215">
        <f>DB11*100</f>
        <v>64.248319109497118</v>
      </c>
      <c r="P215">
        <f>DJ11*100</f>
        <v>67.530084921576233</v>
      </c>
      <c r="Q215">
        <f>DR11*100</f>
        <v>70.458267781817369</v>
      </c>
      <c r="R215">
        <f>DZ11*100</f>
        <v>73.070772761876029</v>
      </c>
      <c r="S215">
        <f>EH11*100</f>
        <v>75.401433765301789</v>
      </c>
      <c r="T215">
        <f>EP11*100</f>
        <v>77.480456207083449</v>
      </c>
      <c r="U215">
        <f>EX11*100</f>
        <v>79.334810123145843</v>
      </c>
      <c r="V215">
        <f>FF11*100</f>
        <v>80.988579584729152</v>
      </c>
      <c r="W215">
        <f>FN11*100</f>
        <v>82.463273526442023</v>
      </c>
      <c r="X215">
        <f>FV11*100</f>
        <v>83.778102445272026</v>
      </c>
      <c r="Y215">
        <f>GD11*100</f>
        <v>84.950224870783984</v>
      </c>
      <c r="Z215">
        <f>GL11*100</f>
        <v>85.994967028120513</v>
      </c>
      <c r="AA215">
        <f>GT11*100</f>
        <v>86.926018702390905</v>
      </c>
      <c r="AB215">
        <f>HB11*100</f>
        <v>87.755607955216774</v>
      </c>
      <c r="AC215">
        <f>HJ11*100</f>
        <v>88.494657033125321</v>
      </c>
      <c r="AD215">
        <f>HR11*100</f>
        <v>89.152921536195166</v>
      </c>
      <c r="AE215">
        <f>HZ11*100</f>
        <v>89.739114678109615</v>
      </c>
      <c r="AF215">
        <f>IH11*100</f>
        <v>90.2610182607702</v>
      </c>
    </row>
    <row r="216" spans="1:32" x14ac:dyDescent="0.2">
      <c r="A216" t="s">
        <v>634</v>
      </c>
      <c r="B216">
        <f t="shared" ref="B216:H216" si="1191">(B214-B215)^2</f>
        <v>0</v>
      </c>
      <c r="C216">
        <f t="shared" si="1191"/>
        <v>0.4279934456846814</v>
      </c>
      <c r="D216">
        <f t="shared" si="1191"/>
        <v>9.8978090070563098</v>
      </c>
      <c r="E216">
        <f t="shared" si="1191"/>
        <v>204.33754409719151</v>
      </c>
      <c r="F216">
        <f t="shared" si="1191"/>
        <v>103.78477177360433</v>
      </c>
      <c r="G216">
        <f t="shared" si="1191"/>
        <v>83.724190492431561</v>
      </c>
      <c r="H216">
        <f t="shared" si="1191"/>
        <v>159.49355800561389</v>
      </c>
    </row>
    <row r="217" spans="1:32" x14ac:dyDescent="0.2">
      <c r="A217" t="s">
        <v>635</v>
      </c>
      <c r="B217">
        <f>SUM(B216:J216)</f>
        <v>561.66586682158231</v>
      </c>
    </row>
    <row r="218" spans="1:32" x14ac:dyDescent="0.2">
      <c r="A218" t="s">
        <v>470</v>
      </c>
      <c r="B218">
        <f>B1</f>
        <v>2017</v>
      </c>
      <c r="C218">
        <f>J1</f>
        <v>2018</v>
      </c>
      <c r="D218">
        <f>R1</f>
        <v>2019</v>
      </c>
      <c r="E218">
        <f>Z1</f>
        <v>2020</v>
      </c>
      <c r="F218">
        <f>AH1</f>
        <v>2021</v>
      </c>
      <c r="G218">
        <f>AP1</f>
        <v>2022</v>
      </c>
      <c r="H218">
        <f>AX1</f>
        <v>2023</v>
      </c>
      <c r="I218">
        <f>BF1</f>
        <v>2024</v>
      </c>
      <c r="J218">
        <f>BN1</f>
        <v>2025</v>
      </c>
      <c r="K218">
        <f>BV1</f>
        <v>2026</v>
      </c>
      <c r="L218">
        <f>CD1</f>
        <v>2027</v>
      </c>
      <c r="M218">
        <f>CL1</f>
        <v>2028</v>
      </c>
      <c r="N218">
        <f>CT1</f>
        <v>2029</v>
      </c>
      <c r="O218">
        <f>DB1</f>
        <v>2030</v>
      </c>
      <c r="P218">
        <f>DJ1</f>
        <v>2031</v>
      </c>
      <c r="Q218">
        <f>DR1</f>
        <v>2032</v>
      </c>
      <c r="R218">
        <f>DZ1</f>
        <v>2033</v>
      </c>
      <c r="S218">
        <f>EH1</f>
        <v>2034</v>
      </c>
      <c r="T218">
        <f>EP1</f>
        <v>2035</v>
      </c>
      <c r="U218">
        <f>EX1</f>
        <v>2036</v>
      </c>
      <c r="V218">
        <f>FF1</f>
        <v>2037</v>
      </c>
      <c r="W218">
        <f>FN1</f>
        <v>2038</v>
      </c>
      <c r="X218">
        <f>FV1</f>
        <v>2039</v>
      </c>
      <c r="Y218">
        <f>GD1</f>
        <v>2040</v>
      </c>
      <c r="Z218">
        <f>GL1</f>
        <v>2041</v>
      </c>
      <c r="AA218">
        <f>GT1</f>
        <v>2042</v>
      </c>
      <c r="AB218">
        <f>HB1</f>
        <v>2043</v>
      </c>
      <c r="AC218">
        <f>HJ1</f>
        <v>2044</v>
      </c>
      <c r="AD218">
        <f>HR1</f>
        <v>2045</v>
      </c>
      <c r="AE218">
        <f>HZ1</f>
        <v>2046</v>
      </c>
      <c r="AF218">
        <f>IH1</f>
        <v>2047</v>
      </c>
    </row>
    <row r="219" spans="1:32" x14ac:dyDescent="0.2">
      <c r="A219" t="s">
        <v>940</v>
      </c>
      <c r="B219">
        <v>50.123226165771484</v>
      </c>
      <c r="C219">
        <v>9.1556380535194624</v>
      </c>
      <c r="D219">
        <v>9.0562471201722055</v>
      </c>
      <c r="E219">
        <v>19.548999999999999</v>
      </c>
      <c r="F219">
        <v>20.212</v>
      </c>
      <c r="G219">
        <v>49.733499999999999</v>
      </c>
      <c r="H219">
        <v>72.796000000000006</v>
      </c>
    </row>
    <row r="220" spans="1:32" x14ac:dyDescent="0.2">
      <c r="A220" t="s">
        <v>923</v>
      </c>
      <c r="B220">
        <f>B12*100</f>
        <v>50.123226165771484</v>
      </c>
      <c r="C220">
        <f>J12*100</f>
        <v>46.164489268865495</v>
      </c>
      <c r="D220">
        <f>R12*100</f>
        <v>42.685320376452417</v>
      </c>
      <c r="E220">
        <f>Z12*100</f>
        <v>39.482316167547246</v>
      </c>
      <c r="F220">
        <f>AH12*100</f>
        <v>36.666433688469645</v>
      </c>
      <c r="G220">
        <f>AP12*100</f>
        <v>41.761307546329249</v>
      </c>
      <c r="H220">
        <f>AX12*100</f>
        <v>47.336653829274987</v>
      </c>
      <c r="I220">
        <f>BF12*100</f>
        <v>50.97905118755007</v>
      </c>
      <c r="J220">
        <f>BN12*100</f>
        <v>55.671958140524403</v>
      </c>
      <c r="K220">
        <f>BV12*100</f>
        <v>59.915600519825674</v>
      </c>
      <c r="L220">
        <f>CD12*100</f>
        <v>63.75298762846802</v>
      </c>
      <c r="M220">
        <f>CL12*100</f>
        <v>67.223011373494089</v>
      </c>
      <c r="N220">
        <f>CV12*100</f>
        <v>71.097188305773031</v>
      </c>
      <c r="O220">
        <f>DB12*100</f>
        <v>73.19827670230012</v>
      </c>
      <c r="P220">
        <f>DJ12*100</f>
        <v>75.764077582586765</v>
      </c>
      <c r="Q220">
        <f>DR12*100</f>
        <v>78.084247460562267</v>
      </c>
      <c r="R220">
        <f>DZ12*100</f>
        <v>80.182301251105628</v>
      </c>
      <c r="S220">
        <f>EH12*100</f>
        <v>82.079502723203959</v>
      </c>
      <c r="T220">
        <f>EP12*100</f>
        <v>83.795080008188592</v>
      </c>
      <c r="U220">
        <f>EX12*100</f>
        <v>85.346420476789461</v>
      </c>
      <c r="V220">
        <f>FF12*100</f>
        <v>86.749246960086182</v>
      </c>
      <c r="W220">
        <f>FN12*100</f>
        <v>88.017777100354806</v>
      </c>
      <c r="X220">
        <f>FV12*100</f>
        <v>89.164867446830343</v>
      </c>
      <c r="Y220">
        <f>GD12*100</f>
        <v>90.202143756795479</v>
      </c>
      <c r="Z220">
        <f>GL12*100</f>
        <v>91.140118822596321</v>
      </c>
      <c r="AA220">
        <f>GT12*100</f>
        <v>91.988299018761893</v>
      </c>
      <c r="AB220">
        <f>HB12*100</f>
        <v>92.755280649081854</v>
      </c>
      <c r="AC220">
        <f>HJ12*100</f>
        <v>93.448837070120291</v>
      </c>
      <c r="AD220">
        <f>HR12*100</f>
        <v>94.075997474161539</v>
      </c>
      <c r="AE220">
        <f>HZ12*100</f>
        <v>94.643118130053111</v>
      </c>
      <c r="AF220">
        <f>IH12*100</f>
        <v>95.155946803972029</v>
      </c>
    </row>
    <row r="221" spans="1:32" x14ac:dyDescent="0.2">
      <c r="A221" t="s">
        <v>636</v>
      </c>
      <c r="B221">
        <f t="shared" ref="B221:H221" si="1192">(B219-B220)^2</f>
        <v>0</v>
      </c>
      <c r="C221">
        <f t="shared" si="1192"/>
        <v>1369.6550682796196</v>
      </c>
      <c r="D221">
        <f t="shared" si="1192"/>
        <v>1130.9145680762606</v>
      </c>
      <c r="E221">
        <f t="shared" si="1192"/>
        <v>397.33709343540045</v>
      </c>
      <c r="F221">
        <f t="shared" si="1192"/>
        <v>270.74838800824477</v>
      </c>
      <c r="G221">
        <f t="shared" si="1192"/>
        <v>63.555852518364858</v>
      </c>
      <c r="H221">
        <f t="shared" si="1192"/>
        <v>648.17830744081073</v>
      </c>
    </row>
    <row r="222" spans="1:32" x14ac:dyDescent="0.2">
      <c r="A222" t="s">
        <v>637</v>
      </c>
      <c r="B222">
        <f>SUM(B221:J221)</f>
        <v>3880.3892777587007</v>
      </c>
    </row>
    <row r="223" spans="1:32" x14ac:dyDescent="0.2">
      <c r="A223" t="s">
        <v>470</v>
      </c>
      <c r="B223">
        <f>B1</f>
        <v>2017</v>
      </c>
      <c r="C223">
        <f>J1</f>
        <v>2018</v>
      </c>
      <c r="D223">
        <f>R1</f>
        <v>2019</v>
      </c>
      <c r="E223">
        <f>Z1</f>
        <v>2020</v>
      </c>
      <c r="F223">
        <f>AH1</f>
        <v>2021</v>
      </c>
      <c r="G223">
        <f>AP1</f>
        <v>2022</v>
      </c>
      <c r="H223">
        <f>AX1</f>
        <v>2023</v>
      </c>
      <c r="I223">
        <f>BF1</f>
        <v>2024</v>
      </c>
      <c r="J223">
        <f>BN1</f>
        <v>2025</v>
      </c>
      <c r="K223">
        <f>BV1</f>
        <v>2026</v>
      </c>
      <c r="L223">
        <f>CD1</f>
        <v>2027</v>
      </c>
      <c r="M223">
        <f>CL1</f>
        <v>2028</v>
      </c>
      <c r="N223">
        <f>CT1</f>
        <v>2029</v>
      </c>
      <c r="O223">
        <f>DB1</f>
        <v>2030</v>
      </c>
      <c r="P223">
        <f>DJ1</f>
        <v>2031</v>
      </c>
      <c r="Q223">
        <f>DR1</f>
        <v>2032</v>
      </c>
      <c r="R223">
        <f>DZ1</f>
        <v>2033</v>
      </c>
      <c r="S223">
        <f>EH1</f>
        <v>2034</v>
      </c>
      <c r="T223">
        <f>EP1</f>
        <v>2035</v>
      </c>
      <c r="U223">
        <f>EX1</f>
        <v>2036</v>
      </c>
      <c r="V223">
        <f>FF1</f>
        <v>2037</v>
      </c>
      <c r="W223">
        <f>FN1</f>
        <v>2038</v>
      </c>
      <c r="X223">
        <f>FV1</f>
        <v>2039</v>
      </c>
      <c r="Y223">
        <f>GD1</f>
        <v>2040</v>
      </c>
      <c r="Z223">
        <f>GL1</f>
        <v>2041</v>
      </c>
      <c r="AA223">
        <f>GT1</f>
        <v>2042</v>
      </c>
      <c r="AB223">
        <f>HB1</f>
        <v>2043</v>
      </c>
      <c r="AC223">
        <f>HJ1</f>
        <v>2044</v>
      </c>
      <c r="AD223">
        <f>HR1</f>
        <v>2045</v>
      </c>
      <c r="AE223">
        <f>HZ1</f>
        <v>2046</v>
      </c>
      <c r="AF223">
        <f>IH1</f>
        <v>2047</v>
      </c>
    </row>
    <row r="224" spans="1:32" x14ac:dyDescent="0.2">
      <c r="A224" t="s">
        <v>941</v>
      </c>
      <c r="B224">
        <v>31.040891647338867</v>
      </c>
      <c r="C224">
        <v>43.454601510097454</v>
      </c>
      <c r="D224">
        <v>32.641457130491325</v>
      </c>
      <c r="E224">
        <v>33.025666666666673</v>
      </c>
      <c r="F224">
        <v>26.74</v>
      </c>
      <c r="G224">
        <v>26.2135</v>
      </c>
      <c r="H224">
        <v>29.442250000000001</v>
      </c>
    </row>
    <row r="225" spans="1:32" x14ac:dyDescent="0.2">
      <c r="A225" t="s">
        <v>924</v>
      </c>
      <c r="B225">
        <f>B13*100</f>
        <v>31.040891647338871</v>
      </c>
      <c r="C225">
        <f>J13*100</f>
        <v>37.429663764562839</v>
      </c>
      <c r="D225">
        <f>R13*100</f>
        <v>36.150184985488728</v>
      </c>
      <c r="E225">
        <f>Z13*100</f>
        <v>33.686959176222217</v>
      </c>
      <c r="F225">
        <f>AH13*100</f>
        <v>31.352093357664511</v>
      </c>
      <c r="G225">
        <f>AP13*100</f>
        <v>31.422851494898712</v>
      </c>
      <c r="H225">
        <f>AX13*100</f>
        <v>29.467772175186202</v>
      </c>
      <c r="I225">
        <f>BF13*100</f>
        <v>27.947877323010612</v>
      </c>
      <c r="J225">
        <f>BN13*100</f>
        <v>26.855449496977162</v>
      </c>
      <c r="K225">
        <f>BV13*100</f>
        <v>26.150048968532879</v>
      </c>
      <c r="L225">
        <f>CD13*100</f>
        <v>25.784751022949482</v>
      </c>
      <c r="M225">
        <f>CL13*100</f>
        <v>25.714916331169125</v>
      </c>
      <c r="N225">
        <f>CV13*100</f>
        <v>25.979795051166736</v>
      </c>
      <c r="O225">
        <f>DB13*100</f>
        <v>26.297779829547235</v>
      </c>
      <c r="P225">
        <f>DJ13*100</f>
        <v>26.876699431867507</v>
      </c>
      <c r="Q225">
        <f>DR13*100</f>
        <v>27.603699413326954</v>
      </c>
      <c r="R225">
        <f>DZ13*100</f>
        <v>28.450244827859017</v>
      </c>
      <c r="S225">
        <f>EH13*100</f>
        <v>29.390973143648658</v>
      </c>
      <c r="T225">
        <f>EP13*100</f>
        <v>30.403518605510278</v>
      </c>
      <c r="U225">
        <f>EX13*100</f>
        <v>31.468310113953091</v>
      </c>
      <c r="V225">
        <f>FF13*100</f>
        <v>32.568354959393822</v>
      </c>
      <c r="W225">
        <f>FN13*100</f>
        <v>33.689017598817841</v>
      </c>
      <c r="X225">
        <f>FV13*100</f>
        <v>34.817800189329795</v>
      </c>
      <c r="Y225">
        <f>GD13*100</f>
        <v>35.944129663203498</v>
      </c>
      <c r="Z225">
        <f>GL13*100</f>
        <v>37.05915463289822</v>
      </c>
      <c r="AA225">
        <f>GT13*100</f>
        <v>38.155554263785312</v>
      </c>
      <c r="AB225">
        <f>HB13*100</f>
        <v>39.22736037585846</v>
      </c>
      <c r="AC225">
        <f>HJ13*100</f>
        <v>40.269793376193199</v>
      </c>
      <c r="AD225">
        <f>HR13*100</f>
        <v>41.279112135337733</v>
      </c>
      <c r="AE225">
        <f>HZ13*100</f>
        <v>42.252477566227647</v>
      </c>
      <c r="AF225">
        <f>IH13*100</f>
        <v>43.187829414065966</v>
      </c>
    </row>
    <row r="226" spans="1:32" x14ac:dyDescent="0.2">
      <c r="A226" t="s">
        <v>638</v>
      </c>
      <c r="B226">
        <f t="shared" ref="B226:H226" si="1193">(B224-B225)^2</f>
        <v>1.2621774483536189E-29</v>
      </c>
      <c r="C226">
        <f t="shared" si="1193"/>
        <v>36.299874837567728</v>
      </c>
      <c r="D226">
        <f t="shared" si="1193"/>
        <v>12.311171160434677</v>
      </c>
      <c r="E226">
        <f t="shared" si="1193"/>
        <v>0.43730778319426922</v>
      </c>
      <c r="F226">
        <f t="shared" si="1193"/>
        <v>21.271405139813119</v>
      </c>
      <c r="G226">
        <f t="shared" si="1193"/>
        <v>27.137342997403447</v>
      </c>
      <c r="H226">
        <f t="shared" si="1193"/>
        <v>6.5138142623509619E-4</v>
      </c>
    </row>
    <row r="227" spans="1:32" x14ac:dyDescent="0.2">
      <c r="A227" t="s">
        <v>639</v>
      </c>
      <c r="B227">
        <f>SUM(B226:J226)</f>
        <v>97.457753299839482</v>
      </c>
    </row>
    <row r="228" spans="1:32" x14ac:dyDescent="0.2">
      <c r="A228" t="s">
        <v>470</v>
      </c>
      <c r="B228">
        <f>B1</f>
        <v>2017</v>
      </c>
      <c r="C228">
        <f>J1</f>
        <v>2018</v>
      </c>
      <c r="D228">
        <f>R1</f>
        <v>2019</v>
      </c>
      <c r="E228">
        <f>Z1</f>
        <v>2020</v>
      </c>
      <c r="F228">
        <f>AH1</f>
        <v>2021</v>
      </c>
      <c r="G228">
        <f>AP1</f>
        <v>2022</v>
      </c>
      <c r="H228">
        <f>AX1</f>
        <v>2023</v>
      </c>
      <c r="I228">
        <f>BF1</f>
        <v>2024</v>
      </c>
      <c r="J228">
        <f>BN1</f>
        <v>2025</v>
      </c>
      <c r="K228">
        <f>BV1</f>
        <v>2026</v>
      </c>
      <c r="L228">
        <f>CD1</f>
        <v>2027</v>
      </c>
      <c r="M228">
        <f>CL1</f>
        <v>2028</v>
      </c>
      <c r="N228">
        <f>CT1</f>
        <v>2029</v>
      </c>
      <c r="O228">
        <f>DB1</f>
        <v>2030</v>
      </c>
      <c r="P228">
        <f>DJ1</f>
        <v>2031</v>
      </c>
      <c r="Q228">
        <f>DR1</f>
        <v>2032</v>
      </c>
      <c r="R228">
        <f>DZ1</f>
        <v>2033</v>
      </c>
      <c r="S228">
        <f>EH1</f>
        <v>2034</v>
      </c>
      <c r="T228">
        <f>EP1</f>
        <v>2035</v>
      </c>
      <c r="U228">
        <f>EX1</f>
        <v>2036</v>
      </c>
      <c r="V228">
        <f>FF1</f>
        <v>2037</v>
      </c>
      <c r="W228">
        <f>FN1</f>
        <v>2038</v>
      </c>
      <c r="X228">
        <f>FV1</f>
        <v>2039</v>
      </c>
      <c r="Y228">
        <f>GD1</f>
        <v>2040</v>
      </c>
      <c r="Z228">
        <f>GL1</f>
        <v>2041</v>
      </c>
      <c r="AA228">
        <f>GT1</f>
        <v>2042</v>
      </c>
      <c r="AB228">
        <f>HB1</f>
        <v>2043</v>
      </c>
      <c r="AC228">
        <f>HJ1</f>
        <v>2044</v>
      </c>
      <c r="AD228">
        <f>HR1</f>
        <v>2045</v>
      </c>
      <c r="AE228">
        <f>HZ1</f>
        <v>2046</v>
      </c>
      <c r="AF228">
        <f>IH1</f>
        <v>2047</v>
      </c>
    </row>
    <row r="229" spans="1:32" x14ac:dyDescent="0.2">
      <c r="A229" t="s">
        <v>942</v>
      </c>
      <c r="B229">
        <v>76.251144409179688</v>
      </c>
      <c r="C229">
        <v>76.252339214137706</v>
      </c>
      <c r="D229">
        <v>94.837284728581565</v>
      </c>
      <c r="E229">
        <v>94.01066666666668</v>
      </c>
      <c r="F229">
        <v>93.426833333333306</v>
      </c>
      <c r="G229">
        <v>95.947285714285698</v>
      </c>
      <c r="H229">
        <v>95.556285714285707</v>
      </c>
    </row>
    <row r="230" spans="1:32" x14ac:dyDescent="0.2">
      <c r="A230" t="s">
        <v>925</v>
      </c>
      <c r="B230">
        <f>B14*100</f>
        <v>76.251144409179688</v>
      </c>
      <c r="C230">
        <f>J14*100</f>
        <v>76.293827295587803</v>
      </c>
      <c r="D230">
        <f>R14*100</f>
        <v>78.563282812219754</v>
      </c>
      <c r="E230">
        <f>Z14*100</f>
        <v>80.615477263297535</v>
      </c>
      <c r="F230">
        <f>AH14*100</f>
        <v>82.471209633537939</v>
      </c>
      <c r="G230">
        <f>AP14*100</f>
        <v>79.81771906879473</v>
      </c>
      <c r="H230">
        <f>AX14*100</f>
        <v>80.91333998868852</v>
      </c>
      <c r="I230">
        <f>BF14*100</f>
        <v>80.196145340905545</v>
      </c>
      <c r="J230">
        <f>BN14*100</f>
        <v>78.030736137927818</v>
      </c>
      <c r="K230">
        <f>BV14*100</f>
        <v>74.865261008830672</v>
      </c>
      <c r="L230">
        <f>CD14*100</f>
        <v>71.046184702754829</v>
      </c>
      <c r="M230">
        <f>CL14*100</f>
        <v>66.849506323510852</v>
      </c>
      <c r="N230">
        <f>CV14*100</f>
        <v>61.434899947066498</v>
      </c>
      <c r="O230">
        <f>DB14*100</f>
        <v>58.225775219955892</v>
      </c>
      <c r="P230">
        <f>DJ14*100</f>
        <v>54.07706204125121</v>
      </c>
      <c r="Q230">
        <f>DR14*100</f>
        <v>50.124577566497116</v>
      </c>
      <c r="R230">
        <f>DZ14*100</f>
        <v>46.39608753272411</v>
      </c>
      <c r="S230">
        <f>EH14*100</f>
        <v>42.903314921582286</v>
      </c>
      <c r="T230">
        <f>EP14*100</f>
        <v>39.648047567027504</v>
      </c>
      <c r="U230">
        <f>EX14*100</f>
        <v>36.625872334244988</v>
      </c>
      <c r="V230">
        <f>FF14*100</f>
        <v>33.8285399578631</v>
      </c>
      <c r="W230">
        <f>FN14*100</f>
        <v>31.245503291558695</v>
      </c>
      <c r="X230">
        <f>FV14*100</f>
        <v>28.864937001276907</v>
      </c>
      <c r="Y230">
        <f>GD14*100</f>
        <v>26.674421269768146</v>
      </c>
      <c r="Z230">
        <f>GL14*100</f>
        <v>24.661401972244118</v>
      </c>
      <c r="AA230">
        <f>GT14*100</f>
        <v>22.813498985135709</v>
      </c>
      <c r="AB230">
        <f>HB14*100</f>
        <v>21.118709649629775</v>
      </c>
      <c r="AC230">
        <f>HJ14*100</f>
        <v>19.565539019744875</v>
      </c>
      <c r="AD230">
        <f>HR14*100</f>
        <v>18.143078616089788</v>
      </c>
      <c r="AE230">
        <f>HZ14*100</f>
        <v>16.841048856773895</v>
      </c>
      <c r="AF230">
        <f>IH14*100</f>
        <v>15.649815907260692</v>
      </c>
    </row>
    <row r="231" spans="1:32" x14ac:dyDescent="0.2">
      <c r="A231" t="s">
        <v>640</v>
      </c>
      <c r="B231">
        <f t="shared" ref="B231:H231" si="1194">(B229-B230)^2</f>
        <v>0</v>
      </c>
      <c r="C231">
        <f t="shared" si="1194"/>
        <v>1.7212609024099264E-3</v>
      </c>
      <c r="D231">
        <f t="shared" si="1194"/>
        <v>264.84313837374793</v>
      </c>
      <c r="E231">
        <f t="shared" si="1194"/>
        <v>179.43109915213302</v>
      </c>
      <c r="F231">
        <f t="shared" si="1194"/>
        <v>120.02569065151793</v>
      </c>
      <c r="G231">
        <f t="shared" si="1194"/>
        <v>260.16292017133475</v>
      </c>
      <c r="H231">
        <f t="shared" si="1194"/>
        <v>214.41585952278493</v>
      </c>
    </row>
    <row r="232" spans="1:32" x14ac:dyDescent="0.2">
      <c r="A232" t="s">
        <v>641</v>
      </c>
      <c r="B232">
        <f>SUM(B231:J231)</f>
        <v>1038.8804291324211</v>
      </c>
    </row>
    <row r="233" spans="1:32" x14ac:dyDescent="0.2">
      <c r="A233" t="s">
        <v>470</v>
      </c>
      <c r="B233">
        <f>B1</f>
        <v>2017</v>
      </c>
      <c r="C233">
        <f>J1</f>
        <v>2018</v>
      </c>
      <c r="D233">
        <f>R1</f>
        <v>2019</v>
      </c>
      <c r="E233">
        <f>Z1</f>
        <v>2020</v>
      </c>
      <c r="F233">
        <f>AH1</f>
        <v>2021</v>
      </c>
      <c r="G233">
        <f>AP1</f>
        <v>2022</v>
      </c>
      <c r="H233">
        <f>AX1</f>
        <v>2023</v>
      </c>
      <c r="I233">
        <f>BF1</f>
        <v>2024</v>
      </c>
      <c r="J233">
        <f>BN1</f>
        <v>2025</v>
      </c>
      <c r="K233">
        <f>BV1</f>
        <v>2026</v>
      </c>
      <c r="L233">
        <f>CD1</f>
        <v>2027</v>
      </c>
      <c r="M233">
        <f>CL1</f>
        <v>2028</v>
      </c>
      <c r="N233">
        <f>CT1</f>
        <v>2029</v>
      </c>
      <c r="O233">
        <f>DB1</f>
        <v>2030</v>
      </c>
      <c r="P233">
        <f>DJ1</f>
        <v>2031</v>
      </c>
      <c r="Q233">
        <f>DR1</f>
        <v>2032</v>
      </c>
      <c r="R233">
        <f>DZ1</f>
        <v>2033</v>
      </c>
      <c r="S233">
        <f>EH1</f>
        <v>2034</v>
      </c>
      <c r="T233">
        <f>EP1</f>
        <v>2035</v>
      </c>
      <c r="U233">
        <f>EX1</f>
        <v>2036</v>
      </c>
      <c r="V233">
        <f>FF1</f>
        <v>2037</v>
      </c>
      <c r="W233">
        <f>FN1</f>
        <v>2038</v>
      </c>
      <c r="X233">
        <f>FV1</f>
        <v>2039</v>
      </c>
      <c r="Y233">
        <f>GD1</f>
        <v>2040</v>
      </c>
      <c r="Z233">
        <f>GL1</f>
        <v>2041</v>
      </c>
      <c r="AA233">
        <f>GT1</f>
        <v>2042</v>
      </c>
      <c r="AB233">
        <f>HB1</f>
        <v>2043</v>
      </c>
      <c r="AC233">
        <f>HJ1</f>
        <v>2044</v>
      </c>
      <c r="AD233">
        <f>HR1</f>
        <v>2045</v>
      </c>
      <c r="AE233">
        <f>HZ1</f>
        <v>2046</v>
      </c>
      <c r="AF233">
        <f>IH1</f>
        <v>2047</v>
      </c>
    </row>
    <row r="234" spans="1:32" x14ac:dyDescent="0.2">
      <c r="A234" t="s">
        <v>943</v>
      </c>
      <c r="B234">
        <v>89.51568603515625</v>
      </c>
      <c r="C234">
        <v>91.30007860499407</v>
      </c>
      <c r="D234">
        <v>96.137889140562109</v>
      </c>
      <c r="E234">
        <v>98.11866666666667</v>
      </c>
      <c r="F234">
        <v>97.795666666666705</v>
      </c>
      <c r="G234">
        <v>96.212666666666706</v>
      </c>
      <c r="H234">
        <v>96.745000000000005</v>
      </c>
    </row>
    <row r="235" spans="1:32" x14ac:dyDescent="0.2">
      <c r="A235" t="s">
        <v>926</v>
      </c>
      <c r="B235">
        <f>B15*100</f>
        <v>89.51568603515625</v>
      </c>
      <c r="C235">
        <f>J15*100</f>
        <v>90.450036006211931</v>
      </c>
      <c r="D235">
        <f>R15*100</f>
        <v>91.36427968188147</v>
      </c>
      <c r="E235">
        <f>Z15*100</f>
        <v>92.191000357564263</v>
      </c>
      <c r="F235">
        <f>AH15*100</f>
        <v>92.938576844873168</v>
      </c>
      <c r="G235">
        <f>AP15*100</f>
        <v>91.25414137585166</v>
      </c>
      <c r="H235">
        <f>AX15*100</f>
        <v>92.091405887071659</v>
      </c>
      <c r="I235">
        <f>BF15*100</f>
        <v>92.326859612268251</v>
      </c>
      <c r="J235">
        <f>BN15*100</f>
        <v>92.794181182284746</v>
      </c>
      <c r="K235">
        <f>BV15*100</f>
        <v>93.435478756802553</v>
      </c>
      <c r="L235">
        <f>CD15*100</f>
        <v>94.063917988018005</v>
      </c>
      <c r="M235">
        <f>CL15*100</f>
        <v>94.632195045527368</v>
      </c>
      <c r="N235">
        <f>CV15*100</f>
        <v>95.266659253589893</v>
      </c>
      <c r="O235">
        <f>DB15*100</f>
        <v>95.610749213566976</v>
      </c>
      <c r="P235">
        <f>DJ15*100</f>
        <v>96.030943967707842</v>
      </c>
      <c r="Q235">
        <f>DR15*100</f>
        <v>96.41091235065268</v>
      </c>
      <c r="R235">
        <f>DZ15*100</f>
        <v>96.754505340843394</v>
      </c>
      <c r="S235">
        <f>EH15*100</f>
        <v>97.065205252223521</v>
      </c>
      <c r="T235">
        <f>EP15*100</f>
        <v>97.346161027479667</v>
      </c>
      <c r="U235">
        <f>EX15*100</f>
        <v>97.600220152566436</v>
      </c>
      <c r="V235">
        <f>FF15*100</f>
        <v>97.829957515968275</v>
      </c>
      <c r="W235">
        <f>FN15*100</f>
        <v>98.037701505186519</v>
      </c>
      <c r="X235">
        <f>FV15*100</f>
        <v>98.225557604939979</v>
      </c>
      <c r="Y235">
        <f>GD15*100</f>
        <v>98.395429736246314</v>
      </c>
      <c r="Z235">
        <f>GL15*100</f>
        <v>98.549039552655941</v>
      </c>
      <c r="AA235">
        <f>GT15*100</f>
        <v>98.68794388920567</v>
      </c>
      <c r="AB235">
        <f>HB15*100</f>
        <v>98.8135505409373</v>
      </c>
      <c r="AC235">
        <f>HJ15*100</f>
        <v>98.927132530896117</v>
      </c>
      <c r="AD235">
        <f>HR15*100</f>
        <v>99.02984101221584</v>
      </c>
      <c r="AE235">
        <f>HZ15*100</f>
        <v>99.12271693505204</v>
      </c>
      <c r="AF235">
        <f>IH15*100</f>
        <v>99.206701596609136</v>
      </c>
    </row>
    <row r="236" spans="1:32" x14ac:dyDescent="0.2">
      <c r="A236" t="s">
        <v>642</v>
      </c>
      <c r="B236">
        <f t="shared" ref="B236:H236" si="1195">(B234-B235)^2</f>
        <v>0</v>
      </c>
      <c r="C236">
        <f t="shared" si="1195"/>
        <v>0.72257241974429209</v>
      </c>
      <c r="D236">
        <f t="shared" si="1195"/>
        <v>22.787347264005263</v>
      </c>
      <c r="E236">
        <f t="shared" si="1195"/>
        <v>35.13722787206774</v>
      </c>
      <c r="F236">
        <f t="shared" si="1195"/>
        <v>23.591321536970369</v>
      </c>
      <c r="G236">
        <f t="shared" si="1195"/>
        <v>24.586973059652443</v>
      </c>
      <c r="H236">
        <f t="shared" si="1195"/>
        <v>21.655938167881356</v>
      </c>
    </row>
    <row r="237" spans="1:32" x14ac:dyDescent="0.2">
      <c r="A237" t="s">
        <v>643</v>
      </c>
      <c r="B237">
        <f>SUM(B236:J236)</f>
        <v>128.48138032032145</v>
      </c>
    </row>
    <row r="238" spans="1:32" x14ac:dyDescent="0.2">
      <c r="A238" t="s">
        <v>470</v>
      </c>
      <c r="B238">
        <f>B1</f>
        <v>2017</v>
      </c>
      <c r="C238">
        <f>J1</f>
        <v>2018</v>
      </c>
      <c r="D238">
        <f>R1</f>
        <v>2019</v>
      </c>
      <c r="E238">
        <f>Z1</f>
        <v>2020</v>
      </c>
      <c r="F238">
        <f>AH1</f>
        <v>2021</v>
      </c>
      <c r="G238">
        <f>AP1</f>
        <v>2022</v>
      </c>
      <c r="H238">
        <f>AX1</f>
        <v>2023</v>
      </c>
      <c r="I238">
        <f>BF1</f>
        <v>2024</v>
      </c>
      <c r="J238">
        <f>BN1</f>
        <v>2025</v>
      </c>
      <c r="K238">
        <f>BV1</f>
        <v>2026</v>
      </c>
      <c r="L238">
        <f>CD1</f>
        <v>2027</v>
      </c>
      <c r="M238">
        <f>CL1</f>
        <v>2028</v>
      </c>
      <c r="N238">
        <f>CT1</f>
        <v>2029</v>
      </c>
      <c r="O238">
        <f>DB1</f>
        <v>2030</v>
      </c>
      <c r="P238">
        <f>DJ1</f>
        <v>2031</v>
      </c>
      <c r="Q238">
        <f>DR1</f>
        <v>2032</v>
      </c>
      <c r="R238">
        <f>DZ1</f>
        <v>2033</v>
      </c>
      <c r="S238">
        <f>EH1</f>
        <v>2034</v>
      </c>
      <c r="T238">
        <f>EP1</f>
        <v>2035</v>
      </c>
      <c r="U238">
        <f>EX1</f>
        <v>2036</v>
      </c>
      <c r="V238">
        <f>FF1</f>
        <v>2037</v>
      </c>
      <c r="W238">
        <f>FN1</f>
        <v>2038</v>
      </c>
      <c r="X238">
        <f>FV1</f>
        <v>2039</v>
      </c>
      <c r="Y238">
        <f>GD1</f>
        <v>2040</v>
      </c>
      <c r="Z238">
        <f>GL1</f>
        <v>2041</v>
      </c>
      <c r="AA238">
        <f>GT1</f>
        <v>2042</v>
      </c>
      <c r="AB238">
        <f>HB1</f>
        <v>2043</v>
      </c>
      <c r="AC238">
        <f>HJ1</f>
        <v>2044</v>
      </c>
      <c r="AD238">
        <f>HR1</f>
        <v>2045</v>
      </c>
      <c r="AE238">
        <f>HZ1</f>
        <v>2046</v>
      </c>
      <c r="AF238">
        <f>IH1</f>
        <v>2047</v>
      </c>
    </row>
    <row r="239" spans="1:32" x14ac:dyDescent="0.2">
      <c r="A239" t="s">
        <v>944</v>
      </c>
      <c r="B239">
        <v>36.505893707275391</v>
      </c>
      <c r="C239">
        <v>39.367132928806903</v>
      </c>
      <c r="D239">
        <v>51.433329683857146</v>
      </c>
      <c r="E239">
        <v>66.21875</v>
      </c>
      <c r="F239">
        <v>62.392333333333298</v>
      </c>
      <c r="G239">
        <v>64.970833333333303</v>
      </c>
      <c r="H239">
        <v>62.078166666666696</v>
      </c>
    </row>
    <row r="240" spans="1:32" x14ac:dyDescent="0.2">
      <c r="A240" t="s">
        <v>927</v>
      </c>
      <c r="B240">
        <f>B16*100</f>
        <v>36.505893707275391</v>
      </c>
      <c r="C240">
        <f>J16*100</f>
        <v>39.367114085113833</v>
      </c>
      <c r="D240">
        <f>R16*100</f>
        <v>45.171662931720476</v>
      </c>
      <c r="E240">
        <f>Z16*100</f>
        <v>50.420526743642483</v>
      </c>
      <c r="F240">
        <f>AH16*100</f>
        <v>55.166902740152636</v>
      </c>
      <c r="G240">
        <f>AP16*100</f>
        <v>53.992708372837313</v>
      </c>
      <c r="H240">
        <f>AX16*100</f>
        <v>57.038004027413926</v>
      </c>
      <c r="I240">
        <f>BF16*100</f>
        <v>61.150871168863453</v>
      </c>
      <c r="J240">
        <f>BN16*100</f>
        <v>64.870002504043441</v>
      </c>
      <c r="K240">
        <f>BV16*100</f>
        <v>68.233091418080861</v>
      </c>
      <c r="L240">
        <f>CD16*100</f>
        <v>71.27422280721315</v>
      </c>
      <c r="M240">
        <f>CL16*100</f>
        <v>74.024218529111209</v>
      </c>
      <c r="N240">
        <f>CV16*100</f>
        <v>77.09450587366166</v>
      </c>
      <c r="O240">
        <f>DB16*100</f>
        <v>78.759619580754119</v>
      </c>
      <c r="P240">
        <f>DJ16*100</f>
        <v>80.793018186208755</v>
      </c>
      <c r="Q240">
        <f>DR16*100</f>
        <v>82.631754087556729</v>
      </c>
      <c r="R240">
        <f>DZ16*100</f>
        <v>84.294462867741998</v>
      </c>
      <c r="S240">
        <f>EH16*100</f>
        <v>85.797996075354064</v>
      </c>
      <c r="T240">
        <f>EP16*100</f>
        <v>87.157592015023283</v>
      </c>
      <c r="U240">
        <f>EX16*100</f>
        <v>88.387030187593368</v>
      </c>
      <c r="V240">
        <f>FF16*100</f>
        <v>89.498770945321894</v>
      </c>
      <c r="W240">
        <f>FN16*100</f>
        <v>90.50408177751369</v>
      </c>
      <c r="X240">
        <f>FV16*100</f>
        <v>91.413151506491758</v>
      </c>
      <c r="Y240">
        <f>GD16*100</f>
        <v>92.23519355128154</v>
      </c>
      <c r="Z240">
        <f>GL16*100</f>
        <v>92.978539305585571</v>
      </c>
      <c r="AA240">
        <f>GT16*100</f>
        <v>93.650722576434163</v>
      </c>
      <c r="AB240">
        <f>HB16*100</f>
        <v>94.258555939297338</v>
      </c>
      <c r="AC240">
        <f>HJ16*100</f>
        <v>94.808199783517296</v>
      </c>
      <c r="AD240">
        <f>HR16*100</f>
        <v>95.305224747836164</v>
      </c>
      <c r="AE240">
        <f>HZ16*100</f>
        <v>95.7546681788033</v>
      </c>
      <c r="AF240">
        <f>IH16*100</f>
        <v>96.161085184267662</v>
      </c>
    </row>
    <row r="241" spans="1:32" x14ac:dyDescent="0.2">
      <c r="A241" t="s">
        <v>644</v>
      </c>
      <c r="B241">
        <f t="shared" ref="B241:H241" si="1196">(B239-B240)^2</f>
        <v>0</v>
      </c>
      <c r="C241">
        <f t="shared" si="1196"/>
        <v>3.550847685135543E-10</v>
      </c>
      <c r="D241">
        <f t="shared" si="1196"/>
        <v>39.208470514813783</v>
      </c>
      <c r="E241">
        <f t="shared" si="1196"/>
        <v>249.5838580577155</v>
      </c>
      <c r="F241">
        <f t="shared" si="1196"/>
        <v>52.206847256871043</v>
      </c>
      <c r="G241">
        <f t="shared" si="1196"/>
        <v>120.51922764826507</v>
      </c>
      <c r="H241">
        <f t="shared" si="1196"/>
        <v>25.403239430119452</v>
      </c>
    </row>
    <row r="242" spans="1:32" x14ac:dyDescent="0.2">
      <c r="A242" t="s">
        <v>645</v>
      </c>
      <c r="B242">
        <f>SUM(B241:J241)</f>
        <v>486.92164290813992</v>
      </c>
    </row>
    <row r="243" spans="1:32" x14ac:dyDescent="0.2">
      <c r="A243" t="s">
        <v>470</v>
      </c>
      <c r="B243">
        <f>B1</f>
        <v>2017</v>
      </c>
      <c r="C243">
        <f>J1</f>
        <v>2018</v>
      </c>
      <c r="D243">
        <f>R1</f>
        <v>2019</v>
      </c>
      <c r="E243">
        <f>Z1</f>
        <v>2020</v>
      </c>
      <c r="F243">
        <f>AH1</f>
        <v>2021</v>
      </c>
      <c r="G243">
        <f>AP1</f>
        <v>2022</v>
      </c>
      <c r="H243">
        <f>AX1</f>
        <v>2023</v>
      </c>
      <c r="I243">
        <f>BF1</f>
        <v>2024</v>
      </c>
      <c r="J243">
        <f>BN1</f>
        <v>2025</v>
      </c>
      <c r="K243">
        <f>BV1</f>
        <v>2026</v>
      </c>
      <c r="L243">
        <f>CD1</f>
        <v>2027</v>
      </c>
      <c r="M243">
        <f>CL1</f>
        <v>2028</v>
      </c>
      <c r="N243">
        <f>CT1</f>
        <v>2029</v>
      </c>
      <c r="O243">
        <f>DB1</f>
        <v>2030</v>
      </c>
      <c r="P243">
        <f>DJ1</f>
        <v>2031</v>
      </c>
      <c r="Q243">
        <f>DR1</f>
        <v>2032</v>
      </c>
      <c r="R243">
        <f>DZ1</f>
        <v>2033</v>
      </c>
      <c r="S243">
        <f>EH1</f>
        <v>2034</v>
      </c>
      <c r="T243">
        <f>EP1</f>
        <v>2035</v>
      </c>
      <c r="U243">
        <f>EX1</f>
        <v>2036</v>
      </c>
      <c r="V243">
        <f>FF1</f>
        <v>2037</v>
      </c>
      <c r="W243">
        <f>FN1</f>
        <v>2038</v>
      </c>
      <c r="X243">
        <f>FV1</f>
        <v>2039</v>
      </c>
      <c r="Y243">
        <f>GD1</f>
        <v>2040</v>
      </c>
      <c r="Z243">
        <f>GL1</f>
        <v>2041</v>
      </c>
      <c r="AA243">
        <f>GT1</f>
        <v>2042</v>
      </c>
      <c r="AB243">
        <f>HB1</f>
        <v>2043</v>
      </c>
      <c r="AC243">
        <f>HJ1</f>
        <v>2044</v>
      </c>
      <c r="AD243">
        <f>HR1</f>
        <v>2045</v>
      </c>
      <c r="AE243">
        <f>HZ1</f>
        <v>2046</v>
      </c>
      <c r="AF243">
        <f>IH1</f>
        <v>2047</v>
      </c>
    </row>
    <row r="244" spans="1:32" x14ac:dyDescent="0.2">
      <c r="A244" t="s">
        <v>945</v>
      </c>
      <c r="B244">
        <v>75.303482055664063</v>
      </c>
      <c r="C244">
        <v>74.279603066872184</v>
      </c>
      <c r="D244">
        <v>76.323667918013101</v>
      </c>
      <c r="E244">
        <v>74.903599999999997</v>
      </c>
      <c r="F244">
        <v>77.292599999999993</v>
      </c>
      <c r="G244">
        <v>76.025999999999996</v>
      </c>
      <c r="H244">
        <v>76.363600000000005</v>
      </c>
    </row>
    <row r="245" spans="1:32" x14ac:dyDescent="0.2">
      <c r="A245" t="s">
        <v>928</v>
      </c>
      <c r="B245">
        <f>B17*100</f>
        <v>75.303482055664063</v>
      </c>
      <c r="C245">
        <f>J17*100</f>
        <v>74.279589503154611</v>
      </c>
      <c r="D245">
        <f>R17*100</f>
        <v>76.323658641379907</v>
      </c>
      <c r="E245">
        <f>Z17*100</f>
        <v>74.903597920307746</v>
      </c>
      <c r="F245">
        <f>AH17*100</f>
        <v>77.306143825019319</v>
      </c>
      <c r="G245">
        <f>AP17*100</f>
        <v>74.402082833674228</v>
      </c>
      <c r="H245">
        <f>AX17*100</f>
        <v>76.272698961956948</v>
      </c>
      <c r="I245">
        <f>BF17*100</f>
        <v>78.544177136874836</v>
      </c>
      <c r="J245">
        <f>BN17*100</f>
        <v>80.598200611734043</v>
      </c>
      <c r="K245">
        <f>BV17*100</f>
        <v>82.455586908401997</v>
      </c>
      <c r="L245">
        <f>CD17*100</f>
        <v>84.135160631524272</v>
      </c>
      <c r="M245">
        <f>CL17*100</f>
        <v>85.653944255837374</v>
      </c>
      <c r="N245">
        <f>CV17*100</f>
        <v>87.349620399515345</v>
      </c>
      <c r="O245">
        <f>DB17*100</f>
        <v>88.269239077760346</v>
      </c>
      <c r="P245">
        <f>DJ17*100</f>
        <v>89.39225628068678</v>
      </c>
      <c r="Q245">
        <f>DR17*100</f>
        <v>90.407764033722984</v>
      </c>
      <c r="R245">
        <f>DZ17*100</f>
        <v>91.326054504954712</v>
      </c>
      <c r="S245">
        <f>EH17*100</f>
        <v>92.156434565602964</v>
      </c>
      <c r="T245">
        <f>EP17*100</f>
        <v>92.907320115136443</v>
      </c>
      <c r="U245">
        <f>EX17*100</f>
        <v>93.5863213763879</v>
      </c>
      <c r="V245">
        <f>FF17*100</f>
        <v>94.200320025140002</v>
      </c>
      <c r="W245">
        <f>FN17*100</f>
        <v>94.755538935889291</v>
      </c>
      <c r="X245">
        <f>FV17*100</f>
        <v>95.25760525066076</v>
      </c>
      <c r="Y245">
        <f>GD17*100</f>
        <v>95.711607410075715</v>
      </c>
      <c r="Z245">
        <f>GL17*100</f>
        <v>96.122146724682494</v>
      </c>
      <c r="AA245">
        <f>GT17*100</f>
        <v>96.493384009225394</v>
      </c>
      <c r="AB245">
        <f>HB17*100</f>
        <v>96.829081752489728</v>
      </c>
      <c r="AC245">
        <f>HJ17*100</f>
        <v>97.132642250114657</v>
      </c>
      <c r="AD245">
        <f>HR17*100</f>
        <v>97.407142086849419</v>
      </c>
      <c r="AE245">
        <f>HZ17*100</f>
        <v>97.655363317730746</v>
      </c>
      <c r="AF245">
        <f>IH17*100</f>
        <v>97.87982166420251</v>
      </c>
    </row>
    <row r="246" spans="1:32" x14ac:dyDescent="0.2">
      <c r="A246" t="s">
        <v>646</v>
      </c>
      <c r="B246">
        <f t="shared" ref="B246:H246" si="1197">(B244-B245)^2</f>
        <v>0</v>
      </c>
      <c r="C246">
        <f t="shared" si="1197"/>
        <v>1.8397443440299156E-10</v>
      </c>
      <c r="D246">
        <f t="shared" si="1197"/>
        <v>8.6055923400569104E-11</v>
      </c>
      <c r="E246">
        <f t="shared" si="1197"/>
        <v>4.3251198601172735E-12</v>
      </c>
      <c r="F246">
        <f t="shared" si="1197"/>
        <v>1.8343519615412229E-4</v>
      </c>
      <c r="G246">
        <f t="shared" si="1197"/>
        <v>2.6371069630875117</v>
      </c>
      <c r="H246">
        <f t="shared" si="1197"/>
        <v>8.2629987173053442E-3</v>
      </c>
    </row>
    <row r="247" spans="1:32" x14ac:dyDescent="0.2">
      <c r="A247" t="s">
        <v>647</v>
      </c>
      <c r="B247">
        <f>SUM(B246:J246)</f>
        <v>2.6455533972753269</v>
      </c>
    </row>
    <row r="248" spans="1:32" x14ac:dyDescent="0.2">
      <c r="A248" t="s">
        <v>470</v>
      </c>
      <c r="B248">
        <f>B1</f>
        <v>2017</v>
      </c>
      <c r="C248">
        <f>J1</f>
        <v>2018</v>
      </c>
      <c r="D248">
        <f>R1</f>
        <v>2019</v>
      </c>
      <c r="E248">
        <f>Z1</f>
        <v>2020</v>
      </c>
      <c r="F248">
        <f>AH1</f>
        <v>2021</v>
      </c>
      <c r="G248">
        <f>AP1</f>
        <v>2022</v>
      </c>
      <c r="H248">
        <f>AX1</f>
        <v>2023</v>
      </c>
      <c r="I248">
        <f>BF1</f>
        <v>2024</v>
      </c>
      <c r="J248">
        <f>BN1</f>
        <v>2025</v>
      </c>
      <c r="K248">
        <f>BV1</f>
        <v>2026</v>
      </c>
      <c r="L248">
        <f>CD1</f>
        <v>2027</v>
      </c>
      <c r="M248">
        <f>CL1</f>
        <v>2028</v>
      </c>
      <c r="N248">
        <f>CT1</f>
        <v>2029</v>
      </c>
      <c r="O248">
        <f>DB1</f>
        <v>2030</v>
      </c>
      <c r="P248">
        <f>DJ1</f>
        <v>2031</v>
      </c>
      <c r="Q248">
        <f>DR1</f>
        <v>2032</v>
      </c>
      <c r="R248">
        <f>DZ1</f>
        <v>2033</v>
      </c>
      <c r="S248">
        <f>EH1</f>
        <v>2034</v>
      </c>
      <c r="T248">
        <f>EP1</f>
        <v>2035</v>
      </c>
      <c r="U248">
        <f>EX1</f>
        <v>2036</v>
      </c>
      <c r="V248">
        <f>FF1</f>
        <v>2037</v>
      </c>
      <c r="W248">
        <f>FN1</f>
        <v>2038</v>
      </c>
      <c r="X248">
        <f>FV1</f>
        <v>2039</v>
      </c>
      <c r="Y248">
        <f>GD1</f>
        <v>2040</v>
      </c>
      <c r="Z248">
        <f>GL1</f>
        <v>2041</v>
      </c>
      <c r="AA248">
        <f>GT1</f>
        <v>2042</v>
      </c>
      <c r="AB248">
        <f>HB1</f>
        <v>2043</v>
      </c>
      <c r="AC248">
        <f>HJ1</f>
        <v>2044</v>
      </c>
      <c r="AD248">
        <f>HR1</f>
        <v>2045</v>
      </c>
      <c r="AE248">
        <f>HZ1</f>
        <v>2046</v>
      </c>
      <c r="AF248">
        <f>IH1</f>
        <v>2047</v>
      </c>
    </row>
    <row r="249" spans="1:32" x14ac:dyDescent="0.2">
      <c r="A249" t="s">
        <v>946</v>
      </c>
      <c r="B249">
        <v>51.361991882324219</v>
      </c>
      <c r="C249">
        <v>48.372157765985769</v>
      </c>
      <c r="D249">
        <v>42.945065830805447</v>
      </c>
      <c r="E249">
        <v>44.958999999999996</v>
      </c>
      <c r="F249">
        <v>40.757300000000001</v>
      </c>
      <c r="G249">
        <v>41.399444444444399</v>
      </c>
      <c r="H249">
        <v>34.670272727272703</v>
      </c>
    </row>
    <row r="250" spans="1:32" x14ac:dyDescent="0.2">
      <c r="A250" t="s">
        <v>929</v>
      </c>
      <c r="B250">
        <f>B18*100</f>
        <v>51.361991882324219</v>
      </c>
      <c r="C250">
        <f>J18*100</f>
        <v>48.10205030868881</v>
      </c>
      <c r="D250">
        <f>R18*100</f>
        <v>44.647236191936962</v>
      </c>
      <c r="E250">
        <f>Z18*100</f>
        <v>42.340347656729755</v>
      </c>
      <c r="F250">
        <f>AH18*100</f>
        <v>40.569635422581015</v>
      </c>
      <c r="G250">
        <f>AP18*100</f>
        <v>42.43963077346686</v>
      </c>
      <c r="H250">
        <f>AX18*100</f>
        <v>39.389341143224534</v>
      </c>
      <c r="I250">
        <f>BF18*100</f>
        <v>36.760093710028251</v>
      </c>
      <c r="J250">
        <f>BN18*100</f>
        <v>34.624930644574363</v>
      </c>
      <c r="K250">
        <f>BV18*100</f>
        <v>33.089653791519481</v>
      </c>
      <c r="L250">
        <f>CD18*100</f>
        <v>32.220289052312928</v>
      </c>
      <c r="M250">
        <f>CL18*100</f>
        <v>32.119078483372448</v>
      </c>
      <c r="N250">
        <f>CV18*100</f>
        <v>33.17943892281032</v>
      </c>
      <c r="O250">
        <f>DB18*100</f>
        <v>34.462041484514678</v>
      </c>
      <c r="P250">
        <f>DJ18*100</f>
        <v>36.937798422897927</v>
      </c>
      <c r="Q250">
        <f>DR18*100</f>
        <v>40.296727120268407</v>
      </c>
      <c r="R250">
        <f>DZ18*100</f>
        <v>44.541978665168735</v>
      </c>
      <c r="S250">
        <f>EH18*100</f>
        <v>49.582574831404472</v>
      </c>
      <c r="T250">
        <f>EP18*100</f>
        <v>54.409170212697354</v>
      </c>
      <c r="U250">
        <f>EX18*100</f>
        <v>58.773702668388303</v>
      </c>
      <c r="V250">
        <f>FF18*100</f>
        <v>62.720406722059586</v>
      </c>
      <c r="W250">
        <f>FN18*100</f>
        <v>66.289282207669714</v>
      </c>
      <c r="X250">
        <f>FV18*100</f>
        <v>69.516499667752925</v>
      </c>
      <c r="Y250">
        <f>GD18*100</f>
        <v>72.434766941760998</v>
      </c>
      <c r="Z250">
        <f>GL18*100</f>
        <v>75.073660659920009</v>
      </c>
      <c r="AA250">
        <f>GT18*100</f>
        <v>77.459926002290331</v>
      </c>
      <c r="AB250">
        <f>HB18*100</f>
        <v>79.617747761087927</v>
      </c>
      <c r="AC250">
        <f>HJ18*100</f>
        <v>81.568995453482131</v>
      </c>
      <c r="AD250">
        <f>HR18*100</f>
        <v>83.333444969087751</v>
      </c>
      <c r="AE250">
        <f>HZ18*100</f>
        <v>84.928978998548104</v>
      </c>
      <c r="AF250">
        <f>IH18*100</f>
        <v>86.37176827455194</v>
      </c>
    </row>
    <row r="251" spans="1:32" x14ac:dyDescent="0.2">
      <c r="A251" t="s">
        <v>648</v>
      </c>
      <c r="B251">
        <f t="shared" ref="B251:H251" si="1198">(B249-B250)^2</f>
        <v>0</v>
      </c>
      <c r="C251">
        <f t="shared" si="1198"/>
        <v>7.2958038487428448E-2</v>
      </c>
      <c r="D251">
        <f t="shared" si="1198"/>
        <v>2.897383938314591</v>
      </c>
      <c r="E251">
        <f t="shared" si="1198"/>
        <v>6.8573400949147274</v>
      </c>
      <c r="F251">
        <f t="shared" si="1198"/>
        <v>3.5217993617846347E-2</v>
      </c>
      <c r="G251">
        <f t="shared" si="1198"/>
        <v>1.0819875990852237</v>
      </c>
      <c r="H251">
        <f t="shared" si="1198"/>
        <v>22.269606714434126</v>
      </c>
    </row>
    <row r="252" spans="1:32" x14ac:dyDescent="0.2">
      <c r="A252" t="s">
        <v>649</v>
      </c>
      <c r="B252">
        <f>SUM(B251:J251)</f>
        <v>33.214494378853942</v>
      </c>
    </row>
    <row r="253" spans="1:32" x14ac:dyDescent="0.2">
      <c r="A253" t="s">
        <v>470</v>
      </c>
      <c r="B253">
        <f>B1</f>
        <v>2017</v>
      </c>
      <c r="C253">
        <f>J1</f>
        <v>2018</v>
      </c>
      <c r="D253">
        <f>R1</f>
        <v>2019</v>
      </c>
      <c r="E253">
        <f>Z1</f>
        <v>2020</v>
      </c>
      <c r="F253">
        <f>AH1</f>
        <v>2021</v>
      </c>
      <c r="G253">
        <f>AP1</f>
        <v>2022</v>
      </c>
      <c r="H253">
        <f>AX1</f>
        <v>2023</v>
      </c>
      <c r="I253">
        <f>BF1</f>
        <v>2024</v>
      </c>
      <c r="J253">
        <f>BN1</f>
        <v>2025</v>
      </c>
      <c r="K253">
        <f>BV1</f>
        <v>2026</v>
      </c>
      <c r="L253">
        <f>CD1</f>
        <v>2027</v>
      </c>
      <c r="M253">
        <f>CL1</f>
        <v>2028</v>
      </c>
      <c r="N253">
        <f>CT1</f>
        <v>2029</v>
      </c>
      <c r="O253">
        <f>DB1</f>
        <v>2030</v>
      </c>
      <c r="P253">
        <f>DJ1</f>
        <v>2031</v>
      </c>
      <c r="Q253">
        <f>DR1</f>
        <v>2032</v>
      </c>
      <c r="R253">
        <f>DZ1</f>
        <v>2033</v>
      </c>
      <c r="S253">
        <f>EH1</f>
        <v>2034</v>
      </c>
      <c r="T253">
        <f>EP1</f>
        <v>2035</v>
      </c>
      <c r="U253">
        <f>EX1</f>
        <v>2036</v>
      </c>
      <c r="V253">
        <f>FF1</f>
        <v>2037</v>
      </c>
      <c r="W253">
        <f>FN1</f>
        <v>2038</v>
      </c>
      <c r="X253">
        <f>FV1</f>
        <v>2039</v>
      </c>
      <c r="Y253">
        <f>GD1</f>
        <v>2040</v>
      </c>
      <c r="Z253">
        <f>GL1</f>
        <v>2041</v>
      </c>
      <c r="AA253">
        <f>GT1</f>
        <v>2042</v>
      </c>
      <c r="AB253">
        <f>HB1</f>
        <v>2043</v>
      </c>
      <c r="AC253">
        <f>HJ1</f>
        <v>2044</v>
      </c>
      <c r="AD253">
        <f>HR1</f>
        <v>2045</v>
      </c>
      <c r="AE253">
        <f>HZ1</f>
        <v>2046</v>
      </c>
      <c r="AF253">
        <f>IH1</f>
        <v>2047</v>
      </c>
    </row>
    <row r="254" spans="1:32" x14ac:dyDescent="0.2">
      <c r="A254" t="s">
        <v>947</v>
      </c>
      <c r="B254">
        <v>50.487140655517578</v>
      </c>
      <c r="C254">
        <v>50</v>
      </c>
      <c r="D254">
        <v>50</v>
      </c>
      <c r="E254">
        <v>50</v>
      </c>
      <c r="F254">
        <v>46.033333333333303</v>
      </c>
      <c r="G254">
        <v>69.05</v>
      </c>
      <c r="H254">
        <v>37.93</v>
      </c>
    </row>
    <row r="255" spans="1:32" x14ac:dyDescent="0.2">
      <c r="A255" t="s">
        <v>930</v>
      </c>
      <c r="B255">
        <f>B19*100</f>
        <v>50.487140655517578</v>
      </c>
      <c r="C255">
        <f>J19*100</f>
        <v>49.999995973709431</v>
      </c>
      <c r="D255">
        <f>R19*100</f>
        <v>49.999992812981397</v>
      </c>
      <c r="E255">
        <f>Z19*100</f>
        <v>49.999991488332029</v>
      </c>
      <c r="F255">
        <f>AH19*100</f>
        <v>46.170684983215317</v>
      </c>
      <c r="G255">
        <f>AP19*100</f>
        <v>46.703722430810444</v>
      </c>
      <c r="H255">
        <f>AX19*100</f>
        <v>43.189976606456987</v>
      </c>
      <c r="I255">
        <f>BF19*100</f>
        <v>40.012611097245539</v>
      </c>
      <c r="J255">
        <f>BN19*100</f>
        <v>37.13942331309952</v>
      </c>
      <c r="K255">
        <f>BV19*100</f>
        <v>34.541293504289861</v>
      </c>
      <c r="L255">
        <f>CD19*100</f>
        <v>32.191889632857325</v>
      </c>
      <c r="M255">
        <f>CL19*100</f>
        <v>30.067400497485348</v>
      </c>
      <c r="N255">
        <f>CV19*100</f>
        <v>27.695472405369831</v>
      </c>
      <c r="O255">
        <f>DB19*100</f>
        <v>26.409100956968008</v>
      </c>
      <c r="P255">
        <f>DJ19*100</f>
        <v>24.838213696755371</v>
      </c>
      <c r="Q255">
        <f>DR19*100</f>
        <v>23.417711688651899</v>
      </c>
      <c r="R255">
        <f>DZ19*100</f>
        <v>22.133198148989695</v>
      </c>
      <c r="S255">
        <f>EH19*100</f>
        <v>20.971654536827952</v>
      </c>
      <c r="T255">
        <f>EP19*100</f>
        <v>19.921308611078846</v>
      </c>
      <c r="U255">
        <f>EX19*100</f>
        <v>18.971515118878806</v>
      </c>
      <c r="V255">
        <f>FF19*100</f>
        <v>18.112647905982104</v>
      </c>
      <c r="W255">
        <f>FN19*100</f>
        <v>17.336002355715909</v>
      </c>
      <c r="X255">
        <f>FV19*100</f>
        <v>16.633707167715965</v>
      </c>
      <c r="Y255">
        <f>GD19*100</f>
        <v>15.998644582320562</v>
      </c>
      <c r="Z255">
        <f>GL19*100</f>
        <v>15.424378242097372</v>
      </c>
      <c r="AA255">
        <f>GT19*100</f>
        <v>14.905087959379784</v>
      </c>
      <c r="AB255">
        <f>HB19*100</f>
        <v>14.435510728682083</v>
      </c>
      <c r="AC255">
        <f>HJ19*100</f>
        <v>14.01088738615433</v>
      </c>
      <c r="AD255">
        <f>HR19*100</f>
        <v>13.626914375470777</v>
      </c>
      <c r="AE255">
        <f>HZ19*100</f>
        <v>13.279700131299183</v>
      </c>
      <c r="AF255">
        <f>IH19*100</f>
        <v>12.965725638297613</v>
      </c>
    </row>
    <row r="256" spans="1:32" x14ac:dyDescent="0.2">
      <c r="A256" t="s">
        <v>650</v>
      </c>
      <c r="B256">
        <f t="shared" ref="B256:H256" si="1199">(B254-B255)^2</f>
        <v>0</v>
      </c>
      <c r="C256">
        <f t="shared" si="1199"/>
        <v>1.6211015742024342E-11</v>
      </c>
      <c r="D256">
        <f t="shared" si="1199"/>
        <v>5.1653236405052559E-11</v>
      </c>
      <c r="E256">
        <f t="shared" si="1199"/>
        <v>7.2448491654228566E-11</v>
      </c>
      <c r="F256">
        <f t="shared" si="1199"/>
        <v>1.886547572531129E-2</v>
      </c>
      <c r="G256">
        <f t="shared" si="1199"/>
        <v>499.35612119926418</v>
      </c>
      <c r="H256">
        <f t="shared" si="1199"/>
        <v>27.667353900474769</v>
      </c>
    </row>
    <row r="257" spans="1:10" x14ac:dyDescent="0.2">
      <c r="A257" t="s">
        <v>651</v>
      </c>
      <c r="B257">
        <f>SUM(B256:J256)</f>
        <v>527.0423405756045</v>
      </c>
      <c r="C257">
        <v>2018</v>
      </c>
      <c r="D257">
        <v>2019</v>
      </c>
      <c r="E257">
        <v>2020</v>
      </c>
      <c r="F257">
        <v>2021</v>
      </c>
      <c r="G257">
        <v>2022</v>
      </c>
      <c r="H257">
        <v>2023</v>
      </c>
    </row>
    <row r="258" spans="1:10" x14ac:dyDescent="0.2">
      <c r="A258" t="s">
        <v>652</v>
      </c>
      <c r="B258">
        <f t="shared" ref="B258:H258" si="1200">B176</f>
        <v>0</v>
      </c>
      <c r="C258">
        <f t="shared" si="1200"/>
        <v>60.369736727989277</v>
      </c>
      <c r="D258">
        <f t="shared" si="1200"/>
        <v>634.92160572074761</v>
      </c>
      <c r="E258">
        <f t="shared" si="1200"/>
        <v>480.23480761786078</v>
      </c>
      <c r="F258">
        <f t="shared" si="1200"/>
        <v>243.58567808736584</v>
      </c>
      <c r="G258">
        <f t="shared" si="1200"/>
        <v>26.57970430697539</v>
      </c>
      <c r="H258">
        <f t="shared" si="1200"/>
        <v>21.666097438551922</v>
      </c>
      <c r="I258">
        <f t="shared" ref="I258:I274" si="1201">SUM(B258:H258)</f>
        <v>1467.3576298994908</v>
      </c>
      <c r="J258">
        <f>MEDIAN(I258:I274)</f>
        <v>134.61538426815537</v>
      </c>
    </row>
    <row r="259" spans="1:10" x14ac:dyDescent="0.2">
      <c r="A259" t="s">
        <v>653</v>
      </c>
      <c r="B259">
        <f t="shared" ref="B259:H259" si="1202">B181</f>
        <v>0</v>
      </c>
      <c r="C259">
        <f t="shared" si="1202"/>
        <v>0.18263265586903826</v>
      </c>
      <c r="D259">
        <f t="shared" si="1202"/>
        <v>0.43077188723262927</v>
      </c>
      <c r="E259">
        <f t="shared" si="1202"/>
        <v>7.3491595625579872E-2</v>
      </c>
      <c r="F259">
        <f t="shared" si="1202"/>
        <v>41.734177321573767</v>
      </c>
      <c r="G259">
        <f t="shared" si="1202"/>
        <v>93.550818190887924</v>
      </c>
      <c r="H259">
        <f t="shared" si="1202"/>
        <v>71.453756049598837</v>
      </c>
      <c r="I259">
        <f t="shared" si="1201"/>
        <v>207.42564770078778</v>
      </c>
    </row>
    <row r="260" spans="1:10" x14ac:dyDescent="0.2">
      <c r="A260" t="s">
        <v>654</v>
      </c>
      <c r="B260">
        <f t="shared" ref="B260:H260" si="1203">B186</f>
        <v>1.2621774483536189E-29</v>
      </c>
      <c r="C260">
        <f t="shared" si="1203"/>
        <v>1.3594332614942961</v>
      </c>
      <c r="D260">
        <f t="shared" si="1203"/>
        <v>11.541279543019957</v>
      </c>
      <c r="E260">
        <f t="shared" si="1203"/>
        <v>2.1235479119825231</v>
      </c>
      <c r="F260">
        <f t="shared" si="1203"/>
        <v>0.21240823096419045</v>
      </c>
      <c r="G260">
        <f t="shared" si="1203"/>
        <v>0.67604515832707479</v>
      </c>
      <c r="H260">
        <f t="shared" si="1203"/>
        <v>2.1353482667313501E-7</v>
      </c>
      <c r="I260">
        <f t="shared" si="1201"/>
        <v>15.912714319322868</v>
      </c>
    </row>
    <row r="261" spans="1:10" x14ac:dyDescent="0.2">
      <c r="A261" t="s">
        <v>655</v>
      </c>
      <c r="B261">
        <f t="shared" ref="B261:H261" si="1204">B191</f>
        <v>0</v>
      </c>
      <c r="C261">
        <f t="shared" si="1204"/>
        <v>55.104924979058254</v>
      </c>
      <c r="D261">
        <f t="shared" si="1204"/>
        <v>18.78090443377225</v>
      </c>
      <c r="E261">
        <f t="shared" si="1204"/>
        <v>5.0382011038176771</v>
      </c>
      <c r="F261">
        <f t="shared" si="1204"/>
        <v>8.373712152283284</v>
      </c>
      <c r="G261">
        <f t="shared" si="1204"/>
        <v>9.3873749684463603E-2</v>
      </c>
      <c r="H261">
        <f t="shared" si="1204"/>
        <v>2.2027781060989615</v>
      </c>
      <c r="I261">
        <f t="shared" si="1201"/>
        <v>89.594394524714886</v>
      </c>
    </row>
    <row r="262" spans="1:10" x14ac:dyDescent="0.2">
      <c r="A262" t="s">
        <v>656</v>
      </c>
      <c r="B262">
        <f t="shared" ref="B262:H262" si="1205">B196</f>
        <v>0</v>
      </c>
      <c r="C262">
        <f t="shared" si="1205"/>
        <v>8.5811009971285035</v>
      </c>
      <c r="D262">
        <f t="shared" si="1205"/>
        <v>5.1367098068639843</v>
      </c>
      <c r="E262">
        <f t="shared" si="1205"/>
        <v>9.5448559378669113</v>
      </c>
      <c r="F262">
        <f t="shared" si="1205"/>
        <v>1.9933319401097556E-2</v>
      </c>
      <c r="G262">
        <f t="shared" si="1205"/>
        <v>17.657695969532821</v>
      </c>
      <c r="H262">
        <f t="shared" si="1205"/>
        <v>1.6735671020302486E-3</v>
      </c>
      <c r="I262">
        <f t="shared" si="1201"/>
        <v>40.941969597895351</v>
      </c>
    </row>
    <row r="263" spans="1:10" x14ac:dyDescent="0.2">
      <c r="A263" t="s">
        <v>657</v>
      </c>
      <c r="B263">
        <f t="shared" ref="B263:H263" si="1206">B201</f>
        <v>0</v>
      </c>
      <c r="C263">
        <f t="shared" si="1206"/>
        <v>55.812117144174081</v>
      </c>
      <c r="D263">
        <f t="shared" si="1206"/>
        <v>58.774321885610071</v>
      </c>
      <c r="E263">
        <f t="shared" si="1206"/>
        <v>7.148402636171905E-3</v>
      </c>
      <c r="F263">
        <f t="shared" si="1206"/>
        <v>6.7322700156399176</v>
      </c>
      <c r="G263">
        <f t="shared" si="1206"/>
        <v>12.927807752255687</v>
      </c>
      <c r="H263">
        <f t="shared" si="1206"/>
        <v>0.36171906783945629</v>
      </c>
      <c r="I263">
        <f t="shared" si="1201"/>
        <v>134.61538426815537</v>
      </c>
    </row>
    <row r="264" spans="1:10" x14ac:dyDescent="0.2">
      <c r="A264" t="s">
        <v>658</v>
      </c>
      <c r="B264">
        <f t="shared" ref="B264:H264" si="1207">B206</f>
        <v>0</v>
      </c>
      <c r="C264">
        <f t="shared" si="1207"/>
        <v>33.987132209847566</v>
      </c>
      <c r="D264">
        <f t="shared" si="1207"/>
        <v>9.7892110394085581</v>
      </c>
      <c r="E264">
        <f t="shared" si="1207"/>
        <v>0.29705963556266074</v>
      </c>
      <c r="F264">
        <f t="shared" si="1207"/>
        <v>0.12862808662994554</v>
      </c>
      <c r="G264">
        <f t="shared" si="1207"/>
        <v>115.815717529056</v>
      </c>
      <c r="H264">
        <f t="shared" si="1207"/>
        <v>74.912419617823019</v>
      </c>
      <c r="I264">
        <f t="shared" si="1201"/>
        <v>234.93016811832774</v>
      </c>
    </row>
    <row r="265" spans="1:10" x14ac:dyDescent="0.2">
      <c r="A265" t="s">
        <v>659</v>
      </c>
      <c r="B265">
        <f t="shared" ref="B265:H265" si="1208">B211</f>
        <v>0</v>
      </c>
      <c r="C265">
        <f t="shared" si="1208"/>
        <v>53.952649552027275</v>
      </c>
      <c r="D265">
        <f t="shared" si="1208"/>
        <v>48.932706463063369</v>
      </c>
      <c r="E265">
        <f t="shared" si="1208"/>
        <v>9.2947742910305334E-3</v>
      </c>
      <c r="F265">
        <f t="shared" si="1208"/>
        <v>9.3490652539577071E-2</v>
      </c>
      <c r="G265">
        <f t="shared" si="1208"/>
        <v>20.151097471857128</v>
      </c>
      <c r="H265">
        <f t="shared" si="1208"/>
        <v>6.5890404663036231</v>
      </c>
      <c r="I265">
        <f t="shared" si="1201"/>
        <v>129.728279380082</v>
      </c>
    </row>
    <row r="266" spans="1:10" x14ac:dyDescent="0.2">
      <c r="A266" t="s">
        <v>660</v>
      </c>
      <c r="B266">
        <f t="shared" ref="B266:H266" si="1209">B216</f>
        <v>0</v>
      </c>
      <c r="C266">
        <f t="shared" si="1209"/>
        <v>0.4279934456846814</v>
      </c>
      <c r="D266">
        <f t="shared" si="1209"/>
        <v>9.8978090070563098</v>
      </c>
      <c r="E266">
        <f t="shared" si="1209"/>
        <v>204.33754409719151</v>
      </c>
      <c r="F266">
        <f t="shared" si="1209"/>
        <v>103.78477177360433</v>
      </c>
      <c r="G266">
        <f t="shared" si="1209"/>
        <v>83.724190492431561</v>
      </c>
      <c r="H266">
        <f t="shared" si="1209"/>
        <v>159.49355800561389</v>
      </c>
      <c r="I266">
        <f t="shared" si="1201"/>
        <v>561.66586682158231</v>
      </c>
    </row>
    <row r="267" spans="1:10" x14ac:dyDescent="0.2">
      <c r="A267" t="s">
        <v>661</v>
      </c>
      <c r="B267">
        <f t="shared" ref="B267:H267" si="1210">B221</f>
        <v>0</v>
      </c>
      <c r="C267">
        <f t="shared" si="1210"/>
        <v>1369.6550682796196</v>
      </c>
      <c r="D267">
        <f t="shared" si="1210"/>
        <v>1130.9145680762606</v>
      </c>
      <c r="E267">
        <f t="shared" si="1210"/>
        <v>397.33709343540045</v>
      </c>
      <c r="F267">
        <f t="shared" si="1210"/>
        <v>270.74838800824477</v>
      </c>
      <c r="G267">
        <f t="shared" si="1210"/>
        <v>63.555852518364858</v>
      </c>
      <c r="H267">
        <f t="shared" si="1210"/>
        <v>648.17830744081073</v>
      </c>
      <c r="I267">
        <f t="shared" si="1201"/>
        <v>3880.3892777587007</v>
      </c>
    </row>
    <row r="268" spans="1:10" x14ac:dyDescent="0.2">
      <c r="A268" t="s">
        <v>662</v>
      </c>
      <c r="B268">
        <f t="shared" ref="B268:H268" si="1211">B226</f>
        <v>1.2621774483536189E-29</v>
      </c>
      <c r="C268">
        <f t="shared" si="1211"/>
        <v>36.299874837567728</v>
      </c>
      <c r="D268">
        <f t="shared" si="1211"/>
        <v>12.311171160434677</v>
      </c>
      <c r="E268">
        <f t="shared" si="1211"/>
        <v>0.43730778319426922</v>
      </c>
      <c r="F268">
        <f t="shared" si="1211"/>
        <v>21.271405139813119</v>
      </c>
      <c r="G268">
        <f t="shared" si="1211"/>
        <v>27.137342997403447</v>
      </c>
      <c r="H268">
        <f t="shared" si="1211"/>
        <v>6.5138142623509619E-4</v>
      </c>
      <c r="I268">
        <f t="shared" si="1201"/>
        <v>97.457753299839482</v>
      </c>
    </row>
    <row r="269" spans="1:10" x14ac:dyDescent="0.2">
      <c r="A269" t="s">
        <v>663</v>
      </c>
      <c r="B269">
        <f t="shared" ref="B269:H269" si="1212">B231</f>
        <v>0</v>
      </c>
      <c r="C269">
        <f t="shared" si="1212"/>
        <v>1.7212609024099264E-3</v>
      </c>
      <c r="D269">
        <f t="shared" si="1212"/>
        <v>264.84313837374793</v>
      </c>
      <c r="E269">
        <f t="shared" si="1212"/>
        <v>179.43109915213302</v>
      </c>
      <c r="F269">
        <f t="shared" si="1212"/>
        <v>120.02569065151793</v>
      </c>
      <c r="G269">
        <f t="shared" si="1212"/>
        <v>260.16292017133475</v>
      </c>
      <c r="H269">
        <f t="shared" si="1212"/>
        <v>214.41585952278493</v>
      </c>
      <c r="I269">
        <f t="shared" si="1201"/>
        <v>1038.8804291324211</v>
      </c>
    </row>
    <row r="270" spans="1:10" x14ac:dyDescent="0.2">
      <c r="A270" t="s">
        <v>664</v>
      </c>
      <c r="B270">
        <f t="shared" ref="B270:H270" si="1213">B236</f>
        <v>0</v>
      </c>
      <c r="C270">
        <f t="shared" si="1213"/>
        <v>0.72257241974429209</v>
      </c>
      <c r="D270">
        <f t="shared" si="1213"/>
        <v>22.787347264005263</v>
      </c>
      <c r="E270">
        <f t="shared" si="1213"/>
        <v>35.13722787206774</v>
      </c>
      <c r="F270">
        <f t="shared" si="1213"/>
        <v>23.591321536970369</v>
      </c>
      <c r="G270">
        <f t="shared" si="1213"/>
        <v>24.586973059652443</v>
      </c>
      <c r="H270">
        <f t="shared" si="1213"/>
        <v>21.655938167881356</v>
      </c>
      <c r="I270">
        <f t="shared" si="1201"/>
        <v>128.48138032032145</v>
      </c>
    </row>
    <row r="271" spans="1:10" x14ac:dyDescent="0.2">
      <c r="A271" t="s">
        <v>665</v>
      </c>
      <c r="B271">
        <f t="shared" ref="B271:H271" si="1214">B241</f>
        <v>0</v>
      </c>
      <c r="C271">
        <f t="shared" si="1214"/>
        <v>3.550847685135543E-10</v>
      </c>
      <c r="D271">
        <f t="shared" si="1214"/>
        <v>39.208470514813783</v>
      </c>
      <c r="E271">
        <f t="shared" si="1214"/>
        <v>249.5838580577155</v>
      </c>
      <c r="F271">
        <f t="shared" si="1214"/>
        <v>52.206847256871043</v>
      </c>
      <c r="G271">
        <f t="shared" si="1214"/>
        <v>120.51922764826507</v>
      </c>
      <c r="H271">
        <f t="shared" si="1214"/>
        <v>25.403239430119452</v>
      </c>
      <c r="I271">
        <f t="shared" si="1201"/>
        <v>486.92164290813992</v>
      </c>
    </row>
    <row r="272" spans="1:10" x14ac:dyDescent="0.2">
      <c r="A272" t="s">
        <v>666</v>
      </c>
      <c r="B272">
        <f t="shared" ref="B272:H272" si="1215">B246</f>
        <v>0</v>
      </c>
      <c r="C272">
        <f t="shared" si="1215"/>
        <v>1.8397443440299156E-10</v>
      </c>
      <c r="D272">
        <f t="shared" si="1215"/>
        <v>8.6055923400569104E-11</v>
      </c>
      <c r="E272">
        <f t="shared" si="1215"/>
        <v>4.3251198601172735E-12</v>
      </c>
      <c r="F272">
        <f t="shared" si="1215"/>
        <v>1.8343519615412229E-4</v>
      </c>
      <c r="G272">
        <f t="shared" si="1215"/>
        <v>2.6371069630875117</v>
      </c>
      <c r="H272">
        <f t="shared" si="1215"/>
        <v>8.2629987173053442E-3</v>
      </c>
      <c r="I272">
        <f t="shared" si="1201"/>
        <v>2.6455533972753269</v>
      </c>
    </row>
    <row r="273" spans="1:19" x14ac:dyDescent="0.2">
      <c r="A273" t="s">
        <v>667</v>
      </c>
      <c r="B273">
        <f t="shared" ref="B273:H273" si="1216">B251</f>
        <v>0</v>
      </c>
      <c r="C273">
        <f t="shared" si="1216"/>
        <v>7.2958038487428448E-2</v>
      </c>
      <c r="D273">
        <f t="shared" si="1216"/>
        <v>2.897383938314591</v>
      </c>
      <c r="E273">
        <f t="shared" si="1216"/>
        <v>6.8573400949147274</v>
      </c>
      <c r="F273">
        <f t="shared" si="1216"/>
        <v>3.5217993617846347E-2</v>
      </c>
      <c r="G273">
        <f t="shared" si="1216"/>
        <v>1.0819875990852237</v>
      </c>
      <c r="H273">
        <f t="shared" si="1216"/>
        <v>22.269606714434126</v>
      </c>
      <c r="I273">
        <f t="shared" si="1201"/>
        <v>33.214494378853942</v>
      </c>
    </row>
    <row r="274" spans="1:19" x14ac:dyDescent="0.2">
      <c r="A274" t="s">
        <v>668</v>
      </c>
      <c r="B274">
        <f t="shared" ref="B274:H274" si="1217">B256</f>
        <v>0</v>
      </c>
      <c r="C274">
        <f t="shared" si="1217"/>
        <v>1.6211015742024342E-11</v>
      </c>
      <c r="D274">
        <f t="shared" si="1217"/>
        <v>5.1653236405052559E-11</v>
      </c>
      <c r="E274">
        <f t="shared" si="1217"/>
        <v>7.2448491654228566E-11</v>
      </c>
      <c r="F274">
        <f t="shared" si="1217"/>
        <v>1.886547572531129E-2</v>
      </c>
      <c r="G274">
        <f t="shared" si="1217"/>
        <v>499.35612119926418</v>
      </c>
      <c r="H274">
        <f t="shared" si="1217"/>
        <v>27.667353900474769</v>
      </c>
      <c r="I274">
        <f t="shared" si="1201"/>
        <v>527.0423405756045</v>
      </c>
    </row>
    <row r="275" spans="1:19" x14ac:dyDescent="0.2">
      <c r="A275" t="s">
        <v>669</v>
      </c>
      <c r="B275">
        <f t="shared" ref="B275:H275" si="1218">SUM(B258:B274)</f>
        <v>2.5243548967072378E-29</v>
      </c>
      <c r="C275">
        <f t="shared" si="1218"/>
        <v>1676.52991581015</v>
      </c>
      <c r="D275">
        <f t="shared" si="1218"/>
        <v>2271.1673991144894</v>
      </c>
      <c r="E275">
        <f t="shared" si="1218"/>
        <v>1570.4498774723372</v>
      </c>
      <c r="F275">
        <f t="shared" si="1218"/>
        <v>892.56298913795854</v>
      </c>
      <c r="G275">
        <f t="shared" si="1218"/>
        <v>1370.2144827774655</v>
      </c>
      <c r="H275">
        <f t="shared" si="1218"/>
        <v>1296.2802620891155</v>
      </c>
    </row>
    <row r="276" spans="1:19" x14ac:dyDescent="0.2">
      <c r="A276" t="s">
        <v>311</v>
      </c>
      <c r="B276">
        <v>2017</v>
      </c>
      <c r="C276">
        <v>2018</v>
      </c>
      <c r="D276">
        <v>2019</v>
      </c>
      <c r="E276">
        <v>2020</v>
      </c>
      <c r="F276">
        <v>2021</v>
      </c>
      <c r="G276">
        <v>2022</v>
      </c>
      <c r="H276">
        <v>2023</v>
      </c>
      <c r="I276">
        <v>2024</v>
      </c>
      <c r="J276">
        <v>2025</v>
      </c>
      <c r="K276">
        <v>2026</v>
      </c>
      <c r="L276">
        <f>CD2</f>
        <v>2027</v>
      </c>
      <c r="M276">
        <f>CL2</f>
        <v>2028</v>
      </c>
      <c r="N276">
        <f>CT2</f>
        <v>2029</v>
      </c>
      <c r="O276">
        <f>DB2</f>
        <v>2030</v>
      </c>
      <c r="P276" t="str">
        <f t="shared" ref="P276:P294" si="1219">A276</f>
        <v>Nigeria</v>
      </c>
      <c r="Q276">
        <f t="shared" ref="Q276:Q294" si="1220">B276</f>
        <v>2017</v>
      </c>
      <c r="R276">
        <f t="shared" ref="R276:R294" si="1221">H276</f>
        <v>2023</v>
      </c>
      <c r="S276">
        <f t="shared" ref="S276:S294" si="1222">O276</f>
        <v>2030</v>
      </c>
    </row>
    <row r="277" spans="1:19" x14ac:dyDescent="0.2">
      <c r="A277" s="33" t="s">
        <v>597</v>
      </c>
      <c r="B277">
        <f>AVERAGE(B278:B294)</f>
        <v>0.48648014966179348</v>
      </c>
      <c r="C277">
        <f t="shared" ref="C277:O277" si="1223">AVERAGE(C278:C294)</f>
        <v>0.49297028756179567</v>
      </c>
      <c r="D277">
        <f t="shared" si="1223"/>
        <v>0.4878613094613391</v>
      </c>
      <c r="E277">
        <f t="shared" si="1223"/>
        <v>0.48432711452277766</v>
      </c>
      <c r="F277">
        <f t="shared" si="1223"/>
        <v>0.48401531066118197</v>
      </c>
      <c r="G277">
        <f t="shared" si="1223"/>
        <v>0.49174060990361473</v>
      </c>
      <c r="H277">
        <f t="shared" si="1223"/>
        <v>0.50643991235963415</v>
      </c>
      <c r="I277">
        <f t="shared" si="1223"/>
        <v>0.52281549928235171</v>
      </c>
      <c r="J277">
        <f t="shared" si="1223"/>
        <v>0.54250492059797517</v>
      </c>
      <c r="K277">
        <f t="shared" si="1223"/>
        <v>0.56172661323627204</v>
      </c>
      <c r="L277">
        <f t="shared" si="1223"/>
        <v>0.58023807323729126</v>
      </c>
      <c r="M277">
        <f t="shared" si="1223"/>
        <v>0.5979871794239664</v>
      </c>
      <c r="N277">
        <f t="shared" si="1223"/>
        <v>0.61443107847076317</v>
      </c>
      <c r="O277">
        <f t="shared" si="1223"/>
        <v>0.6297376702227222</v>
      </c>
      <c r="P277" t="str">
        <f t="shared" si="1219"/>
        <v>Minimum</v>
      </c>
      <c r="Q277" s="21">
        <f>B277</f>
        <v>0.48648014966179348</v>
      </c>
      <c r="R277" s="21">
        <f>H277</f>
        <v>0.50643991235963415</v>
      </c>
      <c r="S277" s="21">
        <f>O277</f>
        <v>0.6297376702227222</v>
      </c>
    </row>
    <row r="278" spans="1:19" x14ac:dyDescent="0.2">
      <c r="A278" t="s">
        <v>473</v>
      </c>
      <c r="B278">
        <f t="shared" ref="B278:B294" si="1224">B3</f>
        <v>0.49325614929199219</v>
      </c>
      <c r="C278">
        <f t="shared" ref="C278:C294" si="1225">J3</f>
        <v>0.45576107426254941</v>
      </c>
      <c r="D278">
        <f t="shared" ref="D278:D294" si="1226">R3</f>
        <v>0.4234641112823716</v>
      </c>
      <c r="E278">
        <f t="shared" ref="E278:E294" si="1227">Z3</f>
        <v>0.3915276037122542</v>
      </c>
      <c r="F278">
        <f t="shared" ref="F278:F294" si="1228">AH3</f>
        <v>0.36110231595877784</v>
      </c>
      <c r="G278">
        <f t="shared" ref="G278:G294" si="1229">AP3</f>
        <v>0.39474550824788307</v>
      </c>
      <c r="H278">
        <f t="shared" ref="H278:H294" si="1230">AX3</f>
        <v>0.45268814464053242</v>
      </c>
      <c r="I278">
        <f t="shared" ref="I278:I294" si="1231">BF3</f>
        <v>0.4897666312285609</v>
      </c>
      <c r="J278">
        <f t="shared" ref="J278:J294" si="1232">BN3</f>
        <v>0.5376957358599227</v>
      </c>
      <c r="K278">
        <f t="shared" ref="K278:K294" si="1233">BV3</f>
        <v>0.58195336342794823</v>
      </c>
      <c r="L278">
        <f t="shared" ref="L278:L294" si="1234">CD3</f>
        <v>0.62197408956571443</v>
      </c>
      <c r="M278">
        <f t="shared" ref="M278:M294" si="1235">CL3</f>
        <v>0.65816352421474256</v>
      </c>
      <c r="N278">
        <f t="shared" ref="N278:N294" si="1236">CT3</f>
        <v>0.6908884471886011</v>
      </c>
      <c r="O278">
        <f t="shared" ref="O278:O294" si="1237">DB3</f>
        <v>0.72048052548523522</v>
      </c>
      <c r="P278" t="str">
        <f t="shared" si="1219"/>
        <v>SDG1</v>
      </c>
      <c r="Q278" s="21">
        <f t="shared" si="1220"/>
        <v>0.49325614929199219</v>
      </c>
      <c r="R278" s="21">
        <f t="shared" si="1221"/>
        <v>0.45268814464053242</v>
      </c>
      <c r="S278" s="21">
        <f t="shared" si="1222"/>
        <v>0.72048052548523522</v>
      </c>
    </row>
    <row r="279" spans="1:19" x14ac:dyDescent="0.2">
      <c r="A279" t="s">
        <v>474</v>
      </c>
      <c r="B279">
        <f t="shared" si="1224"/>
        <v>0.46487155914306638</v>
      </c>
      <c r="C279">
        <f t="shared" si="1225"/>
        <v>0.47253286648736503</v>
      </c>
      <c r="D279">
        <f t="shared" si="1226"/>
        <v>0.47358293130566048</v>
      </c>
      <c r="E279">
        <f t="shared" si="1227"/>
        <v>0.48765620951923921</v>
      </c>
      <c r="F279">
        <f t="shared" si="1228"/>
        <v>0.53670425519985954</v>
      </c>
      <c r="G279">
        <f t="shared" si="1229"/>
        <v>0.51426832807954159</v>
      </c>
      <c r="H279">
        <f t="shared" si="1230"/>
        <v>0.52612842641751345</v>
      </c>
      <c r="I279">
        <f t="shared" si="1231"/>
        <v>0.55362740424457024</v>
      </c>
      <c r="J279">
        <f t="shared" si="1232"/>
        <v>0.58475734906803079</v>
      </c>
      <c r="K279">
        <f t="shared" si="1233"/>
        <v>0.62037883003267802</v>
      </c>
      <c r="L279">
        <f t="shared" si="1234"/>
        <v>0.65672098315688376</v>
      </c>
      <c r="M279">
        <f t="shared" si="1235"/>
        <v>0.68958400445654722</v>
      </c>
      <c r="N279">
        <f t="shared" si="1236"/>
        <v>0.71930096055573944</v>
      </c>
      <c r="O279">
        <f t="shared" si="1237"/>
        <v>0.74617303271699131</v>
      </c>
      <c r="P279" t="str">
        <f t="shared" si="1219"/>
        <v>SDG2</v>
      </c>
      <c r="Q279" s="21">
        <f t="shared" si="1220"/>
        <v>0.46487155914306638</v>
      </c>
      <c r="R279" s="21">
        <f t="shared" si="1221"/>
        <v>0.52612842641751345</v>
      </c>
      <c r="S279" s="21">
        <f t="shared" si="1222"/>
        <v>0.74617303271699131</v>
      </c>
    </row>
    <row r="280" spans="1:19" x14ac:dyDescent="0.2">
      <c r="A280" t="s">
        <v>475</v>
      </c>
      <c r="B280">
        <f t="shared" si="1224"/>
        <v>0.27561077117919924</v>
      </c>
      <c r="C280">
        <f t="shared" si="1225"/>
        <v>0.33478951195048245</v>
      </c>
      <c r="D280">
        <f t="shared" si="1226"/>
        <v>0.31437258397846074</v>
      </c>
      <c r="E280">
        <f t="shared" si="1227"/>
        <v>0.29435239826515364</v>
      </c>
      <c r="F280">
        <f t="shared" si="1228"/>
        <v>0.28442836611093159</v>
      </c>
      <c r="G280">
        <f t="shared" si="1229"/>
        <v>0.30678566060952678</v>
      </c>
      <c r="H280">
        <f t="shared" si="1230"/>
        <v>0.36196462098286808</v>
      </c>
      <c r="I280">
        <f t="shared" si="1231"/>
        <v>0.41862945790102168</v>
      </c>
      <c r="J280">
        <f t="shared" si="1232"/>
        <v>0.4742187340807007</v>
      </c>
      <c r="K280">
        <f t="shared" si="1233"/>
        <v>0.52455318533778583</v>
      </c>
      <c r="L280">
        <f t="shared" si="1234"/>
        <v>0.57006898452874599</v>
      </c>
      <c r="M280">
        <f t="shared" si="1235"/>
        <v>0.61122743414431013</v>
      </c>
      <c r="N280">
        <f t="shared" si="1236"/>
        <v>0.64844567495009553</v>
      </c>
      <c r="O280">
        <f t="shared" si="1237"/>
        <v>0.68210091370703874</v>
      </c>
      <c r="P280" t="str">
        <f t="shared" si="1219"/>
        <v>SDG3</v>
      </c>
      <c r="Q280" s="21">
        <f t="shared" si="1220"/>
        <v>0.27561077117919924</v>
      </c>
      <c r="R280" s="21">
        <f t="shared" si="1221"/>
        <v>0.36196462098286808</v>
      </c>
      <c r="S280" s="21">
        <f t="shared" si="1222"/>
        <v>0.68210091370703874</v>
      </c>
    </row>
    <row r="281" spans="1:19" x14ac:dyDescent="0.2">
      <c r="A281" t="s">
        <v>476</v>
      </c>
      <c r="B281">
        <f t="shared" si="1224"/>
        <v>0.41950977325439454</v>
      </c>
      <c r="C281">
        <f t="shared" si="1225"/>
        <v>0.38936127309110996</v>
      </c>
      <c r="D281">
        <f t="shared" si="1226"/>
        <v>0.36462078776705459</v>
      </c>
      <c r="E281">
        <f t="shared" si="1227"/>
        <v>0.35175072916381844</v>
      </c>
      <c r="F281">
        <f t="shared" si="1228"/>
        <v>0.35856929955719541</v>
      </c>
      <c r="G281">
        <f t="shared" si="1229"/>
        <v>0.39057054900260069</v>
      </c>
      <c r="H281">
        <f t="shared" si="1230"/>
        <v>0.37266490765333249</v>
      </c>
      <c r="I281">
        <f t="shared" si="1231"/>
        <v>0.37450991087293123</v>
      </c>
      <c r="J281">
        <f t="shared" si="1232"/>
        <v>0.3870031985108161</v>
      </c>
      <c r="K281">
        <f t="shared" si="1233"/>
        <v>0.41253970316491068</v>
      </c>
      <c r="L281">
        <f t="shared" si="1234"/>
        <v>0.45187518601946552</v>
      </c>
      <c r="M281">
        <f t="shared" si="1235"/>
        <v>0.50263011107563693</v>
      </c>
      <c r="N281">
        <f t="shared" si="1236"/>
        <v>0.55024466498529967</v>
      </c>
      <c r="O281">
        <f t="shared" si="1237"/>
        <v>0.5933009498993882</v>
      </c>
      <c r="P281" t="str">
        <f t="shared" si="1219"/>
        <v>SDG4</v>
      </c>
      <c r="Q281" s="21">
        <f t="shared" si="1220"/>
        <v>0.41950977325439454</v>
      </c>
      <c r="R281" s="21">
        <f t="shared" si="1221"/>
        <v>0.37266490765333249</v>
      </c>
      <c r="S281" s="21">
        <f t="shared" si="1222"/>
        <v>0.5933009498993882</v>
      </c>
    </row>
    <row r="282" spans="1:19" x14ac:dyDescent="0.2">
      <c r="A282" t="s">
        <v>477</v>
      </c>
      <c r="B282">
        <f t="shared" si="1224"/>
        <v>0.35542755126953124</v>
      </c>
      <c r="C282">
        <f t="shared" si="1225"/>
        <v>0.40778172304142268</v>
      </c>
      <c r="D282">
        <f t="shared" si="1226"/>
        <v>0.38771419341039826</v>
      </c>
      <c r="E282">
        <f t="shared" si="1227"/>
        <v>0.37989774973742807</v>
      </c>
      <c r="F282">
        <f t="shared" si="1228"/>
        <v>0.38347685407890109</v>
      </c>
      <c r="G282">
        <f t="shared" si="1229"/>
        <v>0.36959393865032336</v>
      </c>
      <c r="H282">
        <f t="shared" si="1230"/>
        <v>0.39183340745520967</v>
      </c>
      <c r="I282">
        <f t="shared" si="1231"/>
        <v>0.42346930499500834</v>
      </c>
      <c r="J282">
        <f t="shared" si="1232"/>
        <v>0.4756040228773033</v>
      </c>
      <c r="K282">
        <f t="shared" si="1233"/>
        <v>0.5258058567211612</v>
      </c>
      <c r="L282">
        <f t="shared" si="1234"/>
        <v>0.57120173431967469</v>
      </c>
      <c r="M282">
        <f t="shared" si="1235"/>
        <v>0.61225174275858674</v>
      </c>
      <c r="N282">
        <f t="shared" si="1236"/>
        <v>0.64937192375250841</v>
      </c>
      <c r="O282">
        <f t="shared" si="1237"/>
        <v>0.68293849022647213</v>
      </c>
      <c r="P282" t="str">
        <f t="shared" si="1219"/>
        <v>SDG5</v>
      </c>
      <c r="Q282" s="21">
        <f t="shared" si="1220"/>
        <v>0.35542755126953124</v>
      </c>
      <c r="R282" s="21">
        <f t="shared" si="1221"/>
        <v>0.39183340745520967</v>
      </c>
      <c r="S282" s="21">
        <f t="shared" si="1222"/>
        <v>0.68293849022647213</v>
      </c>
    </row>
    <row r="283" spans="1:19" x14ac:dyDescent="0.2">
      <c r="A283" t="s">
        <v>478</v>
      </c>
      <c r="B283">
        <f t="shared" si="1224"/>
        <v>0.62973716735839846</v>
      </c>
      <c r="C283">
        <f t="shared" si="1225"/>
        <v>0.66518342174200285</v>
      </c>
      <c r="D283">
        <f t="shared" si="1226"/>
        <v>0.61188095191545022</v>
      </c>
      <c r="E283">
        <f t="shared" si="1227"/>
        <v>0.56793851773311488</v>
      </c>
      <c r="F283">
        <f t="shared" si="1228"/>
        <v>0.54283738169309936</v>
      </c>
      <c r="G283">
        <f t="shared" si="1229"/>
        <v>0.56144073925521376</v>
      </c>
      <c r="H283">
        <f t="shared" si="1230"/>
        <v>0.59107369149577893</v>
      </c>
      <c r="I283">
        <f t="shared" si="1231"/>
        <v>0.63022129784955105</v>
      </c>
      <c r="J283">
        <f t="shared" si="1232"/>
        <v>0.66562119881408621</v>
      </c>
      <c r="K283">
        <f t="shared" si="1233"/>
        <v>0.6976321722813863</v>
      </c>
      <c r="L283">
        <f t="shared" si="1234"/>
        <v>0.72657864937325067</v>
      </c>
      <c r="M283">
        <f t="shared" si="1235"/>
        <v>0.75275400254974056</v>
      </c>
      <c r="N283">
        <f t="shared" si="1236"/>
        <v>0.77642351893819783</v>
      </c>
      <c r="O283">
        <f t="shared" si="1237"/>
        <v>0.79782708901749833</v>
      </c>
      <c r="P283" t="str">
        <f t="shared" si="1219"/>
        <v>SDG6</v>
      </c>
      <c r="Q283" s="21">
        <f t="shared" si="1220"/>
        <v>0.62973716735839846</v>
      </c>
      <c r="R283" s="21">
        <f t="shared" si="1221"/>
        <v>0.59107369149577893</v>
      </c>
      <c r="S283" s="21">
        <f t="shared" si="1222"/>
        <v>0.79782708901749833</v>
      </c>
    </row>
    <row r="284" spans="1:19" x14ac:dyDescent="0.2">
      <c r="A284" t="s">
        <v>479</v>
      </c>
      <c r="B284">
        <f t="shared" si="1224"/>
        <v>0.38113487243652344</v>
      </c>
      <c r="C284">
        <f t="shared" si="1225"/>
        <v>0.35422107681358272</v>
      </c>
      <c r="D284">
        <f t="shared" si="1226"/>
        <v>0.33945707935521774</v>
      </c>
      <c r="E284">
        <f t="shared" si="1227"/>
        <v>0.34525301558514054</v>
      </c>
      <c r="F284">
        <f t="shared" si="1228"/>
        <v>0.34250019086680517</v>
      </c>
      <c r="G284">
        <f t="shared" si="1229"/>
        <v>0.36138228885120444</v>
      </c>
      <c r="H284">
        <f t="shared" si="1230"/>
        <v>0.33635946105104902</v>
      </c>
      <c r="I284">
        <f t="shared" si="1231"/>
        <v>0.31373213569242542</v>
      </c>
      <c r="J284">
        <f t="shared" si="1232"/>
        <v>0.29327098489947512</v>
      </c>
      <c r="K284">
        <f t="shared" si="1233"/>
        <v>0.27476863496918186</v>
      </c>
      <c r="L284">
        <f t="shared" si="1234"/>
        <v>0.25803756463950256</v>
      </c>
      <c r="M284">
        <f t="shared" si="1235"/>
        <v>0.24290820456192908</v>
      </c>
      <c r="N284">
        <f t="shared" si="1236"/>
        <v>0.2292272187166402</v>
      </c>
      <c r="O284">
        <f t="shared" si="1237"/>
        <v>0.21685595035239275</v>
      </c>
      <c r="P284" t="str">
        <f t="shared" si="1219"/>
        <v>SDG7</v>
      </c>
      <c r="Q284" s="21">
        <f t="shared" si="1220"/>
        <v>0.38113487243652344</v>
      </c>
      <c r="R284" s="21">
        <f t="shared" si="1221"/>
        <v>0.33635946105104902</v>
      </c>
      <c r="S284" s="21">
        <f t="shared" si="1222"/>
        <v>0.21685595035239275</v>
      </c>
    </row>
    <row r="285" spans="1:19" x14ac:dyDescent="0.2">
      <c r="A285" t="s">
        <v>480</v>
      </c>
      <c r="B285">
        <f t="shared" si="1224"/>
        <v>0.49241348266601564</v>
      </c>
      <c r="C285">
        <f t="shared" si="1225"/>
        <v>0.53235029213783913</v>
      </c>
      <c r="D285">
        <f t="shared" si="1226"/>
        <v>0.57711965337520021</v>
      </c>
      <c r="E285">
        <f t="shared" si="1227"/>
        <v>0.60363090590236068</v>
      </c>
      <c r="F285">
        <f t="shared" si="1228"/>
        <v>0.55974962411914175</v>
      </c>
      <c r="G285">
        <f t="shared" si="1229"/>
        <v>0.6018959737935512</v>
      </c>
      <c r="H285">
        <f t="shared" si="1230"/>
        <v>0.64000754033501395</v>
      </c>
      <c r="I285">
        <f t="shared" si="1231"/>
        <v>0.65601419890236445</v>
      </c>
      <c r="J285">
        <f t="shared" si="1232"/>
        <v>0.68749818752144598</v>
      </c>
      <c r="K285">
        <f t="shared" si="1233"/>
        <v>0.71741482447208027</v>
      </c>
      <c r="L285">
        <f t="shared" si="1234"/>
        <v>0.74446746150112197</v>
      </c>
      <c r="M285">
        <f t="shared" si="1235"/>
        <v>0.76893027700517458</v>
      </c>
      <c r="N285">
        <f t="shared" si="1236"/>
        <v>0.79105120154731368</v>
      </c>
      <c r="O285">
        <f t="shared" si="1237"/>
        <v>0.81105443063261473</v>
      </c>
      <c r="P285" t="str">
        <f t="shared" si="1219"/>
        <v>SDG8</v>
      </c>
      <c r="Q285" s="21">
        <f t="shared" si="1220"/>
        <v>0.49241348266601564</v>
      </c>
      <c r="R285" s="21">
        <f t="shared" si="1221"/>
        <v>0.64000754033501395</v>
      </c>
      <c r="S285" s="21">
        <f t="shared" si="1222"/>
        <v>0.81105443063261473</v>
      </c>
    </row>
    <row r="286" spans="1:19" x14ac:dyDescent="0.2">
      <c r="A286" t="s">
        <v>481</v>
      </c>
      <c r="B286">
        <f t="shared" si="1224"/>
        <v>0.1523066520690918</v>
      </c>
      <c r="C286">
        <f t="shared" si="1225"/>
        <v>0.14764598696522616</v>
      </c>
      <c r="D286">
        <f t="shared" si="1226"/>
        <v>0.1523737841123374</v>
      </c>
      <c r="E286">
        <f t="shared" si="1227"/>
        <v>0.1751516495322771</v>
      </c>
      <c r="F286">
        <f t="shared" si="1228"/>
        <v>0.23247518870024628</v>
      </c>
      <c r="G286">
        <f t="shared" si="1229"/>
        <v>0.24096574290497397</v>
      </c>
      <c r="H286">
        <f t="shared" si="1230"/>
        <v>0.27976638388974512</v>
      </c>
      <c r="I286">
        <f t="shared" si="1231"/>
        <v>0.3487162803460791</v>
      </c>
      <c r="J286">
        <f t="shared" si="1232"/>
        <v>0.41106541822214226</v>
      </c>
      <c r="K286">
        <f t="shared" si="1233"/>
        <v>0.46744570584665307</v>
      </c>
      <c r="L286">
        <f t="shared" si="1234"/>
        <v>0.51842855726861192</v>
      </c>
      <c r="M286">
        <f t="shared" si="1235"/>
        <v>0.56449004104568246</v>
      </c>
      <c r="N286">
        <f t="shared" si="1236"/>
        <v>0.605704950748713</v>
      </c>
      <c r="O286">
        <f t="shared" si="1237"/>
        <v>0.64248319109497121</v>
      </c>
      <c r="P286" t="str">
        <f t="shared" si="1219"/>
        <v>SDG9</v>
      </c>
      <c r="Q286" s="21">
        <f t="shared" si="1220"/>
        <v>0.1523066520690918</v>
      </c>
      <c r="R286" s="21">
        <f t="shared" si="1221"/>
        <v>0.27976638388974512</v>
      </c>
      <c r="S286" s="21">
        <f t="shared" si="1222"/>
        <v>0.64248319109497121</v>
      </c>
    </row>
    <row r="287" spans="1:19" x14ac:dyDescent="0.2">
      <c r="A287" t="s">
        <v>482</v>
      </c>
      <c r="B287">
        <f t="shared" si="1224"/>
        <v>0.50123226165771484</v>
      </c>
      <c r="C287">
        <f t="shared" si="1225"/>
        <v>0.46164489268865494</v>
      </c>
      <c r="D287">
        <f t="shared" si="1226"/>
        <v>0.42685320376452418</v>
      </c>
      <c r="E287">
        <f t="shared" si="1227"/>
        <v>0.39482316167547243</v>
      </c>
      <c r="F287">
        <f t="shared" si="1228"/>
        <v>0.36666433688469646</v>
      </c>
      <c r="G287">
        <f t="shared" si="1229"/>
        <v>0.41761307546329252</v>
      </c>
      <c r="H287">
        <f t="shared" si="1230"/>
        <v>0.47336653829274988</v>
      </c>
      <c r="I287">
        <f t="shared" si="1231"/>
        <v>0.50979051187550073</v>
      </c>
      <c r="J287">
        <f t="shared" si="1232"/>
        <v>0.55671958140524402</v>
      </c>
      <c r="K287">
        <f t="shared" si="1233"/>
        <v>0.59915600519825674</v>
      </c>
      <c r="L287">
        <f t="shared" si="1234"/>
        <v>0.63752987628468016</v>
      </c>
      <c r="M287">
        <f t="shared" si="1235"/>
        <v>0.6722301137349409</v>
      </c>
      <c r="N287">
        <f t="shared" si="1236"/>
        <v>0.70360840435338468</v>
      </c>
      <c r="O287">
        <f t="shared" si="1237"/>
        <v>0.73198276702300125</v>
      </c>
      <c r="P287" t="str">
        <f t="shared" si="1219"/>
        <v>SDG10</v>
      </c>
      <c r="Q287" s="21">
        <f t="shared" si="1220"/>
        <v>0.50123226165771484</v>
      </c>
      <c r="R287" s="21">
        <f t="shared" si="1221"/>
        <v>0.47336653829274988</v>
      </c>
      <c r="S287" s="21">
        <f t="shared" si="1222"/>
        <v>0.73198276702300125</v>
      </c>
    </row>
    <row r="288" spans="1:19" x14ac:dyDescent="0.2">
      <c r="A288" t="s">
        <v>483</v>
      </c>
      <c r="B288">
        <f t="shared" si="1224"/>
        <v>0.3104089164733887</v>
      </c>
      <c r="C288">
        <f t="shared" si="1225"/>
        <v>0.37429663764562837</v>
      </c>
      <c r="D288">
        <f t="shared" si="1226"/>
        <v>0.36150184985488731</v>
      </c>
      <c r="E288">
        <f t="shared" si="1227"/>
        <v>0.33686959176222214</v>
      </c>
      <c r="F288">
        <f t="shared" si="1228"/>
        <v>0.31352093357664512</v>
      </c>
      <c r="G288">
        <f t="shared" si="1229"/>
        <v>0.31422851494898713</v>
      </c>
      <c r="H288">
        <f t="shared" si="1230"/>
        <v>0.29467772175186202</v>
      </c>
      <c r="I288">
        <f t="shared" si="1231"/>
        <v>0.27947877323010611</v>
      </c>
      <c r="J288">
        <f t="shared" si="1232"/>
        <v>0.26855449496977163</v>
      </c>
      <c r="K288">
        <f t="shared" si="1233"/>
        <v>0.2615004896853288</v>
      </c>
      <c r="L288">
        <f t="shared" si="1234"/>
        <v>0.25784751022949481</v>
      </c>
      <c r="M288">
        <f t="shared" si="1235"/>
        <v>0.25714916331169124</v>
      </c>
      <c r="N288">
        <f t="shared" si="1236"/>
        <v>0.2589878078590323</v>
      </c>
      <c r="O288">
        <f t="shared" si="1237"/>
        <v>0.26297779829547235</v>
      </c>
      <c r="P288" t="str">
        <f t="shared" si="1219"/>
        <v>SDG11</v>
      </c>
      <c r="Q288" s="21">
        <f t="shared" si="1220"/>
        <v>0.3104089164733887</v>
      </c>
      <c r="R288" s="21">
        <f t="shared" si="1221"/>
        <v>0.29467772175186202</v>
      </c>
      <c r="S288" s="21">
        <f t="shared" si="1222"/>
        <v>0.26297779829547235</v>
      </c>
    </row>
    <row r="289" spans="1:19" x14ac:dyDescent="0.2">
      <c r="A289" t="s">
        <v>484</v>
      </c>
      <c r="B289">
        <f t="shared" si="1224"/>
        <v>0.76251144409179683</v>
      </c>
      <c r="C289">
        <f t="shared" si="1225"/>
        <v>0.76293827295587802</v>
      </c>
      <c r="D289">
        <f t="shared" si="1226"/>
        <v>0.78563282812219748</v>
      </c>
      <c r="E289">
        <f t="shared" si="1227"/>
        <v>0.80615477263297541</v>
      </c>
      <c r="F289">
        <f t="shared" si="1228"/>
        <v>0.82471209633537934</v>
      </c>
      <c r="G289">
        <f t="shared" si="1229"/>
        <v>0.79817719068794724</v>
      </c>
      <c r="H289">
        <f t="shared" si="1230"/>
        <v>0.80913339988688515</v>
      </c>
      <c r="I289">
        <f t="shared" si="1231"/>
        <v>0.80196145340905545</v>
      </c>
      <c r="J289">
        <f t="shared" si="1232"/>
        <v>0.78030736137927814</v>
      </c>
      <c r="K289">
        <f t="shared" si="1233"/>
        <v>0.74865261008830675</v>
      </c>
      <c r="L289">
        <f t="shared" si="1234"/>
        <v>0.71046184702754833</v>
      </c>
      <c r="M289">
        <f t="shared" si="1235"/>
        <v>0.66849506323510854</v>
      </c>
      <c r="N289">
        <f t="shared" si="1236"/>
        <v>0.6251646388970401</v>
      </c>
      <c r="O289">
        <f t="shared" si="1237"/>
        <v>0.58225775219955889</v>
      </c>
      <c r="P289" t="str">
        <f t="shared" si="1219"/>
        <v>SDG12</v>
      </c>
      <c r="Q289" s="21">
        <f t="shared" si="1220"/>
        <v>0.76251144409179683</v>
      </c>
      <c r="R289" s="21">
        <f t="shared" si="1221"/>
        <v>0.80913339988688515</v>
      </c>
      <c r="S289" s="21">
        <f t="shared" si="1222"/>
        <v>0.58225775219955889</v>
      </c>
    </row>
    <row r="290" spans="1:19" x14ac:dyDescent="0.2">
      <c r="A290" t="s">
        <v>485</v>
      </c>
      <c r="B290">
        <f t="shared" si="1224"/>
        <v>0.8951568603515625</v>
      </c>
      <c r="C290">
        <f t="shared" si="1225"/>
        <v>0.90450036006211931</v>
      </c>
      <c r="D290">
        <f t="shared" si="1226"/>
        <v>0.91364279681881466</v>
      </c>
      <c r="E290">
        <f t="shared" si="1227"/>
        <v>0.92191000357564268</v>
      </c>
      <c r="F290">
        <f t="shared" si="1228"/>
        <v>0.92938576844873166</v>
      </c>
      <c r="G290">
        <f t="shared" si="1229"/>
        <v>0.91254141375851661</v>
      </c>
      <c r="H290">
        <f t="shared" si="1230"/>
        <v>0.92091405887071653</v>
      </c>
      <c r="I290">
        <f t="shared" si="1231"/>
        <v>0.92326859612268253</v>
      </c>
      <c r="J290">
        <f t="shared" si="1232"/>
        <v>0.92794181182284741</v>
      </c>
      <c r="K290">
        <f t="shared" si="1233"/>
        <v>0.93435478756802548</v>
      </c>
      <c r="L290">
        <f t="shared" si="1234"/>
        <v>0.94063917988018009</v>
      </c>
      <c r="M290">
        <f t="shared" si="1235"/>
        <v>0.94632195045527367</v>
      </c>
      <c r="N290">
        <f t="shared" si="1236"/>
        <v>0.9514606941563456</v>
      </c>
      <c r="O290">
        <f t="shared" si="1237"/>
        <v>0.9561074921356697</v>
      </c>
      <c r="P290" t="str">
        <f t="shared" si="1219"/>
        <v>SDG13</v>
      </c>
      <c r="Q290" s="21">
        <f t="shared" si="1220"/>
        <v>0.8951568603515625</v>
      </c>
      <c r="R290" s="21">
        <f t="shared" si="1221"/>
        <v>0.92091405887071653</v>
      </c>
      <c r="S290" s="21">
        <f t="shared" si="1222"/>
        <v>0.9561074921356697</v>
      </c>
    </row>
    <row r="291" spans="1:19" x14ac:dyDescent="0.2">
      <c r="A291" t="s">
        <v>486</v>
      </c>
      <c r="B291">
        <f t="shared" si="1224"/>
        <v>0.36505893707275389</v>
      </c>
      <c r="C291">
        <f t="shared" si="1225"/>
        <v>0.3936711408511383</v>
      </c>
      <c r="D291">
        <f t="shared" si="1226"/>
        <v>0.45171662931720474</v>
      </c>
      <c r="E291">
        <f t="shared" si="1227"/>
        <v>0.5042052674364248</v>
      </c>
      <c r="F291">
        <f t="shared" si="1228"/>
        <v>0.55166902740152635</v>
      </c>
      <c r="G291">
        <f t="shared" si="1229"/>
        <v>0.53992708372837317</v>
      </c>
      <c r="H291">
        <f t="shared" si="1230"/>
        <v>0.57038004027413924</v>
      </c>
      <c r="I291">
        <f t="shared" si="1231"/>
        <v>0.61150871168863452</v>
      </c>
      <c r="J291">
        <f t="shared" si="1232"/>
        <v>0.64870002504043445</v>
      </c>
      <c r="K291">
        <f t="shared" si="1233"/>
        <v>0.6823309141808086</v>
      </c>
      <c r="L291">
        <f t="shared" si="1234"/>
        <v>0.7127422280721315</v>
      </c>
      <c r="M291">
        <f t="shared" si="1235"/>
        <v>0.74024218529111208</v>
      </c>
      <c r="N291">
        <f t="shared" si="1236"/>
        <v>0.76510949782316084</v>
      </c>
      <c r="O291">
        <f t="shared" si="1237"/>
        <v>0.78759619580754114</v>
      </c>
      <c r="P291" t="str">
        <f t="shared" si="1219"/>
        <v>SDG14</v>
      </c>
      <c r="Q291" s="21">
        <f t="shared" si="1220"/>
        <v>0.36505893707275389</v>
      </c>
      <c r="R291" s="21">
        <f t="shared" si="1221"/>
        <v>0.57038004027413924</v>
      </c>
      <c r="S291" s="21">
        <f t="shared" si="1222"/>
        <v>0.78759619580754114</v>
      </c>
    </row>
    <row r="292" spans="1:19" x14ac:dyDescent="0.2">
      <c r="A292" t="s">
        <v>487</v>
      </c>
      <c r="B292">
        <f t="shared" si="1224"/>
        <v>0.75303482055664062</v>
      </c>
      <c r="C292">
        <f t="shared" si="1225"/>
        <v>0.74279589503154608</v>
      </c>
      <c r="D292">
        <f t="shared" si="1226"/>
        <v>0.7632365864137991</v>
      </c>
      <c r="E292">
        <f t="shared" si="1227"/>
        <v>0.74903597920307741</v>
      </c>
      <c r="F292">
        <f t="shared" si="1228"/>
        <v>0.77306143825019324</v>
      </c>
      <c r="G292">
        <f t="shared" si="1229"/>
        <v>0.74402082833674221</v>
      </c>
      <c r="H292">
        <f t="shared" si="1230"/>
        <v>0.76272698961956953</v>
      </c>
      <c r="I292">
        <f t="shared" si="1231"/>
        <v>0.78544177136874838</v>
      </c>
      <c r="J292">
        <f t="shared" si="1232"/>
        <v>0.8059820061173405</v>
      </c>
      <c r="K292">
        <f t="shared" si="1233"/>
        <v>0.82455586908402001</v>
      </c>
      <c r="L292">
        <f t="shared" si="1234"/>
        <v>0.84135160631524275</v>
      </c>
      <c r="M292">
        <f t="shared" si="1235"/>
        <v>0.85653944255837378</v>
      </c>
      <c r="N292">
        <f t="shared" si="1236"/>
        <v>0.87027330648899981</v>
      </c>
      <c r="O292">
        <f t="shared" si="1237"/>
        <v>0.88269239077760342</v>
      </c>
      <c r="P292" t="str">
        <f t="shared" si="1219"/>
        <v>SDG15</v>
      </c>
      <c r="Q292" s="21">
        <f t="shared" si="1220"/>
        <v>0.75303482055664062</v>
      </c>
      <c r="R292" s="21">
        <f t="shared" si="1221"/>
        <v>0.76272698961956953</v>
      </c>
      <c r="S292" s="21">
        <f t="shared" si="1222"/>
        <v>0.88269239077760342</v>
      </c>
    </row>
    <row r="293" spans="1:19" x14ac:dyDescent="0.2">
      <c r="A293" t="s">
        <v>488</v>
      </c>
      <c r="B293">
        <f t="shared" si="1224"/>
        <v>0.51361991882324221</v>
      </c>
      <c r="C293">
        <f t="shared" si="1225"/>
        <v>0.4810205030868881</v>
      </c>
      <c r="D293">
        <f t="shared" si="1226"/>
        <v>0.44647236191936962</v>
      </c>
      <c r="E293">
        <f t="shared" si="1227"/>
        <v>0.42340347656729754</v>
      </c>
      <c r="F293">
        <f t="shared" si="1228"/>
        <v>0.40569635422581019</v>
      </c>
      <c r="G293">
        <f t="shared" si="1229"/>
        <v>0.42439630773466863</v>
      </c>
      <c r="H293">
        <f t="shared" si="1230"/>
        <v>0.39389341143224538</v>
      </c>
      <c r="I293">
        <f t="shared" si="1231"/>
        <v>0.36760093710028252</v>
      </c>
      <c r="J293">
        <f t="shared" si="1232"/>
        <v>0.34624930644574364</v>
      </c>
      <c r="K293">
        <f t="shared" si="1233"/>
        <v>0.3308965379151948</v>
      </c>
      <c r="L293">
        <f t="shared" si="1234"/>
        <v>0.32220289052312928</v>
      </c>
      <c r="M293">
        <f t="shared" si="1235"/>
        <v>0.32119078483372449</v>
      </c>
      <c r="N293">
        <f t="shared" si="1236"/>
        <v>0.32860247897145473</v>
      </c>
      <c r="O293">
        <f t="shared" si="1237"/>
        <v>0.34462041484514677</v>
      </c>
      <c r="P293" t="str">
        <f t="shared" si="1219"/>
        <v>SDG16</v>
      </c>
      <c r="Q293" s="21">
        <f t="shared" si="1220"/>
        <v>0.51361991882324221</v>
      </c>
      <c r="R293" s="21">
        <f t="shared" si="1221"/>
        <v>0.39389341143224538</v>
      </c>
      <c r="S293" s="21">
        <f t="shared" si="1222"/>
        <v>0.34462041484514677</v>
      </c>
    </row>
    <row r="294" spans="1:19" x14ac:dyDescent="0.2">
      <c r="A294" t="s">
        <v>489</v>
      </c>
      <c r="B294">
        <f t="shared" si="1224"/>
        <v>0.50487140655517582</v>
      </c>
      <c r="C294">
        <f t="shared" si="1225"/>
        <v>0.49999995973709432</v>
      </c>
      <c r="D294">
        <f t="shared" si="1226"/>
        <v>0.49999992812981398</v>
      </c>
      <c r="E294">
        <f t="shared" si="1227"/>
        <v>0.4999999148833203</v>
      </c>
      <c r="F294">
        <f t="shared" si="1228"/>
        <v>0.46170684983215315</v>
      </c>
      <c r="G294">
        <f t="shared" si="1229"/>
        <v>0.46703722430810446</v>
      </c>
      <c r="H294">
        <f t="shared" si="1230"/>
        <v>0.43189976606456987</v>
      </c>
      <c r="I294">
        <f t="shared" si="1231"/>
        <v>0.40012611097245543</v>
      </c>
      <c r="J294">
        <f t="shared" si="1232"/>
        <v>0.37139423313099523</v>
      </c>
      <c r="K294">
        <f t="shared" si="1233"/>
        <v>0.34541293504289861</v>
      </c>
      <c r="L294">
        <f t="shared" si="1234"/>
        <v>0.32191889632857323</v>
      </c>
      <c r="M294">
        <f t="shared" si="1235"/>
        <v>0.30067400497485347</v>
      </c>
      <c r="N294">
        <f t="shared" si="1236"/>
        <v>0.28146294407044847</v>
      </c>
      <c r="O294">
        <f t="shared" si="1237"/>
        <v>0.26409100956968007</v>
      </c>
      <c r="P294" t="str">
        <f t="shared" si="1219"/>
        <v>SDG17</v>
      </c>
      <c r="Q294" s="21">
        <f t="shared" si="1220"/>
        <v>0.50487140655517582</v>
      </c>
      <c r="R294" s="21">
        <f t="shared" si="1221"/>
        <v>0.43189976606456987</v>
      </c>
      <c r="S294" s="21">
        <f t="shared" si="1222"/>
        <v>0.26409100956968007</v>
      </c>
    </row>
    <row r="298" spans="1:19" x14ac:dyDescent="0.2">
      <c r="C298" s="33" t="s">
        <v>470</v>
      </c>
      <c r="D298" s="33" t="s">
        <v>490</v>
      </c>
      <c r="E298" s="33" t="s">
        <v>913</v>
      </c>
    </row>
    <row r="299" spans="1:19" x14ac:dyDescent="0.2">
      <c r="C299">
        <v>2017</v>
      </c>
      <c r="D299">
        <v>0.58068820055793302</v>
      </c>
      <c r="E299">
        <v>0.58068820055793302</v>
      </c>
    </row>
    <row r="300" spans="1:19" x14ac:dyDescent="0.2">
      <c r="C300">
        <v>2018</v>
      </c>
      <c r="D300">
        <v>0.58570041541033535</v>
      </c>
      <c r="E300">
        <v>0.58570041541033535</v>
      </c>
    </row>
    <row r="301" spans="1:19" x14ac:dyDescent="0.2">
      <c r="C301">
        <v>2019</v>
      </c>
      <c r="D301">
        <v>0.58371690157127387</v>
      </c>
      <c r="E301">
        <v>0.58371690157127387</v>
      </c>
    </row>
    <row r="302" spans="1:19" x14ac:dyDescent="0.2">
      <c r="C302">
        <v>2020</v>
      </c>
      <c r="D302">
        <v>0.57571946544215602</v>
      </c>
      <c r="E302">
        <v>0.57571946544215602</v>
      </c>
    </row>
    <row r="303" spans="1:19" x14ac:dyDescent="0.2">
      <c r="C303">
        <v>2021</v>
      </c>
      <c r="D303">
        <v>0.58411442307363959</v>
      </c>
      <c r="E303">
        <v>0.58411442307363959</v>
      </c>
    </row>
    <row r="304" spans="1:19" x14ac:dyDescent="0.2">
      <c r="C304">
        <v>2022</v>
      </c>
      <c r="D304">
        <v>0.58347842821687856</v>
      </c>
      <c r="E304">
        <v>0.58347842821687856</v>
      </c>
    </row>
    <row r="305" spans="3:5" x14ac:dyDescent="0.2">
      <c r="C305">
        <v>2023</v>
      </c>
      <c r="D305">
        <v>0.5943771591886412</v>
      </c>
      <c r="E305">
        <v>0.5943771591886412</v>
      </c>
    </row>
    <row r="306" spans="3:5" x14ac:dyDescent="0.2">
      <c r="C306">
        <v>2024</v>
      </c>
      <c r="D306">
        <v>0.60536107456786814</v>
      </c>
      <c r="E306">
        <v>0.60418856662343023</v>
      </c>
    </row>
    <row r="307" spans="3:5" x14ac:dyDescent="0.2">
      <c r="C307">
        <v>2025</v>
      </c>
      <c r="D307">
        <v>0.61538004259092061</v>
      </c>
      <c r="E307">
        <v>0.62189911819688148</v>
      </c>
    </row>
    <row r="308" spans="3:5" x14ac:dyDescent="0.2">
      <c r="C308">
        <v>2026</v>
      </c>
      <c r="D308">
        <v>0.6239032321118998</v>
      </c>
      <c r="E308">
        <v>0.64266417340572435</v>
      </c>
    </row>
    <row r="309" spans="3:5" x14ac:dyDescent="0.2">
      <c r="C309">
        <v>2027</v>
      </c>
      <c r="D309">
        <v>0.63139025254636538</v>
      </c>
      <c r="E309">
        <v>0.66268230631959546</v>
      </c>
    </row>
    <row r="310" spans="3:5" x14ac:dyDescent="0.2">
      <c r="C310">
        <v>2028</v>
      </c>
      <c r="D310">
        <v>0.6382182716564061</v>
      </c>
      <c r="E310">
        <v>0.68183761873156423</v>
      </c>
    </row>
    <row r="311" spans="3:5" x14ac:dyDescent="0.2">
      <c r="C311">
        <v>2029</v>
      </c>
      <c r="D311">
        <v>0.64470869935602404</v>
      </c>
      <c r="E311">
        <v>0.70019402545516141</v>
      </c>
    </row>
    <row r="312" spans="3:5" x14ac:dyDescent="0.2">
      <c r="C312">
        <v>2030</v>
      </c>
      <c r="D312">
        <v>0.65102510531967639</v>
      </c>
      <c r="E312">
        <v>0.71821342122755616</v>
      </c>
    </row>
  </sheetData>
  <sheetProtection selectLockedCells="1" selectUnlockedCells="1"/>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2"/>
  <dimension ref="A1:F102"/>
  <sheetViews>
    <sheetView workbookViewId="0">
      <selection activeCell="G2" sqref="G2"/>
    </sheetView>
  </sheetViews>
  <sheetFormatPr defaultRowHeight="15.75" x14ac:dyDescent="0.25"/>
  <cols>
    <col min="1" max="1" width="27.85546875" style="31" customWidth="1"/>
    <col min="2" max="2" width="12.85546875" style="32" customWidth="1"/>
    <col min="3" max="3" width="38.85546875" style="27" customWidth="1"/>
    <col min="4" max="4" width="12.140625" style="27" customWidth="1"/>
    <col min="5" max="5" width="40.140625" style="27" customWidth="1"/>
    <col min="6" max="6" width="19.42578125" style="28" customWidth="1"/>
  </cols>
  <sheetData>
    <row r="1" spans="1:6" ht="16.5" thickBot="1" x14ac:dyDescent="0.25">
      <c r="A1" s="24" t="s">
        <v>672</v>
      </c>
      <c r="B1" s="25" t="s">
        <v>670</v>
      </c>
      <c r="C1" s="24" t="s">
        <v>673</v>
      </c>
      <c r="D1" s="25" t="s">
        <v>671</v>
      </c>
      <c r="E1" s="24" t="s">
        <v>673</v>
      </c>
      <c r="F1" s="25" t="s">
        <v>674</v>
      </c>
    </row>
    <row r="2" spans="1:6" ht="111" thickBot="1" x14ac:dyDescent="0.25">
      <c r="A2" s="26" t="s">
        <v>675</v>
      </c>
      <c r="B2" s="25">
        <v>2</v>
      </c>
      <c r="C2" s="26" t="s">
        <v>676</v>
      </c>
      <c r="D2" s="25">
        <v>4</v>
      </c>
      <c r="E2" s="26" t="s">
        <v>677</v>
      </c>
      <c r="F2" s="25">
        <v>1.33</v>
      </c>
    </row>
    <row r="3" spans="1:6" ht="95.25" thickBot="1" x14ac:dyDescent="0.25">
      <c r="A3" s="26" t="s">
        <v>678</v>
      </c>
      <c r="B3" s="25">
        <v>2</v>
      </c>
      <c r="C3" s="26" t="s">
        <v>679</v>
      </c>
      <c r="D3" s="25">
        <v>4</v>
      </c>
      <c r="E3" s="26" t="s">
        <v>680</v>
      </c>
      <c r="F3" s="25">
        <v>1.33</v>
      </c>
    </row>
    <row r="4" spans="1:6" ht="95.25" thickBot="1" x14ac:dyDescent="0.25">
      <c r="A4" s="26" t="s">
        <v>681</v>
      </c>
      <c r="B4" s="25">
        <v>2</v>
      </c>
      <c r="C4" s="26" t="s">
        <v>682</v>
      </c>
      <c r="D4" s="25">
        <v>4</v>
      </c>
      <c r="E4" s="26" t="s">
        <v>683</v>
      </c>
      <c r="F4" s="25">
        <v>1.33</v>
      </c>
    </row>
    <row r="5" spans="1:6" ht="126.75" thickBot="1" x14ac:dyDescent="0.25">
      <c r="A5" s="26" t="s">
        <v>684</v>
      </c>
      <c r="B5" s="25">
        <v>2</v>
      </c>
      <c r="C5" s="26" t="s">
        <v>685</v>
      </c>
      <c r="D5" s="25">
        <v>3</v>
      </c>
      <c r="E5" s="26" t="s">
        <v>686</v>
      </c>
      <c r="F5" s="25">
        <v>0.67</v>
      </c>
    </row>
    <row r="6" spans="1:6" ht="16.5" thickBot="1" x14ac:dyDescent="0.25">
      <c r="A6" s="24" t="s">
        <v>687</v>
      </c>
      <c r="B6" s="24"/>
      <c r="C6" s="26"/>
      <c r="D6" s="26"/>
      <c r="E6" s="26"/>
      <c r="F6" s="25">
        <v>1.17</v>
      </c>
    </row>
    <row r="7" spans="1:6" ht="111" thickBot="1" x14ac:dyDescent="0.25">
      <c r="A7" s="26" t="s">
        <v>688</v>
      </c>
      <c r="B7" s="25">
        <v>2</v>
      </c>
      <c r="C7" s="26" t="s">
        <v>689</v>
      </c>
      <c r="D7" s="25">
        <v>4</v>
      </c>
      <c r="E7" s="26" t="s">
        <v>690</v>
      </c>
      <c r="F7" s="25">
        <v>1.33</v>
      </c>
    </row>
    <row r="8" spans="1:6" ht="111" thickBot="1" x14ac:dyDescent="0.25">
      <c r="A8" s="26" t="s">
        <v>691</v>
      </c>
      <c r="B8" s="25">
        <v>2</v>
      </c>
      <c r="C8" s="26" t="s">
        <v>692</v>
      </c>
      <c r="D8" s="25">
        <v>4</v>
      </c>
      <c r="E8" s="26" t="s">
        <v>693</v>
      </c>
      <c r="F8" s="25">
        <v>1.33</v>
      </c>
    </row>
    <row r="9" spans="1:6" ht="111" thickBot="1" x14ac:dyDescent="0.25">
      <c r="A9" s="26" t="s">
        <v>694</v>
      </c>
      <c r="B9" s="25">
        <v>2</v>
      </c>
      <c r="C9" s="26" t="s">
        <v>695</v>
      </c>
      <c r="D9" s="25">
        <v>4</v>
      </c>
      <c r="E9" s="26" t="s">
        <v>696</v>
      </c>
      <c r="F9" s="25">
        <v>1.33</v>
      </c>
    </row>
    <row r="10" spans="1:6" ht="111" thickBot="1" x14ac:dyDescent="0.25">
      <c r="A10" s="26" t="s">
        <v>697</v>
      </c>
      <c r="B10" s="25">
        <v>1</v>
      </c>
      <c r="C10" s="26" t="s">
        <v>698</v>
      </c>
      <c r="D10" s="25">
        <v>3</v>
      </c>
      <c r="E10" s="26" t="s">
        <v>699</v>
      </c>
      <c r="F10" s="25">
        <v>1</v>
      </c>
    </row>
    <row r="11" spans="1:6" ht="32.25" thickBot="1" x14ac:dyDescent="0.25">
      <c r="A11" s="24" t="s">
        <v>700</v>
      </c>
      <c r="B11" s="24"/>
      <c r="C11" s="26"/>
      <c r="D11" s="26"/>
      <c r="E11" s="26"/>
      <c r="F11" s="25">
        <v>1.25</v>
      </c>
    </row>
    <row r="12" spans="1:6" ht="111" thickBot="1" x14ac:dyDescent="0.25">
      <c r="A12" s="26" t="s">
        <v>701</v>
      </c>
      <c r="B12" s="25">
        <v>2</v>
      </c>
      <c r="C12" s="26" t="s">
        <v>702</v>
      </c>
      <c r="D12" s="25">
        <v>4</v>
      </c>
      <c r="E12" s="26" t="s">
        <v>703</v>
      </c>
      <c r="F12" s="25">
        <v>1.33</v>
      </c>
    </row>
    <row r="13" spans="1:6" ht="111" thickBot="1" x14ac:dyDescent="0.25">
      <c r="A13" s="26" t="s">
        <v>704</v>
      </c>
      <c r="B13" s="25">
        <v>1</v>
      </c>
      <c r="C13" s="26" t="s">
        <v>705</v>
      </c>
      <c r="D13" s="25">
        <v>3</v>
      </c>
      <c r="E13" s="26" t="s">
        <v>706</v>
      </c>
      <c r="F13" s="25">
        <v>1</v>
      </c>
    </row>
    <row r="14" spans="1:6" ht="95.25" thickBot="1" x14ac:dyDescent="0.25">
      <c r="A14" s="26" t="s">
        <v>707</v>
      </c>
      <c r="B14" s="25">
        <v>1</v>
      </c>
      <c r="C14" s="26" t="s">
        <v>708</v>
      </c>
      <c r="D14" s="25">
        <v>3</v>
      </c>
      <c r="E14" s="26" t="s">
        <v>709</v>
      </c>
      <c r="F14" s="25">
        <v>1</v>
      </c>
    </row>
    <row r="15" spans="1:6" ht="126.75" thickBot="1" x14ac:dyDescent="0.25">
      <c r="A15" s="26" t="s">
        <v>710</v>
      </c>
      <c r="B15" s="25">
        <v>1</v>
      </c>
      <c r="C15" s="26" t="s">
        <v>711</v>
      </c>
      <c r="D15" s="25">
        <v>2</v>
      </c>
      <c r="E15" s="26" t="s">
        <v>712</v>
      </c>
      <c r="F15" s="25">
        <v>0.5</v>
      </c>
    </row>
    <row r="16" spans="1:6" ht="32.25" thickBot="1" x14ac:dyDescent="0.25">
      <c r="A16" s="24" t="s">
        <v>713</v>
      </c>
      <c r="B16" s="24"/>
      <c r="C16" s="26"/>
      <c r="D16" s="26"/>
      <c r="E16" s="26"/>
      <c r="F16" s="25">
        <v>0.96</v>
      </c>
    </row>
    <row r="17" spans="1:6" ht="111" thickBot="1" x14ac:dyDescent="0.25">
      <c r="A17" s="26" t="s">
        <v>714</v>
      </c>
      <c r="B17" s="25">
        <v>2</v>
      </c>
      <c r="C17" s="26" t="s">
        <v>715</v>
      </c>
      <c r="D17" s="25">
        <v>4</v>
      </c>
      <c r="E17" s="26" t="s">
        <v>716</v>
      </c>
      <c r="F17" s="25">
        <v>1.33</v>
      </c>
    </row>
    <row r="18" spans="1:6" ht="95.25" thickBot="1" x14ac:dyDescent="0.25">
      <c r="A18" s="26" t="s">
        <v>717</v>
      </c>
      <c r="B18" s="25">
        <v>2</v>
      </c>
      <c r="C18" s="26" t="s">
        <v>718</v>
      </c>
      <c r="D18" s="25">
        <v>4</v>
      </c>
      <c r="E18" s="26" t="s">
        <v>719</v>
      </c>
      <c r="F18" s="25">
        <v>1.33</v>
      </c>
    </row>
    <row r="19" spans="1:6" ht="111" thickBot="1" x14ac:dyDescent="0.25">
      <c r="A19" s="26" t="s">
        <v>720</v>
      </c>
      <c r="B19" s="25">
        <v>2</v>
      </c>
      <c r="C19" s="26" t="s">
        <v>721</v>
      </c>
      <c r="D19" s="25">
        <v>4</v>
      </c>
      <c r="E19" s="26" t="s">
        <v>722</v>
      </c>
      <c r="F19" s="25">
        <v>1.33</v>
      </c>
    </row>
    <row r="20" spans="1:6" ht="111" thickBot="1" x14ac:dyDescent="0.25">
      <c r="A20" s="26" t="s">
        <v>723</v>
      </c>
      <c r="B20" s="25">
        <v>2</v>
      </c>
      <c r="C20" s="26" t="s">
        <v>724</v>
      </c>
      <c r="D20" s="25">
        <v>5</v>
      </c>
      <c r="E20" s="26" t="s">
        <v>725</v>
      </c>
      <c r="F20" s="25">
        <v>2</v>
      </c>
    </row>
    <row r="21" spans="1:6" ht="16.5" thickBot="1" x14ac:dyDescent="0.25">
      <c r="A21" s="24" t="s">
        <v>726</v>
      </c>
      <c r="B21" s="24"/>
      <c r="C21" s="26"/>
      <c r="D21" s="26"/>
      <c r="E21" s="26"/>
      <c r="F21" s="25">
        <v>1.5</v>
      </c>
    </row>
    <row r="22" spans="1:6" ht="142.5" thickBot="1" x14ac:dyDescent="0.25">
      <c r="A22" s="26" t="s">
        <v>727</v>
      </c>
      <c r="B22" s="25">
        <v>2</v>
      </c>
      <c r="C22" s="26" t="s">
        <v>728</v>
      </c>
      <c r="D22" s="25">
        <v>4</v>
      </c>
      <c r="E22" s="26" t="s">
        <v>729</v>
      </c>
      <c r="F22" s="25">
        <v>1.33</v>
      </c>
    </row>
    <row r="23" spans="1:6" ht="142.5" thickBot="1" x14ac:dyDescent="0.25">
      <c r="A23" s="26" t="s">
        <v>730</v>
      </c>
      <c r="B23" s="25">
        <v>2</v>
      </c>
      <c r="C23" s="26" t="s">
        <v>731</v>
      </c>
      <c r="D23" s="25">
        <v>4</v>
      </c>
      <c r="E23" s="26" t="s">
        <v>732</v>
      </c>
      <c r="F23" s="25">
        <v>1.33</v>
      </c>
    </row>
    <row r="24" spans="1:6" ht="142.5" thickBot="1" x14ac:dyDescent="0.25">
      <c r="A24" s="26" t="s">
        <v>733</v>
      </c>
      <c r="B24" s="25">
        <v>2</v>
      </c>
      <c r="C24" s="26" t="s">
        <v>734</v>
      </c>
      <c r="D24" s="25">
        <v>4</v>
      </c>
      <c r="E24" s="26" t="s">
        <v>735</v>
      </c>
      <c r="F24" s="25">
        <v>1.33</v>
      </c>
    </row>
    <row r="25" spans="1:6" ht="158.25" thickBot="1" x14ac:dyDescent="0.25">
      <c r="A25" s="26" t="s">
        <v>736</v>
      </c>
      <c r="B25" s="25">
        <v>2</v>
      </c>
      <c r="C25" s="26" t="s">
        <v>737</v>
      </c>
      <c r="D25" s="25">
        <v>5</v>
      </c>
      <c r="E25" s="26" t="s">
        <v>738</v>
      </c>
      <c r="F25" s="25">
        <v>2</v>
      </c>
    </row>
    <row r="26" spans="1:6" ht="32.25" thickBot="1" x14ac:dyDescent="0.25">
      <c r="A26" s="24" t="s">
        <v>739</v>
      </c>
      <c r="B26" s="24"/>
      <c r="C26" s="26"/>
      <c r="D26" s="26"/>
      <c r="E26" s="26"/>
      <c r="F26" s="25">
        <v>1.5</v>
      </c>
    </row>
    <row r="27" spans="1:6" ht="111" thickBot="1" x14ac:dyDescent="0.25">
      <c r="A27" s="26" t="s">
        <v>740</v>
      </c>
      <c r="B27" s="25">
        <v>3</v>
      </c>
      <c r="C27" s="26" t="s">
        <v>741</v>
      </c>
      <c r="D27" s="25">
        <v>4</v>
      </c>
      <c r="E27" s="26" t="s">
        <v>742</v>
      </c>
      <c r="F27" s="25">
        <v>1</v>
      </c>
    </row>
    <row r="28" spans="1:6" ht="111" thickBot="1" x14ac:dyDescent="0.25">
      <c r="A28" s="26" t="s">
        <v>743</v>
      </c>
      <c r="B28" s="25">
        <v>2</v>
      </c>
      <c r="C28" s="26" t="s">
        <v>744</v>
      </c>
      <c r="D28" s="25">
        <v>3</v>
      </c>
      <c r="E28" s="26" t="s">
        <v>745</v>
      </c>
      <c r="F28" s="25">
        <v>0.67</v>
      </c>
    </row>
    <row r="29" spans="1:6" ht="95.25" thickBot="1" x14ac:dyDescent="0.25">
      <c r="A29" s="26" t="s">
        <v>746</v>
      </c>
      <c r="B29" s="25">
        <v>3</v>
      </c>
      <c r="C29" s="26" t="s">
        <v>747</v>
      </c>
      <c r="D29" s="25">
        <v>4</v>
      </c>
      <c r="E29" s="26" t="s">
        <v>748</v>
      </c>
      <c r="F29" s="25">
        <v>1</v>
      </c>
    </row>
    <row r="30" spans="1:6" ht="126.75" thickBot="1" x14ac:dyDescent="0.25">
      <c r="A30" s="26" t="s">
        <v>749</v>
      </c>
      <c r="B30" s="25">
        <v>2</v>
      </c>
      <c r="C30" s="26" t="s">
        <v>750</v>
      </c>
      <c r="D30" s="25">
        <v>3</v>
      </c>
      <c r="E30" s="26" t="s">
        <v>751</v>
      </c>
      <c r="F30" s="25">
        <v>0.67</v>
      </c>
    </row>
    <row r="31" spans="1:6" ht="32.25" thickBot="1" x14ac:dyDescent="0.25">
      <c r="A31" s="24" t="s">
        <v>752</v>
      </c>
      <c r="B31" s="24"/>
      <c r="C31" s="26"/>
      <c r="D31" s="26"/>
      <c r="E31" s="26"/>
      <c r="F31" s="25">
        <v>0.83</v>
      </c>
    </row>
    <row r="32" spans="1:6" ht="79.5" thickBot="1" x14ac:dyDescent="0.25">
      <c r="A32" s="26" t="s">
        <v>753</v>
      </c>
      <c r="B32" s="25">
        <v>2</v>
      </c>
      <c r="C32" s="26" t="s">
        <v>754</v>
      </c>
      <c r="D32" s="25">
        <v>3</v>
      </c>
      <c r="E32" s="26" t="s">
        <v>755</v>
      </c>
      <c r="F32" s="25">
        <v>0.67</v>
      </c>
    </row>
    <row r="33" spans="1:6" ht="95.25" thickBot="1" x14ac:dyDescent="0.25">
      <c r="A33" s="26" t="s">
        <v>756</v>
      </c>
      <c r="B33" s="25">
        <v>1</v>
      </c>
      <c r="C33" s="26" t="s">
        <v>757</v>
      </c>
      <c r="D33" s="25">
        <v>2</v>
      </c>
      <c r="E33" s="26" t="s">
        <v>758</v>
      </c>
      <c r="F33" s="25">
        <v>0.5</v>
      </c>
    </row>
    <row r="34" spans="1:6" ht="79.5" thickBot="1" x14ac:dyDescent="0.25">
      <c r="A34" s="26" t="s">
        <v>759</v>
      </c>
      <c r="B34" s="25">
        <v>2</v>
      </c>
      <c r="C34" s="26" t="s">
        <v>760</v>
      </c>
      <c r="D34" s="25">
        <v>3</v>
      </c>
      <c r="E34" s="26" t="s">
        <v>761</v>
      </c>
      <c r="F34" s="25">
        <v>0.67</v>
      </c>
    </row>
    <row r="35" spans="1:6" ht="79.5" thickBot="1" x14ac:dyDescent="0.25">
      <c r="A35" s="26" t="s">
        <v>762</v>
      </c>
      <c r="B35" s="25">
        <v>1</v>
      </c>
      <c r="C35" s="26" t="s">
        <v>763</v>
      </c>
      <c r="D35" s="25">
        <v>2</v>
      </c>
      <c r="E35" s="26" t="s">
        <v>764</v>
      </c>
      <c r="F35" s="25">
        <v>0.5</v>
      </c>
    </row>
    <row r="36" spans="1:6" ht="32.25" thickBot="1" x14ac:dyDescent="0.25">
      <c r="A36" s="24" t="s">
        <v>765</v>
      </c>
      <c r="B36" s="24"/>
      <c r="C36" s="26"/>
      <c r="D36" s="26"/>
      <c r="E36" s="26"/>
      <c r="F36" s="25">
        <v>0.57999999999999996</v>
      </c>
    </row>
    <row r="37" spans="1:6" ht="95.25" thickBot="1" x14ac:dyDescent="0.25">
      <c r="A37" s="26" t="s">
        <v>766</v>
      </c>
      <c r="B37" s="25">
        <v>3</v>
      </c>
      <c r="C37" s="26" t="s">
        <v>767</v>
      </c>
      <c r="D37" s="25">
        <v>4</v>
      </c>
      <c r="E37" s="26" t="s">
        <v>768</v>
      </c>
      <c r="F37" s="25">
        <v>1</v>
      </c>
    </row>
    <row r="38" spans="1:6" ht="95.25" thickBot="1" x14ac:dyDescent="0.25">
      <c r="A38" s="26" t="s">
        <v>769</v>
      </c>
      <c r="B38" s="25">
        <v>2</v>
      </c>
      <c r="C38" s="26" t="s">
        <v>770</v>
      </c>
      <c r="D38" s="25">
        <v>3</v>
      </c>
      <c r="E38" s="26" t="s">
        <v>771</v>
      </c>
      <c r="F38" s="25">
        <v>0.67</v>
      </c>
    </row>
    <row r="39" spans="1:6" ht="95.25" thickBot="1" x14ac:dyDescent="0.25">
      <c r="A39" s="26" t="s">
        <v>772</v>
      </c>
      <c r="B39" s="25">
        <v>3</v>
      </c>
      <c r="C39" s="26" t="s">
        <v>773</v>
      </c>
      <c r="D39" s="25">
        <v>4</v>
      </c>
      <c r="E39" s="26" t="s">
        <v>774</v>
      </c>
      <c r="F39" s="25">
        <v>1</v>
      </c>
    </row>
    <row r="40" spans="1:6" ht="95.25" thickBot="1" x14ac:dyDescent="0.25">
      <c r="A40" s="26" t="s">
        <v>775</v>
      </c>
      <c r="B40" s="25">
        <v>2</v>
      </c>
      <c r="C40" s="26" t="s">
        <v>776</v>
      </c>
      <c r="D40" s="25">
        <v>3</v>
      </c>
      <c r="E40" s="26" t="s">
        <v>777</v>
      </c>
      <c r="F40" s="25">
        <v>0.67</v>
      </c>
    </row>
    <row r="41" spans="1:6" ht="48" thickBot="1" x14ac:dyDescent="0.25">
      <c r="A41" s="24" t="s">
        <v>778</v>
      </c>
      <c r="B41" s="24"/>
      <c r="C41" s="26"/>
      <c r="D41" s="26"/>
      <c r="E41" s="26"/>
      <c r="F41" s="25">
        <v>0.83</v>
      </c>
    </row>
    <row r="42" spans="1:6" ht="111" thickBot="1" x14ac:dyDescent="0.25">
      <c r="A42" s="26" t="s">
        <v>779</v>
      </c>
      <c r="B42" s="25">
        <v>2</v>
      </c>
      <c r="C42" s="26" t="s">
        <v>780</v>
      </c>
      <c r="D42" s="25">
        <v>3</v>
      </c>
      <c r="E42" s="26" t="s">
        <v>781</v>
      </c>
      <c r="F42" s="25">
        <v>0.67</v>
      </c>
    </row>
    <row r="43" spans="1:6" ht="111" thickBot="1" x14ac:dyDescent="0.25">
      <c r="A43" s="26" t="s">
        <v>782</v>
      </c>
      <c r="B43" s="25">
        <v>2</v>
      </c>
      <c r="C43" s="26" t="s">
        <v>783</v>
      </c>
      <c r="D43" s="25">
        <v>4</v>
      </c>
      <c r="E43" s="26" t="s">
        <v>784</v>
      </c>
      <c r="F43" s="25">
        <v>1.33</v>
      </c>
    </row>
    <row r="44" spans="1:6" ht="111" thickBot="1" x14ac:dyDescent="0.25">
      <c r="A44" s="26" t="s">
        <v>785</v>
      </c>
      <c r="B44" s="25">
        <v>2</v>
      </c>
      <c r="C44" s="26" t="s">
        <v>786</v>
      </c>
      <c r="D44" s="25">
        <v>3</v>
      </c>
      <c r="E44" s="26" t="s">
        <v>787</v>
      </c>
      <c r="F44" s="25">
        <v>0.67</v>
      </c>
    </row>
    <row r="45" spans="1:6" ht="111" thickBot="1" x14ac:dyDescent="0.25">
      <c r="A45" s="26" t="s">
        <v>788</v>
      </c>
      <c r="B45" s="25">
        <v>3</v>
      </c>
      <c r="C45" s="26" t="s">
        <v>789</v>
      </c>
      <c r="D45" s="25">
        <v>4</v>
      </c>
      <c r="E45" s="26" t="s">
        <v>790</v>
      </c>
      <c r="F45" s="25">
        <v>1</v>
      </c>
    </row>
    <row r="46" spans="1:6" ht="32.25" thickBot="1" x14ac:dyDescent="0.25">
      <c r="A46" s="24" t="s">
        <v>791</v>
      </c>
      <c r="B46" s="24"/>
      <c r="C46" s="26"/>
      <c r="D46" s="26"/>
      <c r="E46" s="26"/>
      <c r="F46" s="25">
        <v>0.92</v>
      </c>
    </row>
    <row r="47" spans="1:6" ht="95.25" thickBot="1" x14ac:dyDescent="0.25">
      <c r="A47" s="26" t="s">
        <v>792</v>
      </c>
      <c r="B47" s="25">
        <v>2</v>
      </c>
      <c r="C47" s="26" t="s">
        <v>793</v>
      </c>
      <c r="D47" s="25">
        <v>3</v>
      </c>
      <c r="E47" s="26" t="s">
        <v>794</v>
      </c>
      <c r="F47" s="25">
        <v>0.67</v>
      </c>
    </row>
    <row r="48" spans="1:6" ht="95.25" thickBot="1" x14ac:dyDescent="0.25">
      <c r="A48" s="26" t="s">
        <v>795</v>
      </c>
      <c r="B48" s="25">
        <v>2</v>
      </c>
      <c r="C48" s="26" t="s">
        <v>796</v>
      </c>
      <c r="D48" s="25">
        <v>4</v>
      </c>
      <c r="E48" s="26" t="s">
        <v>797</v>
      </c>
      <c r="F48" s="25">
        <v>1.33</v>
      </c>
    </row>
    <row r="49" spans="1:6" ht="111" thickBot="1" x14ac:dyDescent="0.25">
      <c r="A49" s="26" t="s">
        <v>798</v>
      </c>
      <c r="B49" s="25">
        <v>3</v>
      </c>
      <c r="C49" s="26" t="s">
        <v>799</v>
      </c>
      <c r="D49" s="25">
        <v>4</v>
      </c>
      <c r="E49" s="26" t="s">
        <v>800</v>
      </c>
      <c r="F49" s="25">
        <v>1</v>
      </c>
    </row>
    <row r="50" spans="1:6" ht="111" thickBot="1" x14ac:dyDescent="0.25">
      <c r="A50" s="26" t="s">
        <v>801</v>
      </c>
      <c r="B50" s="25">
        <v>2</v>
      </c>
      <c r="C50" s="26" t="s">
        <v>802</v>
      </c>
      <c r="D50" s="25">
        <v>4</v>
      </c>
      <c r="E50" s="26" t="s">
        <v>803</v>
      </c>
      <c r="F50" s="25">
        <v>1.33</v>
      </c>
    </row>
    <row r="51" spans="1:6" ht="32.25" thickBot="1" x14ac:dyDescent="0.25">
      <c r="A51" s="26" t="s">
        <v>804</v>
      </c>
      <c r="B51" s="24"/>
      <c r="C51" s="26"/>
      <c r="D51" s="26"/>
      <c r="E51" s="26"/>
      <c r="F51" s="25">
        <v>1.08</v>
      </c>
    </row>
    <row r="52" spans="1:6" ht="95.25" thickBot="1" x14ac:dyDescent="0.25">
      <c r="A52" s="26" t="s">
        <v>805</v>
      </c>
      <c r="B52" s="25">
        <v>2</v>
      </c>
      <c r="C52" s="26" t="s">
        <v>806</v>
      </c>
      <c r="D52" s="25">
        <v>3</v>
      </c>
      <c r="E52" s="26" t="s">
        <v>807</v>
      </c>
      <c r="F52" s="25">
        <v>0.67</v>
      </c>
    </row>
    <row r="53" spans="1:6" ht="95.25" thickBot="1" x14ac:dyDescent="0.25">
      <c r="A53" s="26" t="s">
        <v>808</v>
      </c>
      <c r="B53" s="25">
        <v>2</v>
      </c>
      <c r="C53" s="26" t="s">
        <v>809</v>
      </c>
      <c r="D53" s="25">
        <v>3</v>
      </c>
      <c r="E53" s="26" t="s">
        <v>810</v>
      </c>
      <c r="F53" s="25">
        <v>0.67</v>
      </c>
    </row>
    <row r="54" spans="1:6" ht="79.5" thickBot="1" x14ac:dyDescent="0.25">
      <c r="A54" s="26" t="s">
        <v>811</v>
      </c>
      <c r="B54" s="25">
        <v>2</v>
      </c>
      <c r="C54" s="26" t="s">
        <v>812</v>
      </c>
      <c r="D54" s="25">
        <v>3</v>
      </c>
      <c r="E54" s="26" t="s">
        <v>813</v>
      </c>
      <c r="F54" s="25">
        <v>0.67</v>
      </c>
    </row>
    <row r="55" spans="1:6" ht="95.25" thickBot="1" x14ac:dyDescent="0.25">
      <c r="A55" s="26" t="s">
        <v>814</v>
      </c>
      <c r="B55" s="25">
        <v>2</v>
      </c>
      <c r="C55" s="26" t="s">
        <v>815</v>
      </c>
      <c r="D55" s="25">
        <v>3</v>
      </c>
      <c r="E55" s="26" t="s">
        <v>816</v>
      </c>
      <c r="F55" s="25">
        <v>0.67</v>
      </c>
    </row>
    <row r="56" spans="1:6" ht="48" thickBot="1" x14ac:dyDescent="0.25">
      <c r="A56" s="24" t="s">
        <v>817</v>
      </c>
      <c r="B56" s="24"/>
      <c r="C56" s="26"/>
      <c r="D56" s="26"/>
      <c r="E56" s="26"/>
      <c r="F56" s="25">
        <v>0.67</v>
      </c>
    </row>
    <row r="57" spans="1:6" ht="111" thickBot="1" x14ac:dyDescent="0.25">
      <c r="A57" s="26" t="s">
        <v>818</v>
      </c>
      <c r="B57" s="25">
        <v>2</v>
      </c>
      <c r="C57" s="26" t="s">
        <v>819</v>
      </c>
      <c r="D57" s="25">
        <v>3</v>
      </c>
      <c r="E57" s="26" t="s">
        <v>820</v>
      </c>
      <c r="F57" s="25">
        <v>0.67</v>
      </c>
    </row>
    <row r="58" spans="1:6" ht="95.25" thickBot="1" x14ac:dyDescent="0.25">
      <c r="A58" s="26" t="s">
        <v>821</v>
      </c>
      <c r="B58" s="25">
        <v>2</v>
      </c>
      <c r="C58" s="26" t="s">
        <v>822</v>
      </c>
      <c r="D58" s="25">
        <v>3</v>
      </c>
      <c r="E58" s="26" t="s">
        <v>823</v>
      </c>
      <c r="F58" s="25">
        <v>0.67</v>
      </c>
    </row>
    <row r="59" spans="1:6" ht="95.25" thickBot="1" x14ac:dyDescent="0.25">
      <c r="A59" s="26" t="s">
        <v>824</v>
      </c>
      <c r="B59" s="25">
        <v>2</v>
      </c>
      <c r="C59" s="26" t="s">
        <v>825</v>
      </c>
      <c r="D59" s="25">
        <v>3</v>
      </c>
      <c r="E59" s="26" t="s">
        <v>826</v>
      </c>
      <c r="F59" s="25">
        <v>0.67</v>
      </c>
    </row>
    <row r="60" spans="1:6" ht="111" thickBot="1" x14ac:dyDescent="0.25">
      <c r="A60" s="26" t="s">
        <v>827</v>
      </c>
      <c r="B60" s="25">
        <v>2</v>
      </c>
      <c r="C60" s="26" t="s">
        <v>828</v>
      </c>
      <c r="D60" s="25">
        <v>3</v>
      </c>
      <c r="E60" s="26" t="s">
        <v>829</v>
      </c>
      <c r="F60" s="25">
        <v>0.67</v>
      </c>
    </row>
    <row r="61" spans="1:6" ht="32.25" thickBot="1" x14ac:dyDescent="0.25">
      <c r="A61" s="24" t="s">
        <v>830</v>
      </c>
      <c r="B61" s="24"/>
      <c r="C61" s="26"/>
      <c r="D61" s="26"/>
      <c r="E61" s="26"/>
      <c r="F61" s="25">
        <v>0.67</v>
      </c>
    </row>
    <row r="62" spans="1:6" ht="126.75" thickBot="1" x14ac:dyDescent="0.25">
      <c r="A62" s="26" t="s">
        <v>831</v>
      </c>
      <c r="B62" s="25">
        <v>2</v>
      </c>
      <c r="C62" s="26" t="s">
        <v>832</v>
      </c>
      <c r="D62" s="25">
        <v>3</v>
      </c>
      <c r="E62" s="26" t="s">
        <v>833</v>
      </c>
      <c r="F62" s="25">
        <v>0.67</v>
      </c>
    </row>
    <row r="63" spans="1:6" ht="111" thickBot="1" x14ac:dyDescent="0.25">
      <c r="A63" s="26" t="s">
        <v>834</v>
      </c>
      <c r="B63" s="25">
        <v>2</v>
      </c>
      <c r="C63" s="26" t="s">
        <v>835</v>
      </c>
      <c r="D63" s="25">
        <v>3</v>
      </c>
      <c r="E63" s="26" t="s">
        <v>836</v>
      </c>
      <c r="F63" s="25">
        <v>0.67</v>
      </c>
    </row>
    <row r="64" spans="1:6" ht="111" thickBot="1" x14ac:dyDescent="0.25">
      <c r="A64" s="26" t="s">
        <v>837</v>
      </c>
      <c r="B64" s="25">
        <v>2</v>
      </c>
      <c r="C64" s="26" t="s">
        <v>838</v>
      </c>
      <c r="D64" s="25">
        <v>3</v>
      </c>
      <c r="E64" s="26" t="s">
        <v>839</v>
      </c>
      <c r="F64" s="25">
        <v>0.67</v>
      </c>
    </row>
    <row r="65" spans="1:6" ht="111" thickBot="1" x14ac:dyDescent="0.25">
      <c r="A65" s="26" t="s">
        <v>840</v>
      </c>
      <c r="B65" s="25">
        <v>3</v>
      </c>
      <c r="C65" s="26" t="s">
        <v>841</v>
      </c>
      <c r="D65" s="25">
        <v>3</v>
      </c>
      <c r="E65" s="26" t="s">
        <v>842</v>
      </c>
      <c r="F65" s="25">
        <v>0</v>
      </c>
    </row>
    <row r="66" spans="1:6" ht="16.5" thickBot="1" x14ac:dyDescent="0.25">
      <c r="A66" s="26" t="s">
        <v>843</v>
      </c>
      <c r="B66" s="24"/>
      <c r="C66" s="26"/>
      <c r="D66" s="26"/>
      <c r="E66" s="26"/>
      <c r="F66" s="25">
        <v>0.5</v>
      </c>
    </row>
    <row r="67" spans="1:6" ht="95.25" thickBot="1" x14ac:dyDescent="0.25">
      <c r="A67" s="26" t="s">
        <v>844</v>
      </c>
      <c r="B67" s="25">
        <v>2</v>
      </c>
      <c r="C67" s="26" t="s">
        <v>845</v>
      </c>
      <c r="D67" s="25">
        <v>4</v>
      </c>
      <c r="E67" s="26" t="s">
        <v>846</v>
      </c>
      <c r="F67" s="25">
        <v>1.33</v>
      </c>
    </row>
    <row r="68" spans="1:6" ht="79.5" thickBot="1" x14ac:dyDescent="0.25">
      <c r="A68" s="26" t="s">
        <v>847</v>
      </c>
      <c r="B68" s="25">
        <v>1</v>
      </c>
      <c r="C68" s="26" t="s">
        <v>848</v>
      </c>
      <c r="D68" s="25">
        <v>3</v>
      </c>
      <c r="E68" s="26" t="s">
        <v>849</v>
      </c>
      <c r="F68" s="25">
        <v>1</v>
      </c>
    </row>
    <row r="69" spans="1:6" ht="95.25" thickBot="1" x14ac:dyDescent="0.25">
      <c r="A69" s="26" t="s">
        <v>850</v>
      </c>
      <c r="B69" s="25">
        <v>3</v>
      </c>
      <c r="C69" s="26" t="s">
        <v>851</v>
      </c>
      <c r="D69" s="25">
        <v>4</v>
      </c>
      <c r="E69" s="26" t="s">
        <v>852</v>
      </c>
      <c r="F69" s="25">
        <v>1</v>
      </c>
    </row>
    <row r="70" spans="1:6" ht="111" thickBot="1" x14ac:dyDescent="0.25">
      <c r="A70" s="26" t="s">
        <v>853</v>
      </c>
      <c r="B70" s="25">
        <v>2</v>
      </c>
      <c r="C70" s="26" t="s">
        <v>854</v>
      </c>
      <c r="D70" s="25">
        <v>3</v>
      </c>
      <c r="E70" s="26" t="s">
        <v>855</v>
      </c>
      <c r="F70" s="25">
        <v>0.67</v>
      </c>
    </row>
    <row r="71" spans="1:6" ht="16.5" thickBot="1" x14ac:dyDescent="0.25">
      <c r="A71" s="24" t="s">
        <v>856</v>
      </c>
      <c r="B71" s="24"/>
      <c r="C71" s="26"/>
      <c r="D71" s="26"/>
      <c r="E71" s="26"/>
      <c r="F71" s="25">
        <v>1</v>
      </c>
    </row>
    <row r="72" spans="1:6" ht="111" thickBot="1" x14ac:dyDescent="0.25">
      <c r="A72" s="26" t="s">
        <v>857</v>
      </c>
      <c r="B72" s="25">
        <v>2</v>
      </c>
      <c r="C72" s="26" t="s">
        <v>858</v>
      </c>
      <c r="D72" s="25">
        <v>3</v>
      </c>
      <c r="E72" s="26" t="s">
        <v>859</v>
      </c>
      <c r="F72" s="25">
        <v>0.67</v>
      </c>
    </row>
    <row r="73" spans="1:6" ht="126.75" thickBot="1" x14ac:dyDescent="0.25">
      <c r="A73" s="26" t="s">
        <v>860</v>
      </c>
      <c r="B73" s="25">
        <v>1</v>
      </c>
      <c r="C73" s="26" t="s">
        <v>861</v>
      </c>
      <c r="D73" s="25">
        <v>2</v>
      </c>
      <c r="E73" s="26" t="s">
        <v>862</v>
      </c>
      <c r="F73" s="25">
        <v>0.5</v>
      </c>
    </row>
    <row r="74" spans="1:6" ht="111" thickBot="1" x14ac:dyDescent="0.25">
      <c r="A74" s="26" t="s">
        <v>863</v>
      </c>
      <c r="B74" s="25">
        <v>3</v>
      </c>
      <c r="C74" s="26" t="s">
        <v>864</v>
      </c>
      <c r="D74" s="25">
        <v>4</v>
      </c>
      <c r="E74" s="26" t="s">
        <v>865</v>
      </c>
      <c r="F74" s="25">
        <v>1</v>
      </c>
    </row>
    <row r="75" spans="1:6" ht="126.75" thickBot="1" x14ac:dyDescent="0.25">
      <c r="A75" s="26" t="s">
        <v>866</v>
      </c>
      <c r="B75" s="25">
        <v>2</v>
      </c>
      <c r="C75" s="26" t="s">
        <v>867</v>
      </c>
      <c r="D75" s="25">
        <v>3</v>
      </c>
      <c r="E75" s="26" t="s">
        <v>868</v>
      </c>
      <c r="F75" s="25">
        <v>0.67</v>
      </c>
    </row>
    <row r="76" spans="1:6" ht="32.25" thickBot="1" x14ac:dyDescent="0.25">
      <c r="A76" s="24" t="s">
        <v>869</v>
      </c>
      <c r="B76" s="24"/>
      <c r="C76" s="26"/>
      <c r="D76" s="26"/>
      <c r="E76" s="26"/>
      <c r="F76" s="25">
        <v>0.71</v>
      </c>
    </row>
    <row r="77" spans="1:6" ht="111" thickBot="1" x14ac:dyDescent="0.25">
      <c r="A77" s="26" t="s">
        <v>870</v>
      </c>
      <c r="B77" s="25">
        <v>3</v>
      </c>
      <c r="C77" s="26" t="s">
        <v>871</v>
      </c>
      <c r="D77" s="25">
        <v>4</v>
      </c>
      <c r="E77" s="26" t="s">
        <v>872</v>
      </c>
      <c r="F77" s="25">
        <v>1</v>
      </c>
    </row>
    <row r="78" spans="1:6" ht="126.75" thickBot="1" x14ac:dyDescent="0.25">
      <c r="A78" s="26" t="s">
        <v>873</v>
      </c>
      <c r="B78" s="25">
        <v>2</v>
      </c>
      <c r="C78" s="26" t="s">
        <v>874</v>
      </c>
      <c r="D78" s="25">
        <v>3</v>
      </c>
      <c r="E78" s="26" t="s">
        <v>875</v>
      </c>
      <c r="F78" s="25">
        <v>0.67</v>
      </c>
    </row>
    <row r="79" spans="1:6" ht="111" thickBot="1" x14ac:dyDescent="0.25">
      <c r="A79" s="26" t="s">
        <v>876</v>
      </c>
      <c r="B79" s="25">
        <v>2</v>
      </c>
      <c r="C79" s="26" t="s">
        <v>877</v>
      </c>
      <c r="D79" s="25">
        <v>3</v>
      </c>
      <c r="E79" s="26" t="s">
        <v>878</v>
      </c>
      <c r="F79" s="25">
        <v>0.67</v>
      </c>
    </row>
    <row r="80" spans="1:6" ht="111" thickBot="1" x14ac:dyDescent="0.25">
      <c r="A80" s="26" t="s">
        <v>879</v>
      </c>
      <c r="B80" s="25">
        <v>3</v>
      </c>
      <c r="C80" s="26" t="s">
        <v>880</v>
      </c>
      <c r="D80" s="25">
        <v>4</v>
      </c>
      <c r="E80" s="26" t="s">
        <v>881</v>
      </c>
      <c r="F80" s="25">
        <v>1</v>
      </c>
    </row>
    <row r="81" spans="1:6" ht="32.25" thickBot="1" x14ac:dyDescent="0.25">
      <c r="A81" s="24" t="s">
        <v>882</v>
      </c>
      <c r="B81" s="24"/>
      <c r="C81" s="26"/>
      <c r="D81" s="26"/>
      <c r="E81" s="26"/>
      <c r="F81" s="25">
        <v>0.83</v>
      </c>
    </row>
    <row r="82" spans="1:6" ht="95.25" thickBot="1" x14ac:dyDescent="0.25">
      <c r="A82" s="26" t="s">
        <v>883</v>
      </c>
      <c r="B82" s="25">
        <v>3</v>
      </c>
      <c r="C82" s="26" t="s">
        <v>884</v>
      </c>
      <c r="D82" s="25">
        <v>4</v>
      </c>
      <c r="E82" s="26" t="s">
        <v>885</v>
      </c>
      <c r="F82" s="25">
        <v>1</v>
      </c>
    </row>
    <row r="83" spans="1:6" ht="111" thickBot="1" x14ac:dyDescent="0.25">
      <c r="A83" s="26" t="s">
        <v>886</v>
      </c>
      <c r="B83" s="25">
        <v>3</v>
      </c>
      <c r="C83" s="26" t="s">
        <v>887</v>
      </c>
      <c r="D83" s="25">
        <v>4</v>
      </c>
      <c r="E83" s="26" t="s">
        <v>888</v>
      </c>
      <c r="F83" s="25">
        <v>1</v>
      </c>
    </row>
    <row r="84" spans="1:6" ht="126.75" thickBot="1" x14ac:dyDescent="0.25">
      <c r="A84" s="26" t="s">
        <v>889</v>
      </c>
      <c r="B84" s="25">
        <v>3</v>
      </c>
      <c r="C84" s="26" t="s">
        <v>890</v>
      </c>
      <c r="D84" s="25">
        <v>4</v>
      </c>
      <c r="E84" s="26" t="s">
        <v>891</v>
      </c>
      <c r="F84" s="25">
        <v>1</v>
      </c>
    </row>
    <row r="85" spans="1:6" ht="126.75" thickBot="1" x14ac:dyDescent="0.25">
      <c r="A85" s="26" t="s">
        <v>892</v>
      </c>
      <c r="B85" s="25">
        <v>3</v>
      </c>
      <c r="C85" s="26" t="s">
        <v>893</v>
      </c>
      <c r="D85" s="25">
        <v>4</v>
      </c>
      <c r="E85" s="26" t="s">
        <v>894</v>
      </c>
      <c r="F85" s="25">
        <v>1</v>
      </c>
    </row>
    <row r="86" spans="1:6" ht="16.5" thickBot="1" x14ac:dyDescent="0.25">
      <c r="A86" s="26"/>
      <c r="B86" s="24"/>
      <c r="C86" s="26"/>
      <c r="D86" s="26"/>
      <c r="E86" s="26"/>
      <c r="F86" s="25">
        <v>1</v>
      </c>
    </row>
    <row r="87" spans="1:6" x14ac:dyDescent="0.25">
      <c r="A87" s="29"/>
    </row>
    <row r="88" spans="1:6" x14ac:dyDescent="0.25">
      <c r="A88" s="29"/>
    </row>
    <row r="89" spans="1:6" x14ac:dyDescent="0.25">
      <c r="A89" s="29"/>
    </row>
    <row r="90" spans="1:6" x14ac:dyDescent="0.25">
      <c r="A90" s="29"/>
      <c r="F90" s="27"/>
    </row>
    <row r="91" spans="1:6" x14ac:dyDescent="0.25">
      <c r="A91" s="30"/>
    </row>
    <row r="92" spans="1:6" x14ac:dyDescent="0.25">
      <c r="A92" s="29"/>
    </row>
    <row r="93" spans="1:6" x14ac:dyDescent="0.25">
      <c r="A93" s="29"/>
    </row>
    <row r="94" spans="1:6" x14ac:dyDescent="0.25">
      <c r="A94" s="29"/>
    </row>
    <row r="95" spans="1:6" x14ac:dyDescent="0.25">
      <c r="A95" s="29"/>
    </row>
    <row r="96" spans="1:6" x14ac:dyDescent="0.25">
      <c r="A96" s="29"/>
      <c r="F96" s="27"/>
    </row>
    <row r="97" spans="1:6" x14ac:dyDescent="0.25">
      <c r="A97" s="30"/>
    </row>
    <row r="98" spans="1:6" x14ac:dyDescent="0.25">
      <c r="A98" s="29"/>
    </row>
    <row r="99" spans="1:6" x14ac:dyDescent="0.25">
      <c r="A99" s="29"/>
    </row>
    <row r="100" spans="1:6" x14ac:dyDescent="0.25">
      <c r="A100" s="29"/>
    </row>
    <row r="101" spans="1:6" x14ac:dyDescent="0.25">
      <c r="A101" s="29"/>
    </row>
    <row r="102" spans="1:6" x14ac:dyDescent="0.25">
      <c r="F102" s="27"/>
    </row>
  </sheetData>
  <phoneticPr fontId="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
  <dimension ref="A1:R8"/>
  <sheetViews>
    <sheetView workbookViewId="0">
      <selection sqref="A1:R1048576"/>
    </sheetView>
  </sheetViews>
  <sheetFormatPr defaultRowHeight="12.75" x14ac:dyDescent="0.2"/>
  <cols>
    <col min="1" max="1" width="12.28515625" customWidth="1"/>
    <col min="2" max="18" width="9.140625" style="22"/>
  </cols>
  <sheetData>
    <row r="1" spans="1:18" x14ac:dyDescent="0.2">
      <c r="A1" t="s">
        <v>311</v>
      </c>
      <c r="B1" s="22" t="s">
        <v>445</v>
      </c>
      <c r="C1" s="22" t="s">
        <v>446</v>
      </c>
      <c r="D1" s="22" t="s">
        <v>447</v>
      </c>
      <c r="E1" s="22" t="s">
        <v>448</v>
      </c>
      <c r="F1" s="22" t="s">
        <v>449</v>
      </c>
      <c r="G1" s="22" t="s">
        <v>450</v>
      </c>
      <c r="H1" s="22" t="s">
        <v>451</v>
      </c>
      <c r="I1" s="22" t="s">
        <v>452</v>
      </c>
      <c r="J1" s="22" t="s">
        <v>453</v>
      </c>
      <c r="K1" s="22" t="s">
        <v>454</v>
      </c>
      <c r="L1" s="22" t="s">
        <v>455</v>
      </c>
      <c r="M1" s="22" t="s">
        <v>456</v>
      </c>
      <c r="N1" s="22" t="s">
        <v>457</v>
      </c>
      <c r="O1" s="22" t="s">
        <v>458</v>
      </c>
      <c r="P1" s="22" t="s">
        <v>459</v>
      </c>
      <c r="Q1" s="22" t="s">
        <v>460</v>
      </c>
      <c r="R1" s="22" t="s">
        <v>461</v>
      </c>
    </row>
    <row r="2" spans="1:18" x14ac:dyDescent="0.2">
      <c r="A2">
        <v>2017</v>
      </c>
      <c r="B2" s="22">
        <v>49.325614929199219</v>
      </c>
      <c r="C2" s="22">
        <v>46.487155914306641</v>
      </c>
      <c r="D2" s="22">
        <v>27.561077117919922</v>
      </c>
      <c r="E2" s="22">
        <v>41.950977325439453</v>
      </c>
      <c r="F2" s="22">
        <v>35.542755126953125</v>
      </c>
      <c r="G2" s="22">
        <v>62.973716735839844</v>
      </c>
      <c r="H2" s="22">
        <v>38.113487243652344</v>
      </c>
      <c r="I2" s="22">
        <v>49.241348266601563</v>
      </c>
      <c r="J2" s="22">
        <v>15.23066520690918</v>
      </c>
      <c r="K2" s="22">
        <v>50.123226165771484</v>
      </c>
      <c r="L2" s="22">
        <v>31.040891647338867</v>
      </c>
      <c r="M2" s="22">
        <v>76.251144409179688</v>
      </c>
      <c r="N2" s="22">
        <v>89.51568603515625</v>
      </c>
      <c r="O2" s="22">
        <v>36.505893707275391</v>
      </c>
      <c r="P2" s="22">
        <v>75.303482055664063</v>
      </c>
      <c r="Q2" s="22">
        <v>51.361991882324219</v>
      </c>
      <c r="R2" s="22">
        <v>50.487140655517578</v>
      </c>
    </row>
    <row r="3" spans="1:18" x14ac:dyDescent="0.2">
      <c r="A3">
        <v>2018</v>
      </c>
      <c r="B3" s="22">
        <v>37.806310985678827</v>
      </c>
      <c r="C3" s="22">
        <v>47.680642069749318</v>
      </c>
      <c r="D3" s="22">
        <v>34.644898561567977</v>
      </c>
      <c r="E3" s="22">
        <v>31.512858151990375</v>
      </c>
      <c r="F3" s="22">
        <v>43.707523938400008</v>
      </c>
      <c r="G3" s="22">
        <v>73.989092949334875</v>
      </c>
      <c r="H3" s="22">
        <v>29.592259294835035</v>
      </c>
      <c r="I3" s="22">
        <v>60.580275945652573</v>
      </c>
      <c r="J3" s="22">
        <v>15.418810776573634</v>
      </c>
      <c r="K3" s="22">
        <v>9.1556380535194624</v>
      </c>
      <c r="L3" s="22">
        <v>43.454601510097454</v>
      </c>
      <c r="M3" s="22">
        <v>76.252339214137706</v>
      </c>
      <c r="N3" s="22">
        <v>91.30007860499407</v>
      </c>
      <c r="O3" s="22">
        <v>39.367132928806903</v>
      </c>
      <c r="P3" s="22">
        <v>74.279603066872184</v>
      </c>
      <c r="Q3" s="22">
        <v>48.372157765985769</v>
      </c>
      <c r="R3" s="22">
        <v>50</v>
      </c>
    </row>
    <row r="4" spans="1:18" x14ac:dyDescent="0.2">
      <c r="A4">
        <v>2019</v>
      </c>
      <c r="B4" s="22">
        <v>17.148760330578508</v>
      </c>
      <c r="C4" s="22">
        <v>48.014625277601851</v>
      </c>
      <c r="D4" s="22">
        <v>28.040012521695811</v>
      </c>
      <c r="E4" s="22">
        <v>32.128384690389233</v>
      </c>
      <c r="F4" s="22">
        <v>36.50498826843603</v>
      </c>
      <c r="G4" s="22">
        <v>53.521653912463179</v>
      </c>
      <c r="H4" s="22">
        <v>37.074479425964718</v>
      </c>
      <c r="I4" s="22">
        <v>64.707157004877203</v>
      </c>
      <c r="J4" s="22">
        <v>18.383456764844201</v>
      </c>
      <c r="K4" s="22">
        <v>9.0562471201722055</v>
      </c>
      <c r="L4" s="22">
        <v>32.641457130491325</v>
      </c>
      <c r="M4" s="22">
        <v>94.837284728581565</v>
      </c>
      <c r="N4" s="22">
        <v>96.137889140562109</v>
      </c>
      <c r="O4" s="22">
        <v>51.433329683857146</v>
      </c>
      <c r="P4" s="22">
        <v>76.323667918013101</v>
      </c>
      <c r="Q4" s="22">
        <v>42.945065830805447</v>
      </c>
      <c r="R4" s="22">
        <v>50</v>
      </c>
    </row>
    <row r="5" spans="1:18" x14ac:dyDescent="0.2">
      <c r="A5">
        <v>2020</v>
      </c>
      <c r="B5" s="22">
        <v>17.238500000000002</v>
      </c>
      <c r="C5" s="22">
        <v>49.036714285714297</v>
      </c>
      <c r="D5" s="22">
        <v>27.978000000000002</v>
      </c>
      <c r="E5" s="22">
        <v>37.419666666666664</v>
      </c>
      <c r="F5" s="22">
        <v>41.079250000000002</v>
      </c>
      <c r="G5" s="22">
        <v>56.878399999999999</v>
      </c>
      <c r="H5" s="22">
        <v>35.070333333333338</v>
      </c>
      <c r="I5" s="22">
        <v>60.459500000000006</v>
      </c>
      <c r="J5" s="22">
        <v>31.809833333333334</v>
      </c>
      <c r="K5" s="22">
        <v>19.548999999999999</v>
      </c>
      <c r="L5" s="22">
        <v>33.025666666666673</v>
      </c>
      <c r="M5" s="22">
        <v>94.01066666666668</v>
      </c>
      <c r="N5" s="22">
        <v>98.11866666666667</v>
      </c>
      <c r="O5" s="22">
        <v>66.21875</v>
      </c>
      <c r="P5" s="22">
        <v>74.903599999999997</v>
      </c>
      <c r="Q5" s="22">
        <v>44.958999999999996</v>
      </c>
      <c r="R5" s="22">
        <v>50</v>
      </c>
    </row>
    <row r="6" spans="1:18" x14ac:dyDescent="0.2">
      <c r="A6">
        <v>2021</v>
      </c>
      <c r="B6" s="22">
        <v>20.503</v>
      </c>
      <c r="C6" s="22">
        <v>60.130625000000002</v>
      </c>
      <c r="D6" s="22">
        <v>28.903714285714301</v>
      </c>
      <c r="E6" s="22">
        <v>38.750666666666703</v>
      </c>
      <c r="F6" s="22">
        <v>38.206499999999998</v>
      </c>
      <c r="G6" s="22">
        <v>56.878399999999999</v>
      </c>
      <c r="H6" s="22">
        <v>34.6086666666667</v>
      </c>
      <c r="I6" s="22">
        <v>55.669199999999996</v>
      </c>
      <c r="J6" s="22">
        <v>33.435000000000002</v>
      </c>
      <c r="K6" s="22">
        <v>20.212</v>
      </c>
      <c r="L6" s="22">
        <v>26.74</v>
      </c>
      <c r="M6" s="22">
        <v>93.426833333333306</v>
      </c>
      <c r="N6" s="22">
        <v>97.795666666666705</v>
      </c>
      <c r="O6" s="22">
        <v>62.392333333333298</v>
      </c>
      <c r="P6" s="22">
        <v>77.292599999999993</v>
      </c>
      <c r="Q6" s="22">
        <v>40.757300000000001</v>
      </c>
      <c r="R6" s="22">
        <v>46.033333333333303</v>
      </c>
    </row>
    <row r="7" spans="1:18" x14ac:dyDescent="0.2">
      <c r="A7">
        <v>2022</v>
      </c>
      <c r="B7" s="22">
        <v>34.319000000000003</v>
      </c>
      <c r="C7" s="22">
        <v>61.098999999999997</v>
      </c>
      <c r="D7" s="22">
        <v>31.500785714285701</v>
      </c>
      <c r="E7" s="22">
        <v>38.750666666666703</v>
      </c>
      <c r="F7" s="22">
        <v>41.161499999999997</v>
      </c>
      <c r="G7" s="22">
        <v>59.739600000000003</v>
      </c>
      <c r="H7" s="22">
        <v>46.9</v>
      </c>
      <c r="I7" s="22">
        <v>55.700600000000001</v>
      </c>
      <c r="J7" s="22">
        <v>33.246666666666698</v>
      </c>
      <c r="K7" s="22">
        <v>49.733499999999999</v>
      </c>
      <c r="L7" s="22">
        <v>26.2135</v>
      </c>
      <c r="M7" s="22">
        <v>95.947285714285698</v>
      </c>
      <c r="N7" s="22">
        <v>96.212666666666706</v>
      </c>
      <c r="O7" s="22">
        <v>64.970833333333303</v>
      </c>
      <c r="P7" s="22">
        <v>76.025999999999996</v>
      </c>
      <c r="Q7" s="22">
        <v>41.399444444444399</v>
      </c>
      <c r="R7" s="22">
        <v>69.05</v>
      </c>
    </row>
    <row r="8" spans="1:18" x14ac:dyDescent="0.2">
      <c r="A8">
        <v>2023</v>
      </c>
      <c r="B8" s="22">
        <v>49.923499999999997</v>
      </c>
      <c r="C8" s="22">
        <v>61.065874999999998</v>
      </c>
      <c r="D8" s="22">
        <v>36.195999999999998</v>
      </c>
      <c r="E8" s="22">
        <v>38.750666666666703</v>
      </c>
      <c r="F8" s="22">
        <v>39.224249999999998</v>
      </c>
      <c r="G8" s="22">
        <v>59.708799999999997</v>
      </c>
      <c r="H8" s="22">
        <v>24.98075</v>
      </c>
      <c r="I8" s="22">
        <v>66.567666666666696</v>
      </c>
      <c r="J8" s="22">
        <v>40.605714285714299</v>
      </c>
      <c r="K8" s="22">
        <v>72.796000000000006</v>
      </c>
      <c r="L8" s="22">
        <v>29.442250000000001</v>
      </c>
      <c r="M8" s="22">
        <v>95.556285714285707</v>
      </c>
      <c r="N8" s="22">
        <v>96.745000000000005</v>
      </c>
      <c r="O8" s="22">
        <v>62.078166666666696</v>
      </c>
      <c r="P8" s="22">
        <v>76.363600000000005</v>
      </c>
      <c r="Q8" s="22">
        <v>34.670272727272703</v>
      </c>
      <c r="R8" s="22">
        <v>37.93</v>
      </c>
    </row>
  </sheetData>
  <sheetProtection selectLockedCells="1" selectUnlockedCells="1"/>
  <sortState xmlns:xlrd2="http://schemas.microsoft.com/office/spreadsheetml/2017/richdata2" ref="A2:R8">
    <sortCondition ref="A2"/>
  </sortState>
  <phoneticPr fontId="6" type="noConversion"/>
  <pageMargins left="0.74791666666666667" right="0.74791666666666667" top="0.98402777777777783" bottom="0.98402777777777783" header="0.51181102362204722" footer="0.51181102362204722"/>
  <pageSetup firstPageNumber="0"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Charts</vt:lpstr>
      </vt:variant>
      <vt:variant>
        <vt:i4>1</vt:i4>
      </vt:variant>
    </vt:vector>
  </HeadingPairs>
  <TitlesOfParts>
    <vt:vector size="33" baseType="lpstr">
      <vt:lpstr>2023 Data</vt:lpstr>
      <vt:lpstr>2022 Data</vt:lpstr>
      <vt:lpstr>2021 Data</vt:lpstr>
      <vt:lpstr>2020 Data</vt:lpstr>
      <vt:lpstr>2019 Data</vt:lpstr>
      <vt:lpstr>2018 Data</vt:lpstr>
      <vt:lpstr>2017 Data</vt:lpstr>
      <vt:lpstr>SDG1</vt:lpstr>
      <vt:lpstr>SDG2</vt:lpstr>
      <vt:lpstr>SDG3</vt:lpstr>
      <vt:lpstr>SDG4</vt:lpstr>
      <vt:lpstr>SDG5</vt:lpstr>
      <vt:lpstr>SDG6</vt:lpstr>
      <vt:lpstr>SDG7</vt:lpstr>
      <vt:lpstr>SDG8</vt:lpstr>
      <vt:lpstr>SDG9</vt:lpstr>
      <vt:lpstr>SDG10</vt:lpstr>
      <vt:lpstr>SDG11</vt:lpstr>
      <vt:lpstr>SDG12</vt:lpstr>
      <vt:lpstr>SDG13</vt:lpstr>
      <vt:lpstr>SDG14</vt:lpstr>
      <vt:lpstr>SDG15</vt:lpstr>
      <vt:lpstr>SDG16</vt:lpstr>
      <vt:lpstr>SDG17</vt:lpstr>
      <vt:lpstr>Model Structure</vt:lpstr>
      <vt:lpstr>Minimums</vt:lpstr>
      <vt:lpstr>Scenarios</vt:lpstr>
      <vt:lpstr>SDGs 1-9</vt:lpstr>
      <vt:lpstr>SDGs 10-17</vt:lpstr>
      <vt:lpstr>Model</vt:lpstr>
      <vt:lpstr>Policies</vt:lpstr>
      <vt:lpstr>Time Series</vt:lpstr>
      <vt:lpstr>Chart1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dc:creator>
  <cp:lastModifiedBy>Ivan Taylor</cp:lastModifiedBy>
  <dcterms:created xsi:type="dcterms:W3CDTF">2023-08-13T00:51:46Z</dcterms:created>
  <dcterms:modified xsi:type="dcterms:W3CDTF">2024-04-27T23:58:32Z</dcterms:modified>
</cp:coreProperties>
</file>